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ir\Desktop\"/>
    </mc:Choice>
  </mc:AlternateContent>
  <xr:revisionPtr revIDLastSave="0" documentId="13_ncr:1_{ECBCB887-A304-45F8-BD0E-271E0FC9A795}" xr6:coauthVersionLast="47" xr6:coauthVersionMax="47" xr10:uidLastSave="{00000000-0000-0000-0000-000000000000}"/>
  <bookViews>
    <workbookView xWindow="-108" yWindow="-108" windowWidth="23256" windowHeight="12456" tabRatio="716" firstSheet="1" activeTab="1" xr2:uid="{E9E35B5E-CE22-48DD-9FF9-C057520BCDE5}"/>
  </bookViews>
  <sheets>
    <sheet name="Guide d'utilisation" sheetId="5" state="veryHidden" r:id="rId1"/>
    <sheet name="Diagramme de Gantt" sheetId="1" r:id="rId2"/>
    <sheet name="Dashboard" sheetId="10" r:id="rId3"/>
    <sheet name="Suivi des coûts" sheetId="4" r:id="rId4"/>
    <sheet name="Historique écarts délais budget" sheetId="9" r:id="rId5"/>
    <sheet name="Paramétrage" sheetId="2" r:id="rId6"/>
    <sheet name="Backend" sheetId="3" state="veryHidden" r:id="rId7"/>
    <sheet name="Langue" sheetId="11" state="veryHidden" r:id="rId8"/>
  </sheets>
  <functionGroups builtInGroupCount="19"/>
  <definedNames>
    <definedName name="DaysToIncrement">Backend!$B$1</definedName>
    <definedName name="ExternalData_1" localSheetId="6" hidden="1">Backend!$A$38:$B$42</definedName>
    <definedName name="FirstMonthTheme">Paramétrage!$AL$9</definedName>
    <definedName name="GanttHeader">'Diagramme de Gantt'!$P$9:$BS$9</definedName>
    <definedName name="GanttHeaderAll">'Diagramme de Gantt'!$P$5:$BS$11</definedName>
    <definedName name="GanttHeaderDateWeeks">'Diagramme de Gantt'!$P$8:$BS$8</definedName>
    <definedName name="GanttHeaderMonthsWeeks">'Diagramme de Gantt'!$P$5:$BS$5</definedName>
    <definedName name="GanttHeaderYears">'Diagramme de Gantt'!$P$6:$BS$6</definedName>
    <definedName name="IsDaysGantt">Backend!$B$3</definedName>
    <definedName name="IsMaximize">Backend!$B$2</definedName>
    <definedName name="IsMonthsGantt">Backend!$B$5</definedName>
    <definedName name="IsProject">Paramétrage!$AE$8</definedName>
    <definedName name="IsWeeksGant">Backend!$B$4</definedName>
    <definedName name="Langue">Paramétrage!$L$4</definedName>
    <definedName name="ProgressionFormat">Paramétrage!$F$12</definedName>
    <definedName name="ProjectDone">Paramétrage!#REF!</definedName>
    <definedName name="ProjectStart">'Diagramme de Gantt'!$AH$4</definedName>
    <definedName name="RadioBtnResult">Backend!$C$1</definedName>
    <definedName name="ScrollingIncrement">Paramétrage!$AL$3</definedName>
    <definedName name="SecondMonthTheme">Paramétrage!$AL$10</definedName>
    <definedName name="TodayFormat">Paramétrage!$AI$9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" i="1" l="1"/>
  <c r="AQ5" i="1"/>
  <c r="P6" i="1"/>
  <c r="P5" i="1"/>
  <c r="F14" i="1"/>
  <c r="F15" i="1" s="1"/>
  <c r="F16" i="1" s="1"/>
  <c r="F17" i="1" s="1"/>
  <c r="F18" i="1" s="1"/>
  <c r="F19" i="1" s="1"/>
  <c r="F20" i="1"/>
  <c r="F21" i="1" s="1"/>
  <c r="F22" i="1" s="1"/>
  <c r="F23" i="1" s="1"/>
  <c r="F24" i="1" s="1"/>
  <c r="F25" i="1" s="1"/>
  <c r="F26" i="1"/>
  <c r="F27" i="1" s="1"/>
  <c r="F28" i="1" s="1"/>
  <c r="F29" i="1" s="1"/>
  <c r="F30" i="1" s="1"/>
  <c r="F31" i="1" s="1"/>
  <c r="F32" i="1" s="1"/>
  <c r="F33" i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/>
  <c r="F50" i="1" s="1"/>
  <c r="F51" i="1" s="1"/>
  <c r="F52" i="1" s="1"/>
  <c r="F53" i="1" s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D14" i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B30" i="3"/>
  <c r="B29" i="3" l="1"/>
  <c r="D19" i="10" l="1"/>
  <c r="C15" i="3" l="1"/>
  <c r="C14" i="3" l="1"/>
  <c r="C12" i="3"/>
  <c r="B12" i="3"/>
  <c r="F10" i="4"/>
  <c r="J19" i="2" s="1"/>
  <c r="J15" i="2"/>
  <c r="J12" i="2"/>
  <c r="J16" i="2" l="1"/>
  <c r="B28" i="3" s="1"/>
  <c r="B15" i="3"/>
  <c r="D18" i="10" l="1"/>
  <c r="D17" i="10"/>
  <c r="M53" i="1"/>
  <c r="M52" i="1"/>
  <c r="M51" i="1"/>
  <c r="M50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2" i="1"/>
  <c r="M31" i="1"/>
  <c r="M30" i="1"/>
  <c r="M29" i="1"/>
  <c r="M28" i="1"/>
  <c r="M27" i="1"/>
  <c r="M25" i="1"/>
  <c r="M24" i="1"/>
  <c r="M23" i="1"/>
  <c r="M22" i="1"/>
  <c r="M21" i="1"/>
  <c r="M16" i="1"/>
  <c r="M17" i="1"/>
  <c r="M18" i="1"/>
  <c r="M19" i="1"/>
  <c r="M15" i="1"/>
  <c r="L49" i="1" l="1"/>
  <c r="L14" i="1"/>
  <c r="B15" i="1"/>
  <c r="B14" i="1"/>
  <c r="B4" i="3"/>
  <c r="B5" i="3"/>
  <c r="B3" i="3"/>
  <c r="BI8" i="1" s="1"/>
  <c r="M14" i="1"/>
  <c r="K14" i="1"/>
  <c r="B16" i="1" l="1"/>
  <c r="B17" i="1"/>
  <c r="B18" i="1"/>
  <c r="B20" i="1"/>
  <c r="BI11" i="1"/>
  <c r="BK8" i="1"/>
  <c r="Q8" i="1"/>
  <c r="R8" i="1"/>
  <c r="BH8" i="1"/>
  <c r="BL8" i="1"/>
  <c r="BQ8" i="1"/>
  <c r="AD8" i="1"/>
  <c r="BJ8" i="1"/>
  <c r="AE8" i="1"/>
  <c r="AB8" i="1"/>
  <c r="AF8" i="1"/>
  <c r="AG8" i="1"/>
  <c r="AU8" i="1"/>
  <c r="AH8" i="1"/>
  <c r="AZ8" i="1"/>
  <c r="AT8" i="1"/>
  <c r="BA8" i="1"/>
  <c r="AJ8" i="1"/>
  <c r="BN8" i="1"/>
  <c r="AK8" i="1"/>
  <c r="BO8" i="1"/>
  <c r="AI8" i="1"/>
  <c r="BM8" i="1"/>
  <c r="P8" i="1"/>
  <c r="AR8" i="1"/>
  <c r="BP8" i="1"/>
  <c r="S8" i="1"/>
  <c r="AV8" i="1"/>
  <c r="T8" i="1"/>
  <c r="AW8" i="1"/>
  <c r="U8" i="1"/>
  <c r="AX8" i="1"/>
  <c r="V8" i="1"/>
  <c r="AY8" i="1"/>
  <c r="BB8" i="1"/>
  <c r="W8" i="1"/>
  <c r="BC8" i="1"/>
  <c r="X8" i="1"/>
  <c r="BD8" i="1"/>
  <c r="Y8" i="1"/>
  <c r="AO8" i="1"/>
  <c r="BE8" i="1"/>
  <c r="AL8" i="1"/>
  <c r="BR8" i="1"/>
  <c r="AM8" i="1"/>
  <c r="BS8" i="1"/>
  <c r="AN8" i="1"/>
  <c r="Z8" i="1"/>
  <c r="AP8" i="1"/>
  <c r="BF8" i="1"/>
  <c r="AA8" i="1"/>
  <c r="AQ8" i="1"/>
  <c r="BG8" i="1"/>
  <c r="AC8" i="1"/>
  <c r="AS8" i="1"/>
  <c r="B1" i="3" a="1"/>
  <c r="B1" i="3" s="1"/>
  <c r="N9" i="1"/>
  <c r="B19" i="1" l="1"/>
  <c r="B21" i="1"/>
  <c r="AH11" i="1"/>
  <c r="AL11" i="1"/>
  <c r="AP11" i="1"/>
  <c r="AQ11" i="1"/>
  <c r="BN11" i="1"/>
  <c r="AJ11" i="1"/>
  <c r="BS11" i="1"/>
  <c r="AS11" i="1"/>
  <c r="AO11" i="1"/>
  <c r="BO11" i="1"/>
  <c r="BM11" i="1"/>
  <c r="AI11" i="1"/>
  <c r="AR11" i="1"/>
  <c r="BP11" i="1"/>
  <c r="AK11" i="1"/>
  <c r="BR11" i="1"/>
  <c r="AN11" i="1"/>
  <c r="AM11" i="1"/>
  <c r="BQ11" i="1"/>
  <c r="AT11" i="1"/>
  <c r="AU11" i="1"/>
  <c r="AW11" i="1"/>
  <c r="R11" i="1"/>
  <c r="S11" i="1"/>
  <c r="AX11" i="1"/>
  <c r="T11" i="1"/>
  <c r="AY11" i="1"/>
  <c r="U11" i="1"/>
  <c r="AZ11" i="1"/>
  <c r="V11" i="1"/>
  <c r="BA11" i="1"/>
  <c r="W11" i="1"/>
  <c r="BB11" i="1"/>
  <c r="X11" i="1"/>
  <c r="BC11" i="1"/>
  <c r="Y11" i="1"/>
  <c r="BD11" i="1"/>
  <c r="BE11" i="1"/>
  <c r="Z11" i="1"/>
  <c r="AA11" i="1"/>
  <c r="BF11" i="1"/>
  <c r="AB11" i="1"/>
  <c r="BG11" i="1"/>
  <c r="AC11" i="1"/>
  <c r="BH11" i="1"/>
  <c r="AD11" i="1"/>
  <c r="AG11" i="1"/>
  <c r="BL11" i="1"/>
  <c r="AF11" i="1"/>
  <c r="BK11" i="1"/>
  <c r="AE11" i="1"/>
  <c r="BJ11" i="1"/>
  <c r="P11" i="1"/>
  <c r="AV11" i="1"/>
  <c r="Q11" i="1"/>
  <c r="B22" i="1" l="1"/>
  <c r="B23" i="1" l="1"/>
  <c r="B24" i="1" l="1"/>
  <c r="B25" i="1" l="1"/>
  <c r="P9" i="1"/>
  <c r="AP9" i="1"/>
  <c r="AO9" i="1"/>
  <c r="AM9" i="1"/>
  <c r="AL9" i="1"/>
  <c r="AC9" i="1"/>
  <c r="S9" i="1"/>
  <c r="AK9" i="1"/>
  <c r="AH9" i="1"/>
  <c r="AS9" i="1"/>
  <c r="BJ9" i="1"/>
  <c r="AT9" i="1"/>
  <c r="BH9" i="1"/>
  <c r="AW9" i="1"/>
  <c r="BQ9" i="1"/>
  <c r="R9" i="1"/>
  <c r="BR9" i="1"/>
  <c r="BS9" i="1"/>
  <c r="AB9" i="1"/>
  <c r="T9" i="1"/>
  <c r="BO9" i="1"/>
  <c r="AA9" i="1"/>
  <c r="BG9" i="1"/>
  <c r="AY9" i="1"/>
  <c r="BC9" i="1"/>
  <c r="AX9" i="1"/>
  <c r="AQ9" i="1"/>
  <c r="AD9" i="1"/>
  <c r="W9" i="1"/>
  <c r="V9" i="1"/>
  <c r="AZ9" i="1"/>
  <c r="BE9" i="1"/>
  <c r="U9" i="1"/>
  <c r="BF9" i="1"/>
  <c r="AN9" i="1"/>
  <c r="AF9" i="1"/>
  <c r="BI9" i="1"/>
  <c r="Z9" i="1"/>
  <c r="BP9" i="1"/>
  <c r="AR9" i="1"/>
  <c r="AJ9" i="1"/>
  <c r="AG9" i="1"/>
  <c r="BM9" i="1"/>
  <c r="BN9" i="1"/>
  <c r="BA9" i="1"/>
  <c r="AV9" i="1"/>
  <c r="BK9" i="1"/>
  <c r="BL9" i="1"/>
  <c r="AU9" i="1"/>
  <c r="AE9" i="1"/>
  <c r="Y9" i="1"/>
  <c r="AI9" i="1"/>
  <c r="BB9" i="1"/>
  <c r="BD9" i="1"/>
  <c r="X9" i="1"/>
  <c r="Q9" i="1"/>
  <c r="B26" i="1" l="1"/>
  <c r="B27" i="1" l="1"/>
  <c r="M20" i="1"/>
  <c r="K20" i="1"/>
  <c r="B28" i="1" l="1"/>
  <c r="O42" i="1"/>
  <c r="O36" i="1"/>
  <c r="O52" i="1"/>
  <c r="O16" i="1"/>
  <c r="O23" i="1"/>
  <c r="O37" i="1"/>
  <c r="O39" i="1"/>
  <c r="O45" i="1"/>
  <c r="O18" i="1"/>
  <c r="O41" i="1"/>
  <c r="O51" i="1"/>
  <c r="O22" i="1"/>
  <c r="O31" i="1"/>
  <c r="O47" i="1"/>
  <c r="O44" i="1"/>
  <c r="O29" i="1"/>
  <c r="O38" i="1"/>
  <c r="O50" i="1"/>
  <c r="O30" i="1"/>
  <c r="O46" i="1"/>
  <c r="O40" i="1"/>
  <c r="O53" i="1"/>
  <c r="O43" i="1"/>
  <c r="O28" i="1"/>
  <c r="O34" i="1"/>
  <c r="O35" i="1"/>
  <c r="B29" i="1" l="1"/>
  <c r="O24" i="1"/>
  <c r="O19" i="1"/>
  <c r="O25" i="1"/>
  <c r="O15" i="1"/>
  <c r="O32" i="1"/>
  <c r="O48" i="1"/>
  <c r="O27" i="1"/>
  <c r="O21" i="1"/>
  <c r="B30" i="1" l="1"/>
  <c r="B31" i="1" l="1"/>
  <c r="B32" i="1" l="1"/>
  <c r="B33" i="1" l="1"/>
  <c r="B34" i="1" l="1"/>
  <c r="M26" i="1"/>
  <c r="K26" i="1"/>
  <c r="B35" i="1" l="1"/>
  <c r="B36" i="1" l="1"/>
  <c r="B37" i="1" l="1"/>
  <c r="B38" i="1" l="1"/>
  <c r="B39" i="1" l="1"/>
  <c r="B40" i="1" l="1"/>
  <c r="B41" i="1" l="1"/>
  <c r="B42" i="1" l="1"/>
  <c r="B43" i="1" l="1"/>
  <c r="B44" i="1" l="1"/>
  <c r="B45" i="1" l="1"/>
  <c r="B46" i="1" l="1"/>
  <c r="B47" i="1" l="1"/>
  <c r="B48" i="1" l="1"/>
  <c r="B49" i="1" l="1"/>
  <c r="M49" i="1"/>
  <c r="K49" i="1"/>
  <c r="B50" i="1" l="1"/>
  <c r="K33" i="1"/>
  <c r="M33" i="1"/>
  <c r="M12" i="1" l="1"/>
  <c r="K12" i="1"/>
  <c r="B51" i="1"/>
  <c r="B52" i="1" l="1"/>
  <c r="B53" i="1" l="1"/>
  <c r="O17" i="1" l="1"/>
  <c r="L26" i="1" l="1"/>
  <c r="L33" i="1"/>
  <c r="N26" i="1" l="1"/>
  <c r="O26" i="1" s="1"/>
  <c r="N33" i="1"/>
  <c r="O33" i="1" l="1"/>
  <c r="N20" i="1" l="1"/>
  <c r="O20" i="1" l="1"/>
  <c r="L20" i="1" l="1"/>
  <c r="L12" i="1"/>
  <c r="N14" i="1"/>
  <c r="O14" i="1" s="1"/>
  <c r="N49" i="1"/>
  <c r="N12" i="1" s="1"/>
  <c r="J18" i="2" s="1"/>
  <c r="J20" i="2" l="1"/>
  <c r="B21" i="3"/>
  <c r="B22" i="3" s="1"/>
  <c r="O49" i="1"/>
  <c r="J21" i="2" l="1"/>
  <c r="B31" i="3" s="1"/>
  <c r="D20" i="10" s="1"/>
  <c r="B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F9AA82-267D-497F-9A72-C1C95D453720}" keepAlive="1" name="Query - TabStatus" description="Connection to the 'TabStatus' query in the workbook." type="5" refreshedVersion="8" background="1" saveData="1">
    <dbPr connection="Provider=Microsoft.Mashup.OleDb.1;Data Source=$Workbook$;Location=TabStatus;Extended Properties=&quot;&quot;" command="SELECT * FROM [TabStatu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<sst xmlns="http://schemas.openxmlformats.org/spreadsheetml/2006/main" count="746" uniqueCount="497">
  <si>
    <t>ID</t>
  </si>
  <si>
    <t>WBS - Activité / tâche</t>
  </si>
  <si>
    <t>Dépendance</t>
  </si>
  <si>
    <t>Attribuée à</t>
  </si>
  <si>
    <t>Début</t>
  </si>
  <si>
    <t>Deadline</t>
  </si>
  <si>
    <t>Progression</t>
  </si>
  <si>
    <t>Thème</t>
  </si>
  <si>
    <t>IDProj</t>
  </si>
  <si>
    <t>Point</t>
  </si>
  <si>
    <t>IDSubProj</t>
  </si>
  <si>
    <t>Olivier Robespierre</t>
  </si>
  <si>
    <t>Bernard Dupuis</t>
  </si>
  <si>
    <t>Eric Duteil</t>
  </si>
  <si>
    <t>Denise Attali</t>
  </si>
  <si>
    <t>Marcel Poste</t>
  </si>
  <si>
    <t>Daniel Château</t>
  </si>
  <si>
    <t>Georges Clonet</t>
  </si>
  <si>
    <t>Marc Ellin</t>
  </si>
  <si>
    <t>Antoine Fleur</t>
  </si>
  <si>
    <t>Henri Saulnier</t>
  </si>
  <si>
    <t>Edouard Leperre</t>
  </si>
  <si>
    <t>Gérard Lourte</t>
  </si>
  <si>
    <t>Carine Refour</t>
  </si>
  <si>
    <t>Jacques Meunier</t>
  </si>
  <si>
    <t>Jean Albert</t>
  </si>
  <si>
    <t>Marianne Anselme</t>
  </si>
  <si>
    <t>X</t>
  </si>
  <si>
    <t>Is Project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</si>
  <si>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</si>
  <si>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</si>
  <si>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</si>
  <si>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</si>
  <si>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</si>
  <si>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</si>
  <si>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</si>
  <si>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</si>
  <si>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</si>
  <si>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</si>
  <si>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</si>
  <si>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</si>
  <si>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</si>
  <si>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</si>
  <si>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</si>
  <si>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</si>
  <si>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</si>
  <si>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</si>
  <si>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</si>
  <si>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</si>
  <si>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</si>
  <si>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</si>
  <si>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</si>
  <si>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</si>
  <si>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</si>
  <si>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</si>
  <si>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</si>
  <si>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</si>
  <si>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</si>
  <si>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</si>
  <si>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</si>
  <si>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</si>
  <si>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</si>
  <si>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</si>
  <si>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</si>
  <si>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</si>
  <si>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</si>
  <si>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</si>
  <si>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</si>
  <si>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</si>
  <si>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</si>
  <si>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</si>
  <si>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</si>
  <si>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</si>
  <si>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</si>
  <si>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</si>
  <si>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</si>
  <si>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</si>
  <si>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</si>
  <si>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</si>
  <si>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</si>
  <si>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</si>
  <si>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</si>
  <si>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</si>
  <si>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Scrolling Increment:</t>
  </si>
  <si>
    <t>C54</t>
  </si>
  <si>
    <t>C55</t>
  </si>
  <si>
    <t>Gantt type</t>
  </si>
  <si>
    <t>Diagramme de Gantt</t>
  </si>
  <si>
    <t>Nom / Code projet</t>
  </si>
  <si>
    <t>Référence</t>
  </si>
  <si>
    <t>Non/code du portefeuille</t>
  </si>
  <si>
    <t>PMO</t>
  </si>
  <si>
    <t>Project X</t>
  </si>
  <si>
    <t>R47P58X</t>
  </si>
  <si>
    <t>Portefeuille X</t>
  </si>
  <si>
    <t>Alain DURAND</t>
  </si>
  <si>
    <t>Date de création</t>
  </si>
  <si>
    <t>Date de la version</t>
  </si>
  <si>
    <t>Numéro de version</t>
  </si>
  <si>
    <t>V3.4</t>
  </si>
  <si>
    <t>Maximize</t>
  </si>
  <si>
    <t>Statut</t>
  </si>
  <si>
    <t>Urgent</t>
  </si>
  <si>
    <t>En progress</t>
  </si>
  <si>
    <t>Reporté</t>
  </si>
  <si>
    <t>Chantal Dupont</t>
  </si>
  <si>
    <t>Monique Davant</t>
  </si>
  <si>
    <t>Guide d'utilisation</t>
  </si>
  <si>
    <t>Projet</t>
  </si>
  <si>
    <t>Initialisation</t>
  </si>
  <si>
    <t>Etude d'opportunité et approbation</t>
  </si>
  <si>
    <t>Préparation de la Charte Projet - Justification</t>
  </si>
  <si>
    <t xml:space="preserve">Estimation coûts/délais </t>
  </si>
  <si>
    <t>Rédaction de la Charte Projet</t>
  </si>
  <si>
    <t>Approbation de la Charte Projet</t>
  </si>
  <si>
    <t>Planification</t>
  </si>
  <si>
    <t>Conception générale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</si>
  <si>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</si>
  <si>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</si>
  <si>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</si>
  <si>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</si>
  <si>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Réalisation</t>
  </si>
  <si>
    <t xml:space="preserve">Paramétrage et tests unitaires 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</si>
  <si>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</si>
  <si>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</si>
  <si>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</si>
  <si>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</si>
  <si>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</si>
  <si>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Contrôle et suivi</t>
  </si>
  <si>
    <t>Tests d'intégration et de consolidation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</si>
  <si>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</si>
  <si>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</si>
  <si>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</si>
  <si>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</si>
  <si>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</si>
  <si>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</si>
  <si>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</si>
  <si>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</si>
  <si>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</si>
  <si>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</si>
  <si>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</si>
  <si>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Clôture mensuelle</t>
  </si>
  <si>
    <t>PV Accusé de réception</t>
  </si>
  <si>
    <t>Clôture</t>
  </si>
  <si>
    <t>Liste des corrections</t>
  </si>
  <si>
    <t>Documentation leçons apprises Projet</t>
  </si>
  <si>
    <t>Plan de corrections</t>
  </si>
  <si>
    <t>Réunion de clôture</t>
  </si>
  <si>
    <t>1.0</t>
  </si>
  <si>
    <t>2.1</t>
  </si>
  <si>
    <t>2.2-2.4</t>
  </si>
  <si>
    <t>3.1-3.3</t>
  </si>
  <si>
    <t>3.4</t>
  </si>
  <si>
    <t>3.5</t>
  </si>
  <si>
    <t xml:space="preserve"> 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</si>
  <si>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</si>
  <si>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</si>
  <si>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</si>
  <si>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</si>
  <si>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</si>
  <si>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</si>
  <si>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</si>
  <si>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</si>
  <si>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</si>
  <si>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</si>
  <si>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</si>
  <si>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</si>
  <si>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</si>
  <si>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</si>
  <si>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1,2,3,4</t>
  </si>
  <si>
    <t>IsWeeksGantt</t>
  </si>
  <si>
    <t>IsMonthsGantt</t>
  </si>
  <si>
    <t>IsDaysGantt</t>
  </si>
  <si>
    <t>Prédécesseur</t>
  </si>
  <si>
    <t>DateProgression</t>
  </si>
  <si>
    <t>Date progression</t>
  </si>
  <si>
    <t>Today</t>
  </si>
  <si>
    <t>Gantt</t>
  </si>
  <si>
    <t>Tests d'intégration et consolidation, validation du système</t>
  </si>
  <si>
    <t>Choisir la couleur des activités</t>
  </si>
  <si>
    <t>Activation des macros :</t>
  </si>
  <si>
    <t>Pour s'assurer du bon fonctionnement du template, vérifiez que les macros sont activées</t>
  </si>
  <si>
    <t xml:space="preserve">Déblocage des macros : </t>
  </si>
  <si>
    <t>Si un message rouge apparait en haut du fichier, procédez comme suit pour débloquer les macros : 
Pour ce faire, cliquez sur le bouton droit sur le fichier avant de l'ouvrir, choisissez Propriétés, puis activez la case à cocher Débloquer sous l’onglet Général.</t>
  </si>
  <si>
    <t>Exploitation du fichier</t>
  </si>
  <si>
    <t>1. Ajout des activités et des tâches du projet</t>
  </si>
  <si>
    <t xml:space="preserve">Rendez-vous dans la feuille "Diagramme de Gantt" </t>
  </si>
  <si>
    <t>Dans la colonne "WBS : Work Breakdown Structure ou Structure de Découpage du Projet" : renseignez les activités de votre projet ainsi que les tâches qui en découlent en modifiant le texte exemple</t>
  </si>
  <si>
    <t>Pour ajouter une nouvelle activité, placez-vous sur une ligne vide en bas du tableau, puis cliquez sur le bouton "Ajouter une activité" et renseignez le nom de l'activité :</t>
  </si>
  <si>
    <t>Notez que vous pouvez ajouter une nouvelle ligne entre les lignes existantes.</t>
  </si>
  <si>
    <t>Ainsi, vous pouvez vous placer sur la ligne d'une activité au dessus de laquelle vous souhaitez créer une nouvelle activité, puis cliquer sur le bouton d'ajout.</t>
  </si>
  <si>
    <t>Procédez de même pour l'ajout des tâches.</t>
  </si>
  <si>
    <t>Pour supprimer une ligne, placez vous sur l'activité ou tâche à supprimer, puis cliquez sur le bouton "supprimer"</t>
  </si>
  <si>
    <t>Notez que vous pouvez faire une suppression multiple en sélectionnant les lignes à supprimer, puis en cliquant sur le bouton de suppression :</t>
  </si>
  <si>
    <r>
      <rPr>
        <b/>
        <sz val="12"/>
        <color rgb="FFFF0000"/>
        <rFont val="Candara"/>
        <family val="2"/>
      </rPr>
      <t>Attention</t>
    </r>
    <r>
      <rPr>
        <sz val="12"/>
        <color theme="1"/>
        <rFont val="Candara"/>
        <family val="2"/>
      </rPr>
      <t xml:space="preserve"> : Si vous prévoyez des tâches simultanées ou qui se chevauchent, pensez à modifier manuellement la durée de la tâche pour ajuster la deadline de façon à ce que la ressource ne soit pas "surbookée".</t>
    </r>
  </si>
  <si>
    <t>Si vous souhaitez convertir une tâche en activité et vice versa, placez-vous sur l'activité ou la tâche en question, puis cliquez sur le bouton "convertir à une activité/tâche"</t>
  </si>
  <si>
    <t>Notez manuellement la progression des tâches au fur et à mesure de leur avancement</t>
  </si>
  <si>
    <t>2. Création des dépendances</t>
  </si>
  <si>
    <t>Pour chaque tâche, notez le prédécesseur : c’est-à-direla tâche qui doit obligatoirement commencer avant le début de cette tâche</t>
  </si>
  <si>
    <t>Ces dépendances sont seulement pour votre référence. Elles ne s'afficheront pas sur le calendrier.</t>
  </si>
  <si>
    <t>De cette manière, si vous décalez la date de début d'une tâche, assurez-vous également de modifier la date de début de la tâche qui lui succède.</t>
  </si>
  <si>
    <t>3. Mise à jour du statut des activités et des tâches</t>
  </si>
  <si>
    <t>Rendez-vous dans la feuille "paramétrage" et renseignez les libellés des statuts d'avancement dans la colonne "planification" :</t>
  </si>
  <si>
    <t>Pour ajouter un nouveau statut, cliquez sur le signe (+) puis renseignez son libellé et attribuez une couleur de votre choix</t>
  </si>
  <si>
    <t>Notez que les couleurs foncées représentent l'avancement réel des tâches/activités, alors que les couleurs dégradées représentent la durée de la tâche/activité en question</t>
  </si>
  <si>
    <t>Pour supprimer un statut, utilisez le signe (x)</t>
  </si>
  <si>
    <t>Revenez à présent à la feuille "diagramme de Gantt" et affectez les bons statuts aux activités/tâches :</t>
  </si>
  <si>
    <t>4. Affectation des ressources</t>
  </si>
  <si>
    <t>Rendez-vous dans la feuille "ressources"</t>
  </si>
  <si>
    <t>Modifiez les données en mettant les informations concernant vos ressources.</t>
  </si>
  <si>
    <t>Vous pouvez ajouter une nouvelle ressource à la liste existant en modifiant la ligne vide en dessous du tableau :</t>
  </si>
  <si>
    <t>Revenez à la feuille "Diagramme de Gantt" et affectez les ressources aux différentes tâches en utilisant les listes déroulantes :</t>
  </si>
  <si>
    <t>5. Dates de début et durées des activités/tâches</t>
  </si>
  <si>
    <t xml:space="preserve">Mettez la date du début de chaque activité/tâche projet puis renseignez sa durée globale. </t>
  </si>
  <si>
    <t>Ce faisant, vous obtiendez la deadline qui prend en compte les jours ouvrables.</t>
  </si>
  <si>
    <t>Vous verrez également la barre de progression s'afficher sur le calendrier :</t>
  </si>
  <si>
    <r>
      <t xml:space="preserve">Notez que vous pouvez changer l'échelle de temps de </t>
    </r>
    <r>
      <rPr>
        <b/>
        <sz val="12"/>
        <color theme="1"/>
        <rFont val="Candara"/>
        <family val="2"/>
      </rPr>
      <t>Jour</t>
    </r>
    <r>
      <rPr>
        <sz val="12"/>
        <color theme="1"/>
        <rFont val="Candara"/>
        <family val="2"/>
      </rPr>
      <t xml:space="preserve"> à </t>
    </r>
    <r>
      <rPr>
        <b/>
        <sz val="12"/>
        <color theme="1"/>
        <rFont val="Candara"/>
        <family val="2"/>
      </rPr>
      <t>Semaine</t>
    </r>
    <r>
      <rPr>
        <sz val="12"/>
        <color theme="1"/>
        <rFont val="Candara"/>
        <family val="2"/>
      </rPr>
      <t xml:space="preserve"> ou à </t>
    </r>
    <r>
      <rPr>
        <b/>
        <sz val="12"/>
        <color theme="1"/>
        <rFont val="Candara"/>
        <family val="2"/>
      </rPr>
      <t>Mois</t>
    </r>
    <r>
      <rPr>
        <sz val="12"/>
        <color theme="1"/>
        <rFont val="Candara"/>
        <family val="2"/>
      </rPr>
      <t>.</t>
    </r>
  </si>
  <si>
    <t>En cliquant sur le bouton "Aujourd'hui", l'affichage du calendrier revient à la date actuelle :</t>
  </si>
  <si>
    <t>Jour de l’an</t>
  </si>
  <si>
    <t>Lundi de Pâques</t>
  </si>
  <si>
    <t>Fête du travail</t>
  </si>
  <si>
    <t>Jeudi de l’Ascension</t>
  </si>
  <si>
    <t>Lundi de Pentecôte</t>
  </si>
  <si>
    <t>Fête nationale</t>
  </si>
  <si>
    <t>Assomption</t>
  </si>
  <si>
    <t>La Toussaint</t>
  </si>
  <si>
    <t>Armistice</t>
  </si>
  <si>
    <t>Noël</t>
  </si>
  <si>
    <t>Jour férié</t>
  </si>
  <si>
    <t>Date</t>
  </si>
  <si>
    <t>LISTE DES JOURS FÉRIÉS EN 2023</t>
  </si>
  <si>
    <t>Charge en J</t>
  </si>
  <si>
    <t>Libellé</t>
  </si>
  <si>
    <t>Couleur du % réalisé</t>
  </si>
  <si>
    <t>Couleur du % restant</t>
  </si>
  <si>
    <t>Etat global de toutes les activités</t>
  </si>
  <si>
    <t>Date début du projet planifiée initialement</t>
  </si>
  <si>
    <t>Date fin du projet planifiée initialement</t>
  </si>
  <si>
    <t>Date réelle du début du projet</t>
  </si>
  <si>
    <t>Date fin du projet estimée à date</t>
  </si>
  <si>
    <t>Ecart délais à date</t>
  </si>
  <si>
    <t>Budget total planifié initialement</t>
  </si>
  <si>
    <t>Avancement réel du projet à date</t>
  </si>
  <si>
    <t>Budget consommé à date</t>
  </si>
  <si>
    <t>Ecart budget à date</t>
  </si>
  <si>
    <t>Description</t>
  </si>
  <si>
    <t>15/03/2023</t>
  </si>
  <si>
    <t>15/06/2023</t>
  </si>
  <si>
    <t>15/07/2023</t>
  </si>
  <si>
    <t>Durée initiale</t>
  </si>
  <si>
    <t>Budget total réstimée</t>
  </si>
  <si>
    <t>Coûts consomés par mois</t>
  </si>
  <si>
    <t>Mois</t>
  </si>
  <si>
    <t>Budget total consomé à date</t>
  </si>
  <si>
    <t>Ecart de délai</t>
  </si>
  <si>
    <t>Ecart de budget</t>
  </si>
  <si>
    <t>Valeur</t>
  </si>
  <si>
    <t>Durée réestimée</t>
  </si>
  <si>
    <t>Paramètres suivi de projets</t>
  </si>
  <si>
    <t>Fin du projet</t>
  </si>
  <si>
    <t>Taux d'avancement moyen</t>
  </si>
  <si>
    <t>Budget total</t>
  </si>
  <si>
    <t>Budget consommé</t>
  </si>
  <si>
    <t>Restimé</t>
  </si>
  <si>
    <t>initial</t>
  </si>
  <si>
    <t>Pct</t>
  </si>
  <si>
    <t>Fait</t>
  </si>
  <si>
    <t>Non fait</t>
  </si>
  <si>
    <t>Dashboard - Part01</t>
  </si>
  <si>
    <t>Dashboard - Part02</t>
  </si>
  <si>
    <t>Health card</t>
  </si>
  <si>
    <t>Time</t>
  </si>
  <si>
    <t>Tasks</t>
  </si>
  <si>
    <t>Progress</t>
  </si>
  <si>
    <t>Cost</t>
  </si>
  <si>
    <t>Constracts</t>
  </si>
  <si>
    <t>Design</t>
  </si>
  <si>
    <t>Activités</t>
  </si>
  <si>
    <t>Ecart délais</t>
  </si>
  <si>
    <t>Coût</t>
  </si>
  <si>
    <t>Done</t>
  </si>
  <si>
    <t>Status</t>
  </si>
  <si>
    <t>Français</t>
  </si>
  <si>
    <t>Anglais</t>
  </si>
  <si>
    <t>Langue</t>
  </si>
  <si>
    <t>Date of Creation</t>
  </si>
  <si>
    <t>Version Date</t>
  </si>
  <si>
    <t>Version Number</t>
  </si>
  <si>
    <t>User Guide</t>
  </si>
  <si>
    <t>Plan de charge</t>
  </si>
  <si>
    <t>Workload Plan</t>
  </si>
  <si>
    <t>Ressources</t>
  </si>
  <si>
    <t>Resources</t>
  </si>
  <si>
    <t>Paramétrage</t>
  </si>
  <si>
    <t>Settings</t>
  </si>
  <si>
    <t>STATUS D'AVANCEMENT</t>
  </si>
  <si>
    <t>PROGRESS STATUS</t>
  </si>
  <si>
    <t>Label</t>
  </si>
  <si>
    <t>Color for % Completed</t>
  </si>
  <si>
    <t>Color for % Remaining</t>
  </si>
  <si>
    <t>In Progress</t>
  </si>
  <si>
    <t>Postponed</t>
  </si>
  <si>
    <t>Project</t>
  </si>
  <si>
    <t>LIST OF PUBLIC HOLIDAYS IN 2023</t>
  </si>
  <si>
    <t>Public Holiday</t>
  </si>
  <si>
    <t>New Year's Day</t>
  </si>
  <si>
    <t>Easter Monday</t>
  </si>
  <si>
    <t>Labor Day</t>
  </si>
  <si>
    <t>Victory in Europe Day (VE Day)</t>
  </si>
  <si>
    <t>Ascension Day</t>
  </si>
  <si>
    <t>Whit Monday</t>
  </si>
  <si>
    <t>National Day</t>
  </si>
  <si>
    <t>Assumption Day</t>
  </si>
  <si>
    <t>All Saints' Day</t>
  </si>
  <si>
    <t>Armistice Day</t>
  </si>
  <si>
    <t>Christmas Day</t>
  </si>
  <si>
    <t>RESOURCES SHEET</t>
  </si>
  <si>
    <t>Ressource en sous-charge</t>
  </si>
  <si>
    <t>Underloaded Resource</t>
  </si>
  <si>
    <t>Ressource en surcharge</t>
  </si>
  <si>
    <t>Overloaded Resource</t>
  </si>
  <si>
    <t>Ajouter une ressource</t>
  </si>
  <si>
    <t>Add a Resource</t>
  </si>
  <si>
    <t>Supprimer une ressource</t>
  </si>
  <si>
    <t>Delete a Resource</t>
  </si>
  <si>
    <t>Chef de Projet</t>
  </si>
  <si>
    <t>Project Manager</t>
  </si>
  <si>
    <t>Sponsor</t>
  </si>
  <si>
    <t>Responsable Intégration</t>
  </si>
  <si>
    <t>Integration Manager</t>
  </si>
  <si>
    <t>Coordinatrice Finances</t>
  </si>
  <si>
    <t>Finance Coordinator</t>
  </si>
  <si>
    <t>Coordinatrice Ventes</t>
  </si>
  <si>
    <t>Sales Coordinator</t>
  </si>
  <si>
    <t>Coordinateur Achats</t>
  </si>
  <si>
    <t>Purchasing Coordinator</t>
  </si>
  <si>
    <t>Coordinateur Logistique</t>
  </si>
  <si>
    <t>Logistics Coordinator</t>
  </si>
  <si>
    <t>Directeur Informatique</t>
  </si>
  <si>
    <t>IT Director</t>
  </si>
  <si>
    <t>Responsable du Changement</t>
  </si>
  <si>
    <t>Change Manager</t>
  </si>
  <si>
    <t>Expert SAP Finances FI/CO</t>
  </si>
  <si>
    <t>SAP Finance FI/CO Expert</t>
  </si>
  <si>
    <t>Expert SAP Finances Immobilisations</t>
  </si>
  <si>
    <t>SAP Asset Accounting Expert</t>
  </si>
  <si>
    <t>Expert SAP Ventes</t>
  </si>
  <si>
    <t>SAP Sales Expert</t>
  </si>
  <si>
    <t>Expert SAP Achats</t>
  </si>
  <si>
    <t>SAP Purchasing Expert</t>
  </si>
  <si>
    <t>Expert SAP Logistique</t>
  </si>
  <si>
    <t>SAP Logistics Expert</t>
  </si>
  <si>
    <t>Experte Master Data</t>
  </si>
  <si>
    <t>Master Data Expert</t>
  </si>
  <si>
    <t>Expert Master Data</t>
  </si>
  <si>
    <t>Coordinateur Production</t>
  </si>
  <si>
    <t>Production Coordinator</t>
  </si>
  <si>
    <t>Testeurs et valideurs</t>
  </si>
  <si>
    <t>Testers and Validators</t>
  </si>
  <si>
    <t>Nom</t>
  </si>
  <si>
    <t>Name</t>
  </si>
  <si>
    <t>Rôle</t>
  </si>
  <si>
    <t>Role</t>
  </si>
  <si>
    <t>Adresse email</t>
  </si>
  <si>
    <t>Email Address</t>
  </si>
  <si>
    <t>Téléphone</t>
  </si>
  <si>
    <t>Phone</t>
  </si>
  <si>
    <t>Language</t>
  </si>
  <si>
    <t>Initialization</t>
  </si>
  <si>
    <t>Opportunity Study and Approval</t>
  </si>
  <si>
    <t>Project Charter Preparation - Justification</t>
  </si>
  <si>
    <t>Cost/Time Estimation</t>
  </si>
  <si>
    <t>Project Charter Writing</t>
  </si>
  <si>
    <t>Project Charter Approval</t>
  </si>
  <si>
    <t>Planning</t>
  </si>
  <si>
    <t>General Design</t>
  </si>
  <si>
    <t>Specification Writing</t>
  </si>
  <si>
    <t>Establishment of the Schedule</t>
  </si>
  <si>
    <t>Establishment of the Communication Plan</t>
  </si>
  <si>
    <t>Approval of Specifications, Communication Plan, Project Plan, and Schedule</t>
  </si>
  <si>
    <t>Execution</t>
  </si>
  <si>
    <t>Parameterization and Unit Testing</t>
  </si>
  <si>
    <t>Master Data Parameterization and Corrections</t>
  </si>
  <si>
    <t>Production Parameterization, Programming, and Testing</t>
  </si>
  <si>
    <t>System Testing, Corrections, and Validation</t>
  </si>
  <si>
    <t>Official User Validation</t>
  </si>
  <si>
    <t>Phase Validation by Steering Committee</t>
  </si>
  <si>
    <t>Control and Monitoring</t>
  </si>
  <si>
    <t>Integration and Consolidation Testing</t>
  </si>
  <si>
    <t>Integration and Consolidation Testing, System Validation</t>
  </si>
  <si>
    <t>USER TRAINING</t>
  </si>
  <si>
    <t>Preparation and Validation of Pre-Production Environment</t>
  </si>
  <si>
    <t>Deployment</t>
  </si>
  <si>
    <t>Switching and Validation</t>
  </si>
  <si>
    <t>Master Data Validation</t>
  </si>
  <si>
    <t>User Validation</t>
  </si>
  <si>
    <t>Decision for Productive Start</t>
  </si>
  <si>
    <t>Productive Start</t>
  </si>
  <si>
    <t>Monitoring System Performance, Documentation, and Corrections</t>
  </si>
  <si>
    <t>Master Data Corrections</t>
  </si>
  <si>
    <t>User Monitoring</t>
  </si>
  <si>
    <t>Monthly Closure</t>
  </si>
  <si>
    <t>Acknowledgment Meeting</t>
  </si>
  <si>
    <t>Closure</t>
  </si>
  <si>
    <t>Correction List</t>
  </si>
  <si>
    <t>Project Lessons Learned Documentation</t>
  </si>
  <si>
    <t>Correction Plan</t>
  </si>
  <si>
    <t>Closing Meeting</t>
  </si>
  <si>
    <t>Jour</t>
  </si>
  <si>
    <t>Day</t>
  </si>
  <si>
    <t>Semaine</t>
  </si>
  <si>
    <t>Week</t>
  </si>
  <si>
    <t>Month</t>
  </si>
  <si>
    <t>Aujourd'hui</t>
  </si>
  <si>
    <t>Ajouter une activité</t>
  </si>
  <si>
    <t>Add an Activity</t>
  </si>
  <si>
    <t>Ajouter une tâche</t>
  </si>
  <si>
    <t>Add a Task</t>
  </si>
  <si>
    <t>Convertir à une activité / tâche</t>
  </si>
  <si>
    <t>Convert to an Activity / Task</t>
  </si>
  <si>
    <t>Supprimer</t>
  </si>
  <si>
    <t>Delete</t>
  </si>
  <si>
    <t>Project Name / Code</t>
  </si>
  <si>
    <t>Reference</t>
  </si>
  <si>
    <t>Portfolio Name / Code</t>
  </si>
  <si>
    <t>Overall Status of all Activities</t>
  </si>
  <si>
    <t>Activity / Task</t>
  </si>
  <si>
    <t>Predecessor</t>
  </si>
  <si>
    <t>Assigned to</t>
  </si>
  <si>
    <t>Commentaires</t>
  </si>
  <si>
    <t>Comments</t>
  </si>
  <si>
    <t>Start Date</t>
  </si>
  <si>
    <t>Effort in days</t>
  </si>
  <si>
    <t>Gantt Chart</t>
  </si>
  <si>
    <t>2</t>
  </si>
  <si>
    <t>Originally Planned Project Start Date</t>
  </si>
  <si>
    <t>Originally Planned Project End Date</t>
  </si>
  <si>
    <t>Initial Duration</t>
  </si>
  <si>
    <t>Actual Project Start Date</t>
  </si>
  <si>
    <t>Estimated Project End Date</t>
  </si>
  <si>
    <t>Re-estimated Duration</t>
  </si>
  <si>
    <t>Originally Planned Total Budget</t>
  </si>
  <si>
    <t>Actual Project Progress to Date</t>
  </si>
  <si>
    <t>Budget Consumed to Date</t>
  </si>
  <si>
    <t>Re-estimated Total Budget</t>
  </si>
  <si>
    <t>Budget Deviation to Date</t>
  </si>
  <si>
    <t>Project Tracking Parameters</t>
  </si>
  <si>
    <t>Suivi des coûts</t>
  </si>
  <si>
    <t>Historique écarts</t>
  </si>
  <si>
    <t>Cost Tracking</t>
  </si>
  <si>
    <t>Historical Deviations</t>
  </si>
  <si>
    <t>Historique écarts délais budget</t>
  </si>
  <si>
    <t>Hist. Dev. Time Budget</t>
  </si>
  <si>
    <t>les écarts de budget et des délais calculés périodiquement à chaque reportions, sont consignés et historisés dans ce tableau, pour en assurer un suivi</t>
  </si>
  <si>
    <t>Costs Consumed per Month</t>
  </si>
  <si>
    <t>Total Budget Consumed to Date</t>
  </si>
  <si>
    <t>Budget and schedule deviations calculated periodically at each reporting point are recorded and archived in this table for tracking purposes</t>
  </si>
  <si>
    <t>Schedule Deviation</t>
  </si>
  <si>
    <t>Budget Deviation</t>
  </si>
  <si>
    <t>Dashboard</t>
  </si>
  <si>
    <t>Activities</t>
  </si>
  <si>
    <t xml:space="preserve">
Fin du projet</t>
  </si>
  <si>
    <t xml:space="preserve">
End of Project</t>
  </si>
  <si>
    <t>Réstimée
 (initiale)</t>
  </si>
  <si>
    <t>Re-estimated
(Initial)</t>
  </si>
  <si>
    <t xml:space="preserve">
Budget total</t>
  </si>
  <si>
    <t xml:space="preserve">
Total Budget</t>
  </si>
  <si>
    <t xml:space="preserve">
Consumed Budget</t>
  </si>
  <si>
    <t xml:space="preserve">
Budget consommé</t>
  </si>
  <si>
    <t>Santé du projet »</t>
  </si>
  <si>
    <t>Project Health »</t>
  </si>
  <si>
    <t>écart délais »</t>
  </si>
  <si>
    <t>progression »</t>
  </si>
  <si>
    <t>écart BUDGET »</t>
  </si>
  <si>
    <t>Aperçu des status des tâches»</t>
  </si>
  <si>
    <t>Progression »</t>
  </si>
  <si>
    <t>Delay Gap »</t>
  </si>
  <si>
    <t>Task Status Overview »</t>
  </si>
  <si>
    <t>Budget Gap »</t>
  </si>
  <si>
    <t>% en retard par rapport au planning.</t>
  </si>
  <si>
    <t>% en avance par rapport au planning.</t>
  </si>
  <si>
    <t xml:space="preserve"> activités non terminées.</t>
  </si>
  <si>
    <t xml:space="preserve"> activités terminées."</t>
  </si>
  <si>
    <t>% en surconsommation.</t>
  </si>
  <si>
    <t>% en sous consommation.</t>
  </si>
  <si>
    <t>% behind schedule compared to the plan.</t>
  </si>
  <si>
    <t>% overconsumption.</t>
  </si>
  <si>
    <t>% ahead of schedule compared to the plan.</t>
  </si>
  <si>
    <t>% underconsumption.</t>
  </si>
  <si>
    <t xml:space="preserve"> unfinished activities.</t>
  </si>
  <si>
    <t xml:space="preserve"> completed activities.</t>
  </si>
  <si>
    <t>Average progress rate</t>
  </si>
  <si>
    <t>Simple</t>
  </si>
  <si>
    <t>TODO</t>
  </si>
  <si>
    <t>In Hold</t>
  </si>
  <si>
    <t>In progress</t>
  </si>
  <si>
    <t>schedule deviation to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</si>
</sst>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"/>
    <numFmt numFmtId="165" formatCode="#,##0\ &quot;$&quot;"/>
    <numFmt numFmtId="166" formatCode="_-[$$-409]* #,##0.00_ ;_-[$$-409]* \-#,##0.00\ ;_-[$$-409]* &quot;-&quot;??_ ;_-@_ "/>
  </numFmts>
  <fonts count="4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0"/>
      <name val="Calibri"/>
      <family val="2"/>
    </font>
    <font>
      <sz val="11"/>
      <color rgb="FF005677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6"/>
      <color theme="9" tint="-0.499984740745262"/>
      <name val="Calibri"/>
      <family val="2"/>
      <scheme val="minor"/>
    </font>
    <font>
      <sz val="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4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6"/>
      <color theme="1"/>
      <name val="Candara"/>
      <family val="2"/>
    </font>
    <font>
      <b/>
      <sz val="12"/>
      <color rgb="FFFF0000"/>
      <name val="Candara"/>
      <family val="2"/>
    </font>
    <font>
      <b/>
      <sz val="12"/>
      <color theme="1"/>
      <name val="Candara"/>
      <family val="2"/>
    </font>
    <font>
      <sz val="9.9"/>
      <color theme="2" tint="-0.749992370372631"/>
      <name val="Arial"/>
      <family val="2"/>
    </font>
    <font>
      <sz val="11"/>
      <color theme="2" tint="-0.74999237037263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0.5"/>
      <color rgb="FF00000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Impact"/>
      <family val="2"/>
    </font>
    <font>
      <b/>
      <sz val="14"/>
      <color theme="0"/>
      <name val="Calibri"/>
      <family val="2"/>
    </font>
    <font>
      <b/>
      <sz val="4"/>
      <color theme="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B9E1C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868E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0B4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F3F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9DAFF1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0"/>
        <bgColor indexed="64"/>
      </patternFill>
    </fill>
    <fill>
      <patternFill patternType="lightUp">
        <bgColor theme="6"/>
      </patternFill>
    </fill>
    <fill>
      <patternFill patternType="lightUp">
        <fgColor auto="1"/>
        <bgColor theme="6"/>
      </patternFill>
    </fill>
    <fill>
      <patternFill patternType="solid">
        <fgColor theme="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2F8EE"/>
        <bgColor indexed="64"/>
      </patternFill>
    </fill>
  </fills>
  <borders count="3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rgb="FF91E0FF"/>
      </bottom>
      <diagonal/>
    </border>
    <border>
      <left/>
      <right/>
      <top style="thin">
        <color rgb="FF91E0FF"/>
      </top>
      <bottom style="thin">
        <color rgb="FF91E0FF"/>
      </bottom>
      <diagonal/>
    </border>
    <border>
      <left/>
      <right/>
      <top/>
      <bottom style="thick">
        <color theme="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/>
      <right/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/>
      <bottom/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0" tint="-0.14996795556505021"/>
      </bottom>
      <diagonal/>
    </border>
    <border>
      <left/>
      <right/>
      <top/>
      <bottom style="thin">
        <color theme="9" tint="0.59996337778862885"/>
      </bottom>
      <diagonal/>
    </border>
    <border>
      <left/>
      <right/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9"/>
      </left>
      <right/>
      <top style="thin">
        <color theme="9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59996337778862885"/>
      </top>
      <bottom/>
      <diagonal/>
    </border>
    <border>
      <left style="thin">
        <color theme="9"/>
      </left>
      <right style="thin">
        <color theme="9" tint="0.39997558519241921"/>
      </right>
      <top style="thin">
        <color theme="9"/>
      </top>
      <bottom style="thin">
        <color theme="9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39" fillId="0" borderId="0" applyFon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64" fontId="4" fillId="8" borderId="0" xfId="0" applyNumberFormat="1" applyFont="1" applyFill="1" applyAlignment="1">
      <alignment horizontal="left" vertical="center"/>
    </xf>
    <xf numFmtId="164" fontId="4" fillId="9" borderId="0" xfId="0" applyNumberFormat="1" applyFont="1" applyFill="1" applyAlignment="1">
      <alignment horizontal="left" vertical="center"/>
    </xf>
    <xf numFmtId="0" fontId="13" fillId="10" borderId="4" xfId="0" applyFont="1" applyFill="1" applyBorder="1" applyAlignment="1">
      <alignment vertical="center"/>
    </xf>
    <xf numFmtId="0" fontId="16" fillId="12" borderId="0" xfId="0" applyFont="1" applyFill="1" applyAlignment="1">
      <alignment horizontal="left" vertical="center"/>
    </xf>
    <xf numFmtId="14" fontId="16" fillId="12" borderId="0" xfId="0" applyNumberFormat="1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0" fontId="16" fillId="12" borderId="7" xfId="0" applyFont="1" applyFill="1" applyBorder="1" applyAlignment="1">
      <alignment vertical="center"/>
    </xf>
    <xf numFmtId="0" fontId="16" fillId="12" borderId="0" xfId="0" applyFont="1" applyFill="1" applyAlignment="1">
      <alignment vertical="center"/>
    </xf>
    <xf numFmtId="0" fontId="8" fillId="0" borderId="0" xfId="0" applyFont="1"/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 wrapText="1"/>
      <protection locked="0"/>
    </xf>
    <xf numFmtId="0" fontId="10" fillId="0" borderId="0" xfId="0" applyFont="1" applyAlignment="1" applyProtection="1">
      <alignment horizontal="left" vertical="center"/>
      <protection locked="0"/>
    </xf>
    <xf numFmtId="14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vertical="center"/>
      <protection locked="0"/>
    </xf>
    <xf numFmtId="14" fontId="10" fillId="0" borderId="9" xfId="0" applyNumberFormat="1" applyFont="1" applyBorder="1" applyAlignment="1" applyProtection="1">
      <alignment horizontal="center" vertical="center"/>
      <protection locked="0"/>
    </xf>
    <xf numFmtId="9" fontId="10" fillId="0" borderId="0" xfId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 applyProtection="1">
      <alignment vertical="center"/>
      <protection locked="0"/>
    </xf>
    <xf numFmtId="0" fontId="13" fillId="10" borderId="4" xfId="0" applyFont="1" applyFill="1" applyBorder="1" applyAlignment="1" applyProtection="1">
      <alignment vertical="center"/>
      <protection locked="0"/>
    </xf>
    <xf numFmtId="0" fontId="10" fillId="0" borderId="0" xfId="0" applyFont="1"/>
    <xf numFmtId="0" fontId="11" fillId="0" borderId="0" xfId="0" applyFont="1" applyAlignment="1">
      <alignment horizontal="center" vertical="top"/>
    </xf>
    <xf numFmtId="1" fontId="4" fillId="8" borderId="0" xfId="0" applyNumberFormat="1" applyFont="1" applyFill="1" applyAlignment="1">
      <alignment horizontal="center" vertical="center"/>
    </xf>
    <xf numFmtId="1" fontId="4" fillId="9" borderId="0" xfId="0" applyNumberFormat="1" applyFont="1" applyFill="1" applyAlignment="1">
      <alignment horizontal="center" vertical="center"/>
    </xf>
    <xf numFmtId="0" fontId="14" fillId="11" borderId="5" xfId="0" applyFont="1" applyFill="1" applyBorder="1" applyAlignment="1">
      <alignment horizontal="left" vertical="center"/>
    </xf>
    <xf numFmtId="14" fontId="10" fillId="0" borderId="0" xfId="1" applyNumberFormat="1" applyFont="1" applyFill="1" applyAlignment="1" applyProtection="1">
      <alignment horizontal="center" vertical="center"/>
      <protection locked="0"/>
    </xf>
    <xf numFmtId="0" fontId="19" fillId="9" borderId="0" xfId="0" applyFont="1" applyFill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19" fillId="8" borderId="14" xfId="0" applyFont="1" applyFill="1" applyBorder="1" applyAlignment="1">
      <alignment horizontal="center" vertical="center"/>
    </xf>
    <xf numFmtId="0" fontId="19" fillId="8" borderId="13" xfId="0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14" fontId="22" fillId="0" borderId="0" xfId="0" applyNumberFormat="1" applyFont="1"/>
    <xf numFmtId="14" fontId="22" fillId="0" borderId="0" xfId="0" applyNumberFormat="1" applyFont="1" applyAlignment="1">
      <alignment vertical="center"/>
    </xf>
    <xf numFmtId="14" fontId="21" fillId="0" borderId="0" xfId="0" applyNumberFormat="1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4" fontId="20" fillId="9" borderId="0" xfId="0" applyNumberFormat="1" applyFont="1" applyFill="1" applyAlignment="1">
      <alignment vertical="center"/>
    </xf>
    <xf numFmtId="14" fontId="20" fillId="8" borderId="0" xfId="0" applyNumberFormat="1" applyFont="1" applyFill="1" applyAlignment="1">
      <alignment vertical="center"/>
    </xf>
    <xf numFmtId="1" fontId="4" fillId="9" borderId="0" xfId="0" applyNumberFormat="1" applyFont="1" applyFill="1" applyAlignment="1">
      <alignment horizontal="left" vertical="center"/>
    </xf>
    <xf numFmtId="1" fontId="4" fillId="8" borderId="0" xfId="0" applyNumberFormat="1" applyFont="1" applyFill="1" applyAlignment="1">
      <alignment horizontal="left" vertical="center"/>
    </xf>
    <xf numFmtId="0" fontId="23" fillId="0" borderId="2" xfId="0" applyFont="1" applyBorder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5" fillId="17" borderId="0" xfId="0" applyFont="1" applyFill="1" applyAlignment="1">
      <alignment vertical="top"/>
    </xf>
    <xf numFmtId="0" fontId="26" fillId="17" borderId="0" xfId="0" applyFont="1" applyFill="1" applyAlignment="1">
      <alignment vertical="top"/>
    </xf>
    <xf numFmtId="0" fontId="27" fillId="17" borderId="0" xfId="0" applyFont="1" applyFill="1"/>
    <xf numFmtId="0" fontId="28" fillId="17" borderId="0" xfId="0" applyFont="1" applyFill="1"/>
    <xf numFmtId="0" fontId="0" fillId="17" borderId="0" xfId="0" applyFill="1"/>
    <xf numFmtId="0" fontId="29" fillId="17" borderId="0" xfId="0" applyFont="1" applyFill="1" applyAlignment="1">
      <alignment vertical="center"/>
    </xf>
    <xf numFmtId="0" fontId="27" fillId="17" borderId="0" xfId="0" applyFont="1" applyFill="1" applyAlignment="1">
      <alignment vertical="center"/>
    </xf>
    <xf numFmtId="0" fontId="28" fillId="17" borderId="0" xfId="0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wrapText="1"/>
    </xf>
    <xf numFmtId="14" fontId="32" fillId="0" borderId="0" xfId="0" applyNumberFormat="1" applyFont="1" applyAlignment="1">
      <alignment horizontal="center" vertical="center" wrapText="1"/>
    </xf>
    <xf numFmtId="15" fontId="32" fillId="0" borderId="0" xfId="0" applyNumberFormat="1" applyFont="1" applyAlignment="1">
      <alignment horizontal="left" vertical="center" wrapText="1"/>
    </xf>
    <xf numFmtId="9" fontId="0" fillId="0" borderId="0" xfId="1" applyFont="1"/>
    <xf numFmtId="9" fontId="9" fillId="3" borderId="1" xfId="1" applyFont="1" applyFill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1" applyNumberFormat="1" applyFont="1"/>
    <xf numFmtId="0" fontId="13" fillId="10" borderId="4" xfId="1" applyNumberFormat="1" applyFont="1" applyFill="1" applyBorder="1" applyAlignment="1">
      <alignment vertical="center"/>
    </xf>
    <xf numFmtId="0" fontId="2" fillId="8" borderId="3" xfId="1" applyNumberFormat="1" applyFont="1" applyFill="1" applyBorder="1" applyAlignment="1">
      <alignment horizontal="center" vertical="center"/>
    </xf>
    <xf numFmtId="0" fontId="34" fillId="0" borderId="22" xfId="0" applyFont="1" applyBorder="1" applyAlignment="1">
      <alignment vertic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13" fillId="19" borderId="4" xfId="0" applyFont="1" applyFill="1" applyBorder="1" applyAlignment="1">
      <alignment vertical="center"/>
    </xf>
    <xf numFmtId="0" fontId="9" fillId="18" borderId="1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 wrapText="1"/>
    </xf>
    <xf numFmtId="0" fontId="10" fillId="18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20" borderId="19" xfId="0" applyFont="1" applyFill="1" applyBorder="1" applyAlignment="1">
      <alignment horizontal="center" vertical="center"/>
    </xf>
    <xf numFmtId="0" fontId="11" fillId="20" borderId="21" xfId="0" applyFont="1" applyFill="1" applyBorder="1" applyAlignment="1">
      <alignment horizontal="center" vertical="center"/>
    </xf>
    <xf numFmtId="0" fontId="35" fillId="20" borderId="21" xfId="0" applyFont="1" applyFill="1" applyBorder="1" applyAlignment="1">
      <alignment horizontal="centerContinuous" vertical="center"/>
    </xf>
    <xf numFmtId="10" fontId="35" fillId="20" borderId="23" xfId="0" applyNumberFormat="1" applyFont="1" applyFill="1" applyBorder="1" applyAlignment="1">
      <alignment horizontal="center" vertical="center"/>
    </xf>
    <xf numFmtId="14" fontId="35" fillId="20" borderId="23" xfId="0" applyNumberFormat="1" applyFont="1" applyFill="1" applyBorder="1" applyAlignment="1">
      <alignment horizontal="center" vertical="center"/>
    </xf>
    <xf numFmtId="0" fontId="35" fillId="20" borderId="23" xfId="0" applyFont="1" applyFill="1" applyBorder="1" applyAlignment="1">
      <alignment horizontal="center" vertical="center"/>
    </xf>
    <xf numFmtId="10" fontId="0" fillId="0" borderId="0" xfId="1" applyNumberFormat="1" applyFont="1"/>
    <xf numFmtId="0" fontId="6" fillId="13" borderId="24" xfId="0" applyFont="1" applyFill="1" applyBorder="1" applyAlignment="1">
      <alignment vertical="center"/>
    </xf>
    <xf numFmtId="0" fontId="6" fillId="14" borderId="24" xfId="0" applyFont="1" applyFill="1" applyBorder="1" applyAlignment="1">
      <alignment vertical="center"/>
    </xf>
    <xf numFmtId="0" fontId="6" fillId="15" borderId="24" xfId="0" applyFont="1" applyFill="1" applyBorder="1" applyAlignment="1">
      <alignment vertical="center"/>
    </xf>
    <xf numFmtId="0" fontId="6" fillId="4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6" fillId="6" borderId="24" xfId="0" applyFont="1" applyFill="1" applyBorder="1" applyAlignment="1">
      <alignment vertical="center"/>
    </xf>
    <xf numFmtId="0" fontId="32" fillId="0" borderId="1" xfId="0" applyFont="1" applyBorder="1" applyAlignment="1">
      <alignment horizontal="left" vertical="center" wrapText="1"/>
    </xf>
    <xf numFmtId="0" fontId="17" fillId="16" borderId="1" xfId="0" applyFont="1" applyFill="1" applyBorder="1" applyAlignment="1">
      <alignment horizontal="center" vertical="center"/>
    </xf>
    <xf numFmtId="0" fontId="32" fillId="0" borderId="19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21" borderId="22" xfId="0" applyFont="1" applyFill="1" applyBorder="1" applyAlignment="1">
      <alignment horizontal="center" vertical="center" wrapText="1"/>
    </xf>
    <xf numFmtId="9" fontId="32" fillId="21" borderId="22" xfId="1" applyFont="1" applyFill="1" applyBorder="1" applyAlignment="1">
      <alignment horizontal="center" vertical="center" wrapText="1"/>
    </xf>
    <xf numFmtId="1" fontId="32" fillId="21" borderId="22" xfId="0" applyNumberFormat="1" applyFont="1" applyFill="1" applyBorder="1" applyAlignment="1">
      <alignment horizontal="center" vertical="center" wrapText="1"/>
    </xf>
    <xf numFmtId="9" fontId="32" fillId="21" borderId="8" xfId="1" applyFont="1" applyFill="1" applyBorder="1" applyAlignment="1">
      <alignment horizontal="center" vertical="center" wrapText="1"/>
    </xf>
    <xf numFmtId="14" fontId="32" fillId="0" borderId="22" xfId="0" applyNumberFormat="1" applyFont="1" applyBorder="1" applyAlignment="1">
      <alignment horizontal="center" vertical="center" wrapText="1"/>
    </xf>
    <xf numFmtId="10" fontId="32" fillId="0" borderId="22" xfId="0" applyNumberFormat="1" applyFont="1" applyBorder="1" applyAlignment="1">
      <alignment horizontal="center" vertical="center" wrapText="1"/>
    </xf>
    <xf numFmtId="17" fontId="10" fillId="0" borderId="0" xfId="0" applyNumberFormat="1" applyFont="1" applyAlignment="1">
      <alignment horizontal="center" vertical="center"/>
    </xf>
    <xf numFmtId="165" fontId="36" fillId="0" borderId="0" xfId="0" applyNumberFormat="1" applyFont="1" applyAlignment="1">
      <alignment horizontal="center" vertical="center"/>
    </xf>
    <xf numFmtId="0" fontId="37" fillId="22" borderId="0" xfId="0" applyFont="1" applyFill="1" applyAlignment="1">
      <alignment horizontal="center" vertical="center"/>
    </xf>
    <xf numFmtId="165" fontId="38" fillId="22" borderId="0" xfId="0" applyNumberFormat="1" applyFont="1" applyFill="1" applyAlignment="1">
      <alignment horizontal="center" vertical="center"/>
    </xf>
    <xf numFmtId="9" fontId="40" fillId="0" borderId="0" xfId="2" applyFont="1" applyBorder="1" applyAlignment="1">
      <alignment horizontal="center"/>
    </xf>
    <xf numFmtId="14" fontId="16" fillId="12" borderId="0" xfId="0" applyNumberFormat="1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41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9" fontId="42" fillId="0" borderId="0" xfId="2" applyFont="1" applyBorder="1" applyAlignment="1">
      <alignment horizontal="center"/>
    </xf>
    <xf numFmtId="166" fontId="0" fillId="0" borderId="0" xfId="0" applyNumberFormat="1" applyAlignment="1">
      <alignment horizontal="left"/>
    </xf>
    <xf numFmtId="166" fontId="0" fillId="0" borderId="0" xfId="0" applyNumberFormat="1" applyAlignment="1">
      <alignment horizontal="center"/>
    </xf>
    <xf numFmtId="0" fontId="41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/>
    </xf>
    <xf numFmtId="0" fontId="37" fillId="0" borderId="25" xfId="0" applyFont="1" applyBorder="1" applyAlignment="1">
      <alignment horizontal="left" vertical="center"/>
    </xf>
    <xf numFmtId="0" fontId="37" fillId="0" borderId="26" xfId="0" applyFont="1" applyBorder="1" applyAlignment="1">
      <alignment horizontal="left" vertical="center"/>
    </xf>
    <xf numFmtId="0" fontId="33" fillId="0" borderId="25" xfId="0" applyFont="1" applyBorder="1" applyAlignment="1">
      <alignment vertical="center"/>
    </xf>
    <xf numFmtId="1" fontId="33" fillId="0" borderId="26" xfId="0" applyNumberFormat="1" applyFont="1" applyBorder="1" applyAlignment="1">
      <alignment horizontal="left" vertical="center"/>
    </xf>
    <xf numFmtId="0" fontId="33" fillId="0" borderId="26" xfId="0" applyFont="1" applyBorder="1" applyAlignment="1">
      <alignment vertical="center"/>
    </xf>
    <xf numFmtId="0" fontId="6" fillId="20" borderId="0" xfId="0" applyFont="1" applyFill="1"/>
    <xf numFmtId="0" fontId="6" fillId="0" borderId="0" xfId="0" applyFont="1"/>
    <xf numFmtId="0" fontId="34" fillId="0" borderId="0" xfId="0" applyFont="1" applyAlignment="1">
      <alignment horizontal="left" vertical="center"/>
    </xf>
    <xf numFmtId="15" fontId="0" fillId="0" borderId="0" xfId="0" applyNumberFormat="1" applyAlignment="1">
      <alignment horizontal="left" vertical="center"/>
    </xf>
    <xf numFmtId="0" fontId="43" fillId="10" borderId="4" xfId="0" applyFont="1" applyFill="1" applyBorder="1" applyAlignment="1">
      <alignment vertical="center"/>
    </xf>
    <xf numFmtId="0" fontId="17" fillId="16" borderId="27" xfId="0" applyFont="1" applyFill="1" applyBorder="1" applyAlignment="1">
      <alignment horizontal="center"/>
    </xf>
    <xf numFmtId="0" fontId="17" fillId="16" borderId="18" xfId="0" applyFont="1" applyFill="1" applyBorder="1" applyAlignment="1">
      <alignment horizontal="center" vertical="center"/>
    </xf>
    <xf numFmtId="0" fontId="44" fillId="10" borderId="4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17" fillId="16" borderId="28" xfId="0" applyFont="1" applyFill="1" applyBorder="1" applyAlignment="1">
      <alignment horizontal="center" vertical="center"/>
    </xf>
    <xf numFmtId="0" fontId="17" fillId="16" borderId="3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7" fillId="16" borderId="29" xfId="0" applyFont="1" applyFill="1" applyBorder="1" applyAlignment="1">
      <alignment horizontal="center" vertical="center"/>
    </xf>
    <xf numFmtId="0" fontId="37" fillId="0" borderId="30" xfId="0" applyFont="1" applyBorder="1" applyAlignment="1">
      <alignment horizontal="left" vertical="center"/>
    </xf>
    <xf numFmtId="0" fontId="7" fillId="2" borderId="8" xfId="0" applyFont="1" applyFill="1" applyBorder="1" applyAlignment="1">
      <alignment horizontal="center"/>
    </xf>
    <xf numFmtId="0" fontId="33" fillId="0" borderId="30" xfId="0" applyFont="1" applyBorder="1" applyAlignment="1">
      <alignment horizontal="center" vertical="center"/>
    </xf>
    <xf numFmtId="0" fontId="33" fillId="0" borderId="30" xfId="0" applyFont="1" applyBorder="1" applyAlignment="1">
      <alignment horizontal="left" vertical="center"/>
    </xf>
    <xf numFmtId="9" fontId="33" fillId="0" borderId="30" xfId="1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33" fillId="0" borderId="26" xfId="0" applyFont="1" applyBorder="1" applyAlignment="1">
      <alignment horizontal="left" vertical="center"/>
    </xf>
    <xf numFmtId="9" fontId="33" fillId="0" borderId="26" xfId="1" applyFont="1" applyBorder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9" fontId="40" fillId="0" borderId="0" xfId="2" applyFont="1" applyAlignment="1">
      <alignment horizontal="center"/>
    </xf>
    <xf numFmtId="0" fontId="6" fillId="2" borderId="0" xfId="0" applyFont="1" applyFill="1"/>
    <xf numFmtId="0" fontId="3" fillId="9" borderId="17" xfId="0" applyFont="1" applyFill="1" applyBorder="1" applyAlignment="1">
      <alignment horizontal="center" vertical="center"/>
    </xf>
    <xf numFmtId="164" fontId="2" fillId="8" borderId="10" xfId="0" applyNumberFormat="1" applyFont="1" applyFill="1" applyBorder="1" applyAlignment="1">
      <alignment horizontal="center" vertical="center"/>
    </xf>
    <xf numFmtId="164" fontId="2" fillId="9" borderId="11" xfId="0" applyNumberFormat="1" applyFont="1" applyFill="1" applyBorder="1" applyAlignment="1">
      <alignment horizontal="center" vertical="center"/>
    </xf>
    <xf numFmtId="164" fontId="2" fillId="8" borderId="11" xfId="0" applyNumberFormat="1" applyFont="1" applyFill="1" applyBorder="1" applyAlignment="1">
      <alignment horizontal="center" vertical="center"/>
    </xf>
    <xf numFmtId="164" fontId="2" fillId="8" borderId="12" xfId="0" applyNumberFormat="1" applyFont="1" applyFill="1" applyBorder="1" applyAlignment="1">
      <alignment horizontal="center" vertical="center"/>
    </xf>
    <xf numFmtId="164" fontId="2" fillId="9" borderId="12" xfId="0" applyNumberFormat="1" applyFont="1" applyFill="1" applyBorder="1" applyAlignment="1">
      <alignment horizontal="center" vertical="center"/>
    </xf>
    <xf numFmtId="164" fontId="2" fillId="9" borderId="10" xfId="0" applyNumberFormat="1" applyFont="1" applyFill="1" applyBorder="1" applyAlignment="1">
      <alignment horizontal="center" vertical="center"/>
    </xf>
    <xf numFmtId="0" fontId="28" fillId="17" borderId="0" xfId="0" applyFont="1" applyFill="1" applyAlignment="1">
      <alignment horizontal="left" vertical="center" wrapText="1"/>
    </xf>
    <xf numFmtId="0" fontId="16" fillId="12" borderId="0" xfId="0" applyFont="1" applyFill="1" applyAlignment="1">
      <alignment horizontal="left" vertical="center"/>
    </xf>
    <xf numFmtId="0" fontId="16" fillId="12" borderId="7" xfId="0" applyFont="1" applyFill="1" applyBorder="1" applyAlignment="1">
      <alignment horizontal="left" vertical="center"/>
    </xf>
    <xf numFmtId="14" fontId="18" fillId="10" borderId="4" xfId="0" applyNumberFormat="1" applyFont="1" applyFill="1" applyBorder="1" applyAlignment="1" applyProtection="1">
      <alignment horizontal="center" vertical="center"/>
      <protection locked="0"/>
    </xf>
    <xf numFmtId="0" fontId="14" fillId="11" borderId="5" xfId="0" applyFont="1" applyFill="1" applyBorder="1" applyAlignment="1">
      <alignment horizontal="left" vertical="center"/>
    </xf>
    <xf numFmtId="14" fontId="16" fillId="12" borderId="0" xfId="0" applyNumberFormat="1" applyFont="1" applyFill="1" applyAlignment="1" applyProtection="1">
      <alignment horizontal="left" vertical="center"/>
      <protection locked="0"/>
    </xf>
    <xf numFmtId="0" fontId="16" fillId="1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14" fillId="11" borderId="6" xfId="0" applyFont="1" applyFill="1" applyBorder="1" applyAlignment="1">
      <alignment horizontal="left" vertical="center"/>
    </xf>
    <xf numFmtId="0" fontId="15" fillId="11" borderId="5" xfId="0" applyFont="1" applyFill="1" applyBorder="1" applyAlignment="1" applyProtection="1">
      <alignment horizontal="left" vertical="center"/>
      <protection locked="0"/>
    </xf>
    <xf numFmtId="0" fontId="9" fillId="0" borderId="0" xfId="0" applyFont="1" applyAlignment="1">
      <alignment horizontal="center" vertical="center"/>
    </xf>
    <xf numFmtId="0" fontId="9" fillId="3" borderId="19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9" fillId="3" borderId="20" xfId="0" applyFont="1" applyFill="1" applyBorder="1" applyAlignment="1">
      <alignment horizontal="center" vertical="center"/>
    </xf>
  </cellXfs>
  <cellStyles count="3">
    <cellStyle name="Normal" xfId="0" builtinId="0"/>
    <cellStyle name="Percent" xfId="1" builtinId="5"/>
    <cellStyle name="Pourcentage 2" xfId="2" xr:uid="{E099DAFE-6ECE-438C-9332-DAB633FA17D4}"/>
  </cellStyles>
  <dxfs count="305"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bottom style="thin">
          <color theme="9"/>
        </bottom>
      </border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.9"/>
        <color theme="2" tint="-0.74999237037263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262626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5" formatCode="#,##0\ &quot;$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5" formatCode="#,##0\ &quot;$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167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lightUp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14999847407452621"/>
        <name val="Calibri"/>
        <family val="2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0"/>
      </font>
      <fill>
        <patternFill>
          <fgColor indexed="64"/>
          <bgColor rgb="FF70AD47"/>
        </patternFill>
      </fill>
    </dxf>
    <dxf>
      <font>
        <b val="0"/>
        <i val="0"/>
        <color theme="0"/>
      </font>
      <fill>
        <patternFill>
          <fgColor indexed="64"/>
          <bgColor rgb="FFFFC000"/>
        </patternFill>
      </fill>
    </dxf>
    <dxf>
      <font>
        <b val="0"/>
        <i val="0"/>
        <color theme="0"/>
      </font>
      <fill>
        <patternFill>
          <fgColor indexed="64"/>
          <bgColor rgb="FF4868E5"/>
        </patternFill>
      </fill>
    </dxf>
    <dxf>
      <font>
        <b val="0"/>
        <i val="0"/>
        <color theme="0"/>
      </font>
      <fill>
        <patternFill>
          <fgColor indexed="64"/>
          <bgColor rgb="FFFF0000"/>
        </patternFill>
      </fill>
    </dxf>
    <dxf>
      <font>
        <b val="0"/>
        <i val="0"/>
        <color theme="2" tint="-0.499984740745262"/>
      </font>
      <border>
        <left style="thin">
          <color theme="5"/>
        </left>
        <right style="thin">
          <color theme="5"/>
        </right>
      </border>
    </dxf>
    <dxf>
      <font>
        <color rgb="FFFFFFFF"/>
      </font>
      <fill>
        <patternFill patternType="solid">
          <fgColor indexed="64"/>
          <bgColor theme="9" tint="0.79998168889431442"/>
        </patternFill>
      </fill>
      <border>
        <left/>
        <right/>
      </border>
    </dxf>
    <dxf>
      <font>
        <color rgb="FFFFFFFF"/>
      </font>
      <fill>
        <patternFill patternType="solid">
          <fgColor indexed="64"/>
          <bgColor theme="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E38B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C000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9DAFF1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4868E5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8989"/>
        </patternFill>
      </fill>
      <border>
        <left/>
        <right/>
      </border>
    </dxf>
    <dxf>
      <font>
        <color rgb="FFFFFFFF"/>
      </font>
      <fill>
        <patternFill>
          <fgColor indexed="64"/>
          <bgColor rgb="FFFF0000"/>
        </patternFill>
      </fill>
      <border>
        <left/>
        <right/>
      </border>
    </dxf>
    <dxf>
      <font>
        <b/>
        <i val="0"/>
        <color rgb="FF00B050"/>
      </font>
      <fill>
        <patternFill patternType="solid">
          <fgColor indexed="64"/>
          <bgColor theme="9" tint="0.79998168889431442"/>
        </patternFill>
      </fill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 style="thin">
          <color theme="9" tint="0.59996337778862885"/>
        </top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  <horizontal style="thin">
          <color theme="9" tint="0.59996337778862885"/>
        </horizontal>
      </border>
    </dxf>
    <dxf>
      <border>
        <top/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</border>
    </dxf>
    <dxf>
      <border>
        <top/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border>
        <top style="thin">
          <color theme="9" tint="0.59996337778862885"/>
        </top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border>
        <top/>
        <bottom style="thin">
          <color theme="9" tint="0.59996337778862885"/>
        </bottom>
        <horizontal style="thin">
          <color theme="9" tint="0.59996337778862885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/>
        <bottom style="thin">
          <color theme="9" tint="0.59996337778862885"/>
        </bottom>
      </border>
    </dxf>
    <dxf>
      <border>
        <top/>
        <bottom style="thin">
          <color theme="9" tint="0.59996337778862885"/>
        </bottom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 tint="0.59996337778862885"/>
        </top>
      </border>
    </dxf>
    <dxf>
      <border>
        <top style="thin">
          <color theme="9" tint="0.59996337778862885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>
        <top style="thin">
          <color theme="9"/>
        </top>
      </border>
    </dxf>
    <dxf>
      <border>
        <top style="thin">
          <color theme="9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  <dxf>
      <border>
        <left style="thin">
          <color theme="9"/>
        </left>
      </border>
    </dxf>
    <dxf>
      <border>
        <left style="thin">
          <color theme="9"/>
        </left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</dxf>
    <dxf>
      <font>
        <color theme="1"/>
      </font>
      <border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  <vertical style="thin">
          <color theme="0" tint="-4.9989318521683403E-2"/>
        </vertical>
        <horizontal style="thin">
          <color theme="0" tint="-4.9989318521683403E-2"/>
        </horizontal>
      </border>
    </dxf>
  </dxfs>
  <tableStyles count="12" defaultTableStyle="TableStyleMedium2" defaultPivotStyle="PivotStyleLight16">
    <tableStyle name="TableStyleLight14 2" pivot="0" count="9" xr9:uid="{C803ECF4-81F2-48DA-A591-0A545A829943}">
      <tableStyleElement type="wholeTable" dxfId="304"/>
      <tableStyleElement type="headerRow" dxfId="303"/>
      <tableStyleElement type="totalRow" dxfId="302"/>
      <tableStyleElement type="firstColumn" dxfId="301"/>
      <tableStyleElement type="lastColumn" dxfId="300"/>
      <tableStyleElement type="firstRowStripe" dxfId="299"/>
      <tableStyleElement type="secondRowStripe" dxfId="298"/>
      <tableStyleElement type="firstColumnStripe" dxfId="297"/>
      <tableStyleElement type="secondColumnStripe" dxfId="296"/>
    </tableStyle>
    <tableStyle name="TableStyleLight14 2 2" pivot="0" count="9" xr9:uid="{AC5A6F65-C9C4-4955-81C3-AF4FEE86B463}">
      <tableStyleElement type="wholeTable" dxfId="295"/>
      <tableStyleElement type="headerRow" dxfId="294"/>
      <tableStyleElement type="totalRow" dxfId="293"/>
      <tableStyleElement type="firstColumn" dxfId="292"/>
      <tableStyleElement type="lastColumn" dxfId="291"/>
      <tableStyleElement type="firstRowStripe" dxfId="290"/>
      <tableStyleElement type="secondRowStripe" dxfId="289"/>
      <tableStyleElement type="firstColumnStripe" dxfId="288"/>
      <tableStyleElement type="secondColumnStripe" dxfId="287"/>
    </tableStyle>
    <tableStyle name="TabProgress" pivot="0" count="9" xr9:uid="{4403DC8B-32CD-4C1E-BA77-4B3B870AC6CC}">
      <tableStyleElement type="wholeTable" dxfId="286"/>
      <tableStyleElement type="headerRow" dxfId="285"/>
      <tableStyleElement type="totalRow" dxfId="284"/>
      <tableStyleElement type="firstColumn" dxfId="283"/>
      <tableStyleElement type="lastColumn" dxfId="282"/>
      <tableStyleElement type="firstRowStripe" dxfId="281"/>
      <tableStyleElement type="secondRowStripe" dxfId="280"/>
      <tableStyleElement type="firstColumnStripe" dxfId="279"/>
      <tableStyleElement type="secondColumnStripe" dxfId="278"/>
    </tableStyle>
    <tableStyle name="TabProgress 2" pivot="0" count="9" xr9:uid="{675D0C17-5CD5-48F9-9FD9-9D3F99640024}">
      <tableStyleElement type="wholeTable" dxfId="277"/>
      <tableStyleElement type="headerRow" dxfId="276"/>
      <tableStyleElement type="totalRow" dxfId="275"/>
      <tableStyleElement type="firstColumn" dxfId="274"/>
      <tableStyleElement type="lastColumn" dxfId="273"/>
      <tableStyleElement type="firstRowStripe" dxfId="272"/>
      <tableStyleElement type="secondRowStripe" dxfId="271"/>
      <tableStyleElement type="firstColumnStripe" dxfId="270"/>
      <tableStyleElement type="secondColumnStripe" dxfId="269"/>
    </tableStyle>
    <tableStyle name="TabProgress 2 2" pivot="0" count="9" xr9:uid="{8DB6011F-9193-4931-92C5-E9D93EA71976}">
      <tableStyleElement type="wholeTable" dxfId="268"/>
      <tableStyleElement type="headerRow" dxfId="267"/>
      <tableStyleElement type="totalRow" dxfId="266"/>
      <tableStyleElement type="firstColumn" dxfId="265"/>
      <tableStyleElement type="lastColumn" dxfId="264"/>
      <tableStyleElement type="firstRowStripe" dxfId="263"/>
      <tableStyleElement type="secondRowStripe" dxfId="262"/>
      <tableStyleElement type="firstColumnStripe" dxfId="261"/>
      <tableStyleElement type="secondColumnStripe" dxfId="260"/>
    </tableStyle>
    <tableStyle name="TabProgress 2 2 2" pivot="0" count="9" xr9:uid="{D733C40D-CDA2-4F69-8390-9F742E452D3B}">
      <tableStyleElement type="wholeTable" dxfId="259"/>
      <tableStyleElement type="headerRow" dxfId="258"/>
      <tableStyleElement type="totalRow" dxfId="257"/>
      <tableStyleElement type="firstColumn" dxfId="256"/>
      <tableStyleElement type="lastColumn" dxfId="255"/>
      <tableStyleElement type="firstRowStripe" dxfId="254"/>
      <tableStyleElement type="secondRowStripe" dxfId="253"/>
      <tableStyleElement type="firstColumnStripe" dxfId="252"/>
      <tableStyleElement type="secondColumnStripe" dxfId="251"/>
    </tableStyle>
    <tableStyle name="TabProgress 2 2 2 2" pivot="0" count="9" xr9:uid="{F1394B83-A51C-455B-BA0D-D04119AE6BCB}">
      <tableStyleElement type="wholeTable" dxfId="250"/>
      <tableStyleElement type="headerRow" dxfId="249"/>
      <tableStyleElement type="totalRow" dxfId="248"/>
      <tableStyleElement type="firstColumn" dxfId="247"/>
      <tableStyleElement type="lastColumn" dxfId="246"/>
      <tableStyleElement type="firstRowStripe" dxfId="245"/>
      <tableStyleElement type="secondRowStripe" dxfId="244"/>
      <tableStyleElement type="firstColumnStripe" dxfId="243"/>
      <tableStyleElement type="secondColumnStripe" dxfId="242"/>
    </tableStyle>
    <tableStyle name="TabProgress 2 3" pivot="0" count="9" xr9:uid="{EC14AE11-6F58-4166-9772-129B0690232C}">
      <tableStyleElement type="wholeTable" dxfId="241"/>
      <tableStyleElement type="headerRow" dxfId="240"/>
      <tableStyleElement type="totalRow" dxfId="239"/>
      <tableStyleElement type="firstColumn" dxfId="238"/>
      <tableStyleElement type="lastColumn" dxfId="237"/>
      <tableStyleElement type="firstRowStripe" dxfId="236"/>
      <tableStyleElement type="secondRowStripe" dxfId="235"/>
      <tableStyleElement type="firstColumnStripe" dxfId="234"/>
      <tableStyleElement type="secondColumnStripe" dxfId="233"/>
    </tableStyle>
    <tableStyle name="TabProgress 2 3 2" pivot="0" count="9" xr9:uid="{FB4CC871-0E4D-40C6-9D7D-1B3C7BB7CA69}">
      <tableStyleElement type="wholeTable" dxfId="232"/>
      <tableStyleElement type="headerRow" dxfId="231"/>
      <tableStyleElement type="totalRow" dxfId="230"/>
      <tableStyleElement type="firstColumn" dxfId="229"/>
      <tableStyleElement type="lastColumn" dxfId="228"/>
      <tableStyleElement type="firstRowStripe" dxfId="227"/>
      <tableStyleElement type="secondRowStripe" dxfId="226"/>
      <tableStyleElement type="firstColumnStripe" dxfId="225"/>
      <tableStyleElement type="secondColumnStripe" dxfId="224"/>
    </tableStyle>
    <tableStyle name="TabProgress 2 3 2 2" pivot="0" count="9" xr9:uid="{287DB003-03A9-4B7C-B98D-0A392B132D1D}">
      <tableStyleElement type="wholeTable" dxfId="223"/>
      <tableStyleElement type="headerRow" dxfId="222"/>
      <tableStyleElement type="totalRow" dxfId="221"/>
      <tableStyleElement type="firstColumn" dxfId="220"/>
      <tableStyleElement type="lastColumn" dxfId="219"/>
      <tableStyleElement type="firstRowStripe" dxfId="218"/>
      <tableStyleElement type="secondRowStripe" dxfId="217"/>
      <tableStyleElement type="firstColumnStripe" dxfId="216"/>
      <tableStyleElement type="secondColumnStripe" dxfId="215"/>
    </tableStyle>
    <tableStyle name="TabProgress 2 3 2 2 2" pivot="0" count="9" xr9:uid="{D2E696C3-B761-4A4F-9495-9392C17E4C7F}">
      <tableStyleElement type="wholeTable" dxfId="214"/>
      <tableStyleElement type="headerRow" dxfId="213"/>
      <tableStyleElement type="totalRow" dxfId="212"/>
      <tableStyleElement type="firstColumn" dxfId="211"/>
      <tableStyleElement type="lastColumn" dxfId="210"/>
      <tableStyleElement type="firstRowStripe" dxfId="209"/>
      <tableStyleElement type="secondRowStripe" dxfId="208"/>
      <tableStyleElement type="firstColumnStripe" dxfId="207"/>
      <tableStyleElement type="secondColumnStripe" dxfId="206"/>
    </tableStyle>
    <tableStyle name="TabProgress 2 3 2 2 2 2" pivot="0" count="9" xr9:uid="{4C3DD0AF-B239-4D76-8B5F-695C43E1B6A5}">
      <tableStyleElement type="wholeTable" dxfId="205"/>
      <tableStyleElement type="headerRow" dxfId="204"/>
      <tableStyleElement type="totalRow" dxfId="203"/>
      <tableStyleElement type="firstColumn" dxfId="202"/>
      <tableStyleElement type="lastColumn" dxfId="201"/>
      <tableStyleElement type="firstRowStripe" dxfId="200"/>
      <tableStyleElement type="secondRowStripe" dxfId="199"/>
      <tableStyleElement type="firstColumnStripe" dxfId="198"/>
      <tableStyleElement type="secondColumnStripe" dxfId="197"/>
    </tableStyle>
  </tableStyles>
  <colors>
    <mruColors>
      <color rgb="FF00B050"/>
      <color rgb="FFF2F8EE"/>
      <color rgb="FFEEEEEE"/>
      <color rgb="FFC198E0"/>
      <color rgb="FFF1F7ED"/>
      <color rgb="FFFFE38B"/>
      <color rgb="FF9DAFF1"/>
      <color rgb="FFFF8989"/>
      <color rgb="FF87F997"/>
      <color rgb="FF55F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Backend!$A$19</c:f>
          <c:strCache>
            <c:ptCount val="1"/>
            <c:pt idx="0">
              <c:v>Taux d'avancement moyen</c:v>
            </c:pt>
          </c:strCache>
        </c:strRef>
      </c:tx>
      <c:layout>
        <c:manualLayout>
          <c:xMode val="edge"/>
          <c:yMode val="edge"/>
          <c:x val="0.14307065217391304"/>
          <c:y val="0.61152855893013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58420346913159"/>
          <c:y val="5.0522632039416123E-3"/>
          <c:w val="0.59518144471071555"/>
          <c:h val="0.99494750656167974"/>
        </c:manualLayout>
      </c:layout>
      <c:doughnutChart>
        <c:varyColors val="1"/>
        <c:ser>
          <c:idx val="0"/>
          <c:order val="0"/>
          <c:tx>
            <c:v>Progression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70B-411C-B131-61DA589F79B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70B-411C-B131-61DA589F79B3}"/>
              </c:ext>
            </c:extLst>
          </c:dPt>
          <c:dPt>
            <c:idx val="2"/>
            <c:bubble3D val="0"/>
            <c:spPr>
              <a:solidFill>
                <a:schemeClr val="accent6">
                  <a:alpha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70B-411C-B131-61DA589F79B3}"/>
              </c:ext>
            </c:extLst>
          </c:dPt>
          <c:cat>
            <c:strRef>
              <c:f>Backend!$A$20:$A$23</c:f>
              <c:strCache>
                <c:ptCount val="3"/>
                <c:pt idx="0">
                  <c:v>Pct</c:v>
                </c:pt>
                <c:pt idx="1">
                  <c:v>Fait</c:v>
                </c:pt>
                <c:pt idx="2">
                  <c:v>Non fait</c:v>
                </c:pt>
              </c:strCache>
            </c:strRef>
          </c:cat>
          <c:val>
            <c:numRef>
              <c:f>Backend!$B$20:$B$22</c:f>
              <c:numCache>
                <c:formatCode>0%</c:formatCode>
                <c:ptCount val="3"/>
                <c:pt idx="0" formatCode="0.00%">
                  <c:v>1</c:v>
                </c:pt>
                <c:pt idx="1">
                  <c:v>0.46893333333333331</c:v>
                </c:pt>
                <c:pt idx="2">
                  <c:v>0.53106666666666669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0B-411C-B131-61DA589F7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9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'Historique écarts délais budget'!$C$10:$C$25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</c:numCache>
            </c:numRef>
          </c:cat>
          <c:val>
            <c:numRef>
              <c:f>'Historique écarts délais budget'!$D$10:$D$25</c:f>
              <c:numCache>
                <c:formatCode>0%</c:formatCode>
                <c:ptCount val="16"/>
                <c:pt idx="0">
                  <c:v>1.6155088852988699E-3</c:v>
                </c:pt>
                <c:pt idx="1">
                  <c:v>0.05</c:v>
                </c:pt>
                <c:pt idx="2">
                  <c:v>0.08</c:v>
                </c:pt>
                <c:pt idx="3">
                  <c:v>0.122256327409801</c:v>
                </c:pt>
                <c:pt idx="4">
                  <c:v>0.16144857296715101</c:v>
                </c:pt>
                <c:pt idx="5">
                  <c:v>0.200640818524502</c:v>
                </c:pt>
                <c:pt idx="6">
                  <c:v>0.23983306408185201</c:v>
                </c:pt>
                <c:pt idx="7">
                  <c:v>-0.4</c:v>
                </c:pt>
                <c:pt idx="8">
                  <c:v>0.200640818524502</c:v>
                </c:pt>
                <c:pt idx="9">
                  <c:v>0.35740980075390399</c:v>
                </c:pt>
                <c:pt idx="10">
                  <c:v>0.39660204631125501</c:v>
                </c:pt>
                <c:pt idx="11">
                  <c:v>0.43579429186860502</c:v>
                </c:pt>
                <c:pt idx="12">
                  <c:v>0.47498653742595598</c:v>
                </c:pt>
                <c:pt idx="13">
                  <c:v>0.51417878298330599</c:v>
                </c:pt>
                <c:pt idx="1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FA-4F48-9CF9-5998FD1FE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4705664"/>
        <c:axId val="304707104"/>
      </c:lineChart>
      <c:dateAx>
        <c:axId val="3047056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07104"/>
        <c:crosses val="autoZero"/>
        <c:auto val="1"/>
        <c:lblOffset val="100"/>
        <c:baseTimeUnit val="months"/>
      </c:dateAx>
      <c:valAx>
        <c:axId val="304707104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47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'Historique écarts délais budget'!$C$10:$C$25</c:f>
              <c:numCache>
                <c:formatCode>mmm\-yy</c:formatCode>
                <c:ptCount val="16"/>
                <c:pt idx="0">
                  <c:v>45017</c:v>
                </c:pt>
                <c:pt idx="1">
                  <c:v>45047</c:v>
                </c:pt>
                <c:pt idx="2">
                  <c:v>45078</c:v>
                </c:pt>
                <c:pt idx="3">
                  <c:v>45108</c:v>
                </c:pt>
                <c:pt idx="4">
                  <c:v>45139</c:v>
                </c:pt>
                <c:pt idx="5">
                  <c:v>45170</c:v>
                </c:pt>
                <c:pt idx="6">
                  <c:v>45200</c:v>
                </c:pt>
                <c:pt idx="7">
                  <c:v>45231</c:v>
                </c:pt>
                <c:pt idx="8">
                  <c:v>45261</c:v>
                </c:pt>
                <c:pt idx="9">
                  <c:v>45292</c:v>
                </c:pt>
                <c:pt idx="10">
                  <c:v>45323</c:v>
                </c:pt>
                <c:pt idx="11">
                  <c:v>45352</c:v>
                </c:pt>
                <c:pt idx="12">
                  <c:v>45383</c:v>
                </c:pt>
                <c:pt idx="13">
                  <c:v>45413</c:v>
                </c:pt>
                <c:pt idx="14">
                  <c:v>45444</c:v>
                </c:pt>
              </c:numCache>
            </c:numRef>
          </c:cat>
          <c:val>
            <c:numRef>
              <c:f>'Historique écarts délais budget'!$E$10:$E$25</c:f>
              <c:numCache>
                <c:formatCode>0%</c:formatCode>
                <c:ptCount val="16"/>
                <c:pt idx="0">
                  <c:v>0.02</c:v>
                </c:pt>
                <c:pt idx="1">
                  <c:v>0.05</c:v>
                </c:pt>
                <c:pt idx="2">
                  <c:v>0.09</c:v>
                </c:pt>
                <c:pt idx="3">
                  <c:v>0.123333333333333</c:v>
                </c:pt>
                <c:pt idx="4">
                  <c:v>-0.15</c:v>
                </c:pt>
                <c:pt idx="5">
                  <c:v>0.193333333333333</c:v>
                </c:pt>
                <c:pt idx="6">
                  <c:v>0.228333333333333</c:v>
                </c:pt>
                <c:pt idx="7">
                  <c:v>0.1</c:v>
                </c:pt>
                <c:pt idx="8">
                  <c:v>0.193333333333333</c:v>
                </c:pt>
                <c:pt idx="9">
                  <c:v>0.5</c:v>
                </c:pt>
                <c:pt idx="10">
                  <c:v>0.1</c:v>
                </c:pt>
                <c:pt idx="11">
                  <c:v>0.40333333333333299</c:v>
                </c:pt>
                <c:pt idx="12">
                  <c:v>0.43833333333333302</c:v>
                </c:pt>
                <c:pt idx="13">
                  <c:v>0.473333333333333</c:v>
                </c:pt>
                <c:pt idx="1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2-4866-9886-AC876D07A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718848"/>
        <c:axId val="97073055"/>
      </c:lineChart>
      <c:dateAx>
        <c:axId val="29071884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073055"/>
        <c:crosses val="autoZero"/>
        <c:auto val="1"/>
        <c:lblOffset val="100"/>
        <c:baseTimeUnit val="months"/>
      </c:dateAx>
      <c:valAx>
        <c:axId val="9707305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71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Backend!$B$38</c:f>
              <c:strCache>
                <c:ptCount val="1"/>
                <c:pt idx="0">
                  <c:v>Status</c:v>
                </c:pt>
              </c:strCache>
            </c:strRef>
          </c:tx>
          <c:dPt>
            <c:idx val="0"/>
            <c:bubble3D val="0"/>
            <c:spPr>
              <a:solidFill>
                <a:srgbClr val="4868E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795-4EDF-984A-5EE8D30ECBAD}"/>
              </c:ext>
            </c:extLst>
          </c:dPt>
          <c:dPt>
            <c:idx val="1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795-4EDF-984A-5EE8D30ECBA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795-4EDF-984A-5EE8D30ECBAD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795-4EDF-984A-5EE8D30ECB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Backend!$A$39:$A$42</c:f>
              <c:strCache>
                <c:ptCount val="4"/>
                <c:pt idx="0">
                  <c:v>In progress</c:v>
                </c:pt>
                <c:pt idx="1">
                  <c:v>Done</c:v>
                </c:pt>
                <c:pt idx="2">
                  <c:v>In Hold</c:v>
                </c:pt>
                <c:pt idx="3">
                  <c:v>TODO</c:v>
                </c:pt>
              </c:strCache>
            </c:strRef>
          </c:cat>
          <c:val>
            <c:numRef>
              <c:f>Backend!$B$39:$B$42</c:f>
              <c:numCache>
                <c:formatCode>General</c:formatCode>
                <c:ptCount val="4"/>
                <c:pt idx="0">
                  <c:v>9</c:v>
                </c:pt>
                <c:pt idx="1">
                  <c:v>2</c:v>
                </c:pt>
                <c:pt idx="2">
                  <c:v>5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95-4EDF-984A-5EE8D30ECBA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Backend!$C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Lines="2" dropStyle="combo" dx="26" fmlaLink="$L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3" Type="http://schemas.openxmlformats.org/officeDocument/2006/relationships/hyperlink" Target="https://learn.microsoft.com/fr-fr/deployoffice/security/internet-macros-blocked" TargetMode="External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17" Type="http://schemas.openxmlformats.org/officeDocument/2006/relationships/image" Target="../media/image16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19" Type="http://schemas.openxmlformats.org/officeDocument/2006/relationships/image" Target="../media/image18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4.png"/><Relationship Id="rId7" Type="http://schemas.openxmlformats.org/officeDocument/2006/relationships/image" Target="../media/image27.svg"/><Relationship Id="rId12" Type="http://schemas.openxmlformats.org/officeDocument/2006/relationships/hyperlink" Target="https://blog-gestion-de-projet.com/docs/kit-management-projet/controle/tableau-de-bord/" TargetMode="External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1.png"/><Relationship Id="rId10" Type="http://schemas.openxmlformats.org/officeDocument/2006/relationships/image" Target="../media/image30.png"/><Relationship Id="rId4" Type="http://schemas.openxmlformats.org/officeDocument/2006/relationships/image" Target="../media/image25.svg"/><Relationship Id="rId9" Type="http://schemas.openxmlformats.org/officeDocument/2006/relationships/image" Target="../media/image2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hyperlink" Target="https://blog-gestion-de-projet.com/docs/kit-management-projet/controle/tableau-de-bord/" TargetMode="Externa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controle/tableau-de-bord/" TargetMode="Externa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blog-gestion-de-projet.com/docs/kit-management-projet/controle/tableau-de-bord/" TargetMode="Externa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image" Target="../media/image33.svg"/><Relationship Id="rId7" Type="http://schemas.openxmlformats.org/officeDocument/2006/relationships/image" Target="../media/image37.svg"/><Relationship Id="rId2" Type="http://schemas.openxmlformats.org/officeDocument/2006/relationships/image" Target="../media/image32.png"/><Relationship Id="rId1" Type="http://schemas.openxmlformats.org/officeDocument/2006/relationships/image" Target="../media/image1.png"/><Relationship Id="rId6" Type="http://schemas.openxmlformats.org/officeDocument/2006/relationships/image" Target="../media/image36.png"/><Relationship Id="rId5" Type="http://schemas.openxmlformats.org/officeDocument/2006/relationships/image" Target="../media/image35.svg"/><Relationship Id="rId10" Type="http://schemas.openxmlformats.org/officeDocument/2006/relationships/hyperlink" Target="https://blog-gestion-de-projet.com/docs/kit-management-projet/controle/tableau-de-bord/" TargetMode="External"/><Relationship Id="rId4" Type="http://schemas.openxmlformats.org/officeDocument/2006/relationships/image" Target="../media/image34.png"/><Relationship Id="rId9" Type="http://schemas.openxmlformats.org/officeDocument/2006/relationships/image" Target="../media/image3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486586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</xdr:colOff>
      <xdr:row>7</xdr:row>
      <xdr:rowOff>85353</xdr:rowOff>
    </xdr:from>
    <xdr:to>
      <xdr:col>10</xdr:col>
      <xdr:colOff>1338872</xdr:colOff>
      <xdr:row>19</xdr:row>
      <xdr:rowOff>41349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260" y="1754133"/>
          <a:ext cx="8638832" cy="2150556"/>
        </a:xfrm>
        <a:prstGeom prst="rect">
          <a:avLst/>
        </a:prstGeom>
      </xdr:spPr>
    </xdr:pic>
    <xdr:clientData/>
  </xdr:twoCellAnchor>
  <xdr:twoCellAnchor>
    <xdr:from>
      <xdr:col>12</xdr:col>
      <xdr:colOff>448156</xdr:colOff>
      <xdr:row>21</xdr:row>
      <xdr:rowOff>215538</xdr:rowOff>
    </xdr:from>
    <xdr:to>
      <xdr:col>13</xdr:col>
      <xdr:colOff>882412</xdr:colOff>
      <xdr:row>21</xdr:row>
      <xdr:rowOff>449749</xdr:rowOff>
    </xdr:to>
    <xdr:sp macro="" textlink="">
      <xdr:nvSpPr>
        <xdr:cNvPr id="9" name="TextBox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9904576" y="4490358"/>
          <a:ext cx="1828716" cy="2342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u="sng">
              <a:solidFill>
                <a:srgbClr val="00B0F0"/>
              </a:solidFill>
            </a:rPr>
            <a:t>Plus de détail</a:t>
          </a:r>
        </a:p>
      </xdr:txBody>
    </xdr:sp>
    <xdr:clientData/>
  </xdr:twoCellAnchor>
  <xdr:twoCellAnchor editAs="oneCell">
    <xdr:from>
      <xdr:col>1</xdr:col>
      <xdr:colOff>22860</xdr:colOff>
      <xdr:row>22</xdr:row>
      <xdr:rowOff>99060</xdr:rowOff>
    </xdr:from>
    <xdr:to>
      <xdr:col>9</xdr:col>
      <xdr:colOff>770849</xdr:colOff>
      <xdr:row>26</xdr:row>
      <xdr:rowOff>39063</xdr:rowOff>
    </xdr:to>
    <xdr:pic>
      <xdr:nvPicPr>
        <xdr:cNvPr id="10" name="Image 5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12132"/>
        <a:stretch/>
      </xdr:blipFill>
      <xdr:spPr>
        <a:xfrm>
          <a:off x="182880" y="4876800"/>
          <a:ext cx="6691589" cy="671523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32</xdr:row>
      <xdr:rowOff>22778</xdr:rowOff>
    </xdr:from>
    <xdr:to>
      <xdr:col>10</xdr:col>
      <xdr:colOff>174246</xdr:colOff>
      <xdr:row>49</xdr:row>
      <xdr:rowOff>108059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4320" y="6789338"/>
          <a:ext cx="7367526" cy="3194241"/>
          <a:chOff x="640080" y="6819818"/>
          <a:chExt cx="7375146" cy="3194241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844040" y="6819818"/>
            <a:ext cx="6171186" cy="3194241"/>
            <a:chOff x="160020" y="6667418"/>
            <a:chExt cx="6171186" cy="3194241"/>
          </a:xfrm>
        </xdr:grpSpPr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60020" y="6667418"/>
              <a:ext cx="6171186" cy="3194241"/>
            </a:xfrm>
            <a:prstGeom prst="rect">
              <a:avLst/>
            </a:prstGeom>
          </xdr:spPr>
        </xdr:pic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41020" y="7581900"/>
              <a:ext cx="3169920" cy="182880"/>
            </a:xfrm>
            <a:prstGeom prst="rect">
              <a:avLst/>
            </a:prstGeom>
            <a:noFill/>
            <a:ln w="12700"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cxnSp macro="">
        <xdr:nvCxnSpPr>
          <xdr:cNvPr id="13" name="Connecteur droit avec flèch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1371600" y="7856220"/>
            <a:ext cx="822960" cy="0"/>
          </a:xfrm>
          <a:prstGeom prst="straightConnector1">
            <a:avLst/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640080" y="771144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FF0000"/>
                </a:solidFill>
              </a:rPr>
              <a:t>Activité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647700" y="8008620"/>
            <a:ext cx="883920" cy="2438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92D050"/>
                </a:solidFill>
              </a:rPr>
              <a:t>Tâche</a:t>
            </a:r>
          </a:p>
        </xdr:txBody>
      </xdr:sp>
      <xdr:cxnSp macro="">
        <xdr:nvCxnSpPr>
          <xdr:cNvPr id="16" name="Connecteur droit avec flèch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 flipV="1">
            <a:off x="1318260" y="8016240"/>
            <a:ext cx="868680" cy="129540"/>
          </a:xfrm>
          <a:prstGeom prst="straightConnector1">
            <a:avLst/>
          </a:prstGeom>
          <a:ln>
            <a:solidFill>
              <a:srgbClr val="92D05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42672</xdr:colOff>
      <xdr:row>52</xdr:row>
      <xdr:rowOff>30480</xdr:rowOff>
    </xdr:from>
    <xdr:to>
      <xdr:col>7</xdr:col>
      <xdr:colOff>315404</xdr:colOff>
      <xdr:row>67</xdr:row>
      <xdr:rowOff>39499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202692" y="10469880"/>
          <a:ext cx="4494212" cy="2752219"/>
          <a:chOff x="202692" y="10454640"/>
          <a:chExt cx="4494212" cy="2752219"/>
        </a:xfrm>
      </xdr:grpSpPr>
      <xdr:pic>
        <xdr:nvPicPr>
          <xdr:cNvPr id="20" name="Imag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02692" y="10454640"/>
            <a:ext cx="4494212" cy="2752219"/>
          </a:xfrm>
          <a:prstGeom prst="rect">
            <a:avLst/>
          </a:prstGeom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36220" y="13014960"/>
            <a:ext cx="281940" cy="17526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228600" y="10843260"/>
            <a:ext cx="998220" cy="281940"/>
          </a:xfrm>
          <a:prstGeom prst="rect">
            <a:avLst/>
          </a:prstGeom>
          <a:noFill/>
          <a:ln w="12700"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15241</xdr:colOff>
      <xdr:row>70</xdr:row>
      <xdr:rowOff>45720</xdr:rowOff>
    </xdr:from>
    <xdr:to>
      <xdr:col>6</xdr:col>
      <xdr:colOff>457201</xdr:colOff>
      <xdr:row>82</xdr:row>
      <xdr:rowOff>170882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75261" y="13807440"/>
          <a:ext cx="3886200" cy="2319722"/>
          <a:chOff x="175261" y="13761720"/>
          <a:chExt cx="3886200" cy="2319722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75261" y="13761720"/>
            <a:ext cx="3886200" cy="2319722"/>
          </a:xfrm>
          <a:prstGeom prst="rect">
            <a:avLst/>
          </a:prstGeom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13360" y="157353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190500" y="14150340"/>
            <a:ext cx="1021080" cy="2514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22860</xdr:colOff>
      <xdr:row>107</xdr:row>
      <xdr:rowOff>33354</xdr:rowOff>
    </xdr:from>
    <xdr:to>
      <xdr:col>13</xdr:col>
      <xdr:colOff>91440</xdr:colOff>
      <xdr:row>119</xdr:row>
      <xdr:rowOff>150106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82880" y="20927394"/>
          <a:ext cx="10751820" cy="2311312"/>
          <a:chOff x="182880" y="16675434"/>
          <a:chExt cx="10759440" cy="2311312"/>
        </a:xfrm>
      </xdr:grpSpPr>
      <xdr:pic>
        <xdr:nvPicPr>
          <xdr:cNvPr id="28" name="Imag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2880" y="16675434"/>
            <a:ext cx="4891216" cy="2311312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t="1250" r="1055"/>
          <a:stretch/>
        </xdr:blipFill>
        <xdr:spPr>
          <a:xfrm>
            <a:off x="6179820" y="16763372"/>
            <a:ext cx="4762500" cy="2194807"/>
          </a:xfrm>
          <a:prstGeom prst="rect">
            <a:avLst/>
          </a:prstGeom>
        </xdr:spPr>
      </xdr:pic>
      <xdr:sp macro="" textlink="">
        <xdr:nvSpPr>
          <xdr:cNvPr id="30" name="Flèche : droi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5303520" y="17663160"/>
            <a:ext cx="556260" cy="33528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6202680" y="18592800"/>
            <a:ext cx="333756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28601" y="18630900"/>
            <a:ext cx="26670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99060</xdr:colOff>
      <xdr:row>154</xdr:row>
      <xdr:rowOff>73224</xdr:rowOff>
    </xdr:from>
    <xdr:to>
      <xdr:col>5</xdr:col>
      <xdr:colOff>323448</xdr:colOff>
      <xdr:row>162</xdr:row>
      <xdr:rowOff>142619</xdr:rowOff>
    </xdr:to>
    <xdr:grpSp>
      <xdr:nvGrpSpPr>
        <xdr:cNvPr id="33" name="Group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99060" y="29730264"/>
          <a:ext cx="2457048" cy="1562915"/>
          <a:chOff x="99060" y="19793784"/>
          <a:chExt cx="2457048" cy="1562915"/>
        </a:xfrm>
      </xdr:grpSpPr>
      <xdr:pic>
        <xdr:nvPicPr>
          <xdr:cNvPr id="34" name="Image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99060" y="19793784"/>
            <a:ext cx="2457048" cy="1562915"/>
          </a:xfrm>
          <a:prstGeom prst="rect">
            <a:avLst/>
          </a:prstGeom>
        </xdr:spPr>
      </xdr:pic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75260" y="20139660"/>
            <a:ext cx="1150620" cy="1173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53340</xdr:colOff>
      <xdr:row>168</xdr:row>
      <xdr:rowOff>31127</xdr:rowOff>
    </xdr:from>
    <xdr:to>
      <xdr:col>7</xdr:col>
      <xdr:colOff>759310</xdr:colOff>
      <xdr:row>179</xdr:row>
      <xdr:rowOff>165393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3360" y="32355167"/>
          <a:ext cx="4927450" cy="2145946"/>
        </a:xfrm>
        <a:prstGeom prst="rect">
          <a:avLst/>
        </a:prstGeom>
      </xdr:spPr>
    </xdr:pic>
    <xdr:clientData/>
  </xdr:twoCellAnchor>
  <xdr:twoCellAnchor>
    <xdr:from>
      <xdr:col>1</xdr:col>
      <xdr:colOff>45720</xdr:colOff>
      <xdr:row>236</xdr:row>
      <xdr:rowOff>28464</xdr:rowOff>
    </xdr:from>
    <xdr:to>
      <xdr:col>10</xdr:col>
      <xdr:colOff>1130129</xdr:colOff>
      <xdr:row>247</xdr:row>
      <xdr:rowOff>35819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5740" y="45885624"/>
          <a:ext cx="8391989" cy="2186675"/>
          <a:chOff x="205740" y="25616424"/>
          <a:chExt cx="8399609" cy="2186675"/>
        </a:xfrm>
      </xdr:grpSpPr>
      <xdr:pic>
        <xdr:nvPicPr>
          <xdr:cNvPr id="38" name="Imag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5740" y="25616424"/>
            <a:ext cx="8399609" cy="2186675"/>
          </a:xfrm>
          <a:prstGeom prst="rect">
            <a:avLst/>
          </a:prstGeom>
        </xdr:spPr>
      </xdr:pic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804160" y="26647140"/>
            <a:ext cx="5783580" cy="10439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45721</xdr:colOff>
      <xdr:row>249</xdr:row>
      <xdr:rowOff>58129</xdr:rowOff>
    </xdr:from>
    <xdr:to>
      <xdr:col>9</xdr:col>
      <xdr:colOff>952501</xdr:colOff>
      <xdr:row>261</xdr:row>
      <xdr:rowOff>76450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205741" y="48490849"/>
          <a:ext cx="6842760" cy="2395761"/>
          <a:chOff x="205741" y="28221649"/>
          <a:chExt cx="6850380" cy="2395761"/>
        </a:xfrm>
      </xdr:grpSpPr>
      <xdr:pic>
        <xdr:nvPicPr>
          <xdr:cNvPr id="41" name="Imag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5741" y="28221649"/>
            <a:ext cx="6850380" cy="2395761"/>
          </a:xfrm>
          <a:prstGeom prst="rect">
            <a:avLst/>
          </a:prstGeom>
        </xdr:spPr>
      </xdr:pic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4792980" y="28262580"/>
            <a:ext cx="137922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0</xdr:col>
      <xdr:colOff>154598</xdr:colOff>
      <xdr:row>263</xdr:row>
      <xdr:rowOff>83820</xdr:rowOff>
    </xdr:from>
    <xdr:to>
      <xdr:col>10</xdr:col>
      <xdr:colOff>787205</xdr:colOff>
      <xdr:row>278</xdr:row>
      <xdr:rowOff>76200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154598" y="51290220"/>
          <a:ext cx="8100207" cy="2948940"/>
          <a:chOff x="154598" y="31021020"/>
          <a:chExt cx="8107827" cy="2948940"/>
        </a:xfrm>
      </xdr:grpSpPr>
      <xdr:grpSp>
        <xdr:nvGrpSpPr>
          <xdr:cNvPr id="44" name="Group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GrpSpPr/>
        </xdr:nvGrpSpPr>
        <xdr:grpSpPr>
          <a:xfrm>
            <a:off x="154598" y="31021020"/>
            <a:ext cx="8107827" cy="2946503"/>
            <a:chOff x="154598" y="31021020"/>
            <a:chExt cx="8107827" cy="2946503"/>
          </a:xfrm>
        </xdr:grpSpPr>
        <xdr:pic>
          <xdr:nvPicPr>
            <xdr:cNvPr id="46" name="Image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4598" y="31021020"/>
              <a:ext cx="8107827" cy="2946503"/>
            </a:xfrm>
            <a:prstGeom prst="rect">
              <a:avLst/>
            </a:prstGeom>
          </xdr:spPr>
        </xdr:pic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3543300" y="31081980"/>
              <a:ext cx="853440" cy="2362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0">
              <a:schemeClr val="accent6"/>
            </a:lnRef>
            <a:fillRef idx="3">
              <a:schemeClr val="accent6"/>
            </a:fillRef>
            <a:effectRef idx="3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fr-FR" sz="900"/>
            </a:p>
          </xdr:txBody>
        </xdr:sp>
      </xdr:grp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1958340" y="31379160"/>
            <a:ext cx="175260" cy="2590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oneCell">
    <xdr:from>
      <xdr:col>1</xdr:col>
      <xdr:colOff>13476</xdr:colOff>
      <xdr:row>182</xdr:row>
      <xdr:rowOff>106680</xdr:rowOff>
    </xdr:from>
    <xdr:to>
      <xdr:col>9</xdr:col>
      <xdr:colOff>446405</xdr:colOff>
      <xdr:row>195</xdr:row>
      <xdr:rowOff>129053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t="1577"/>
        <a:stretch/>
      </xdr:blipFill>
      <xdr:spPr>
        <a:xfrm>
          <a:off x="173496" y="35234880"/>
          <a:ext cx="6376529" cy="2399813"/>
        </a:xfrm>
        <a:prstGeom prst="rect">
          <a:avLst/>
        </a:prstGeom>
      </xdr:spPr>
    </xdr:pic>
    <xdr:clientData/>
  </xdr:twoCellAnchor>
  <xdr:twoCellAnchor editAs="oneCell">
    <xdr:from>
      <xdr:col>0</xdr:col>
      <xdr:colOff>130722</xdr:colOff>
      <xdr:row>197</xdr:row>
      <xdr:rowOff>53340</xdr:rowOff>
    </xdr:from>
    <xdr:to>
      <xdr:col>9</xdr:col>
      <xdr:colOff>757091</xdr:colOff>
      <xdr:row>216</xdr:row>
      <xdr:rowOff>104200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0722" y="38153340"/>
          <a:ext cx="6729989" cy="352558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217</xdr:row>
      <xdr:rowOff>38100</xdr:rowOff>
    </xdr:from>
    <xdr:to>
      <xdr:col>9</xdr:col>
      <xdr:colOff>801766</xdr:colOff>
      <xdr:row>232</xdr:row>
      <xdr:rowOff>22860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360" y="42100500"/>
          <a:ext cx="6692026" cy="272796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87</xdr:row>
      <xdr:rowOff>14468</xdr:rowOff>
    </xdr:from>
    <xdr:to>
      <xdr:col>13</xdr:col>
      <xdr:colOff>1191704</xdr:colOff>
      <xdr:row>103</xdr:row>
      <xdr:rowOff>26168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2880" y="16946108"/>
          <a:ext cx="11852084" cy="3181620"/>
          <a:chOff x="182880" y="16946108"/>
          <a:chExt cx="11859704" cy="3181620"/>
        </a:xfrm>
      </xdr:grpSpPr>
      <xdr:pic>
        <xdr:nvPicPr>
          <xdr:cNvPr id="52" name="Imag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82880" y="16946108"/>
            <a:ext cx="4706432" cy="3173947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589020" y="17937480"/>
            <a:ext cx="2284557" cy="1209471"/>
          </a:xfrm>
          <a:prstGeom prst="rect">
            <a:avLst/>
          </a:prstGeom>
        </xdr:spPr>
      </xdr:pic>
      <xdr:pic>
        <xdr:nvPicPr>
          <xdr:cNvPr id="54" name="Imag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6899242" y="17000220"/>
            <a:ext cx="5143342" cy="3127508"/>
          </a:xfrm>
          <a:prstGeom prst="rect">
            <a:avLst/>
          </a:prstGeom>
        </xdr:spPr>
      </xdr:pic>
      <xdr:sp macro="" textlink="">
        <xdr:nvSpPr>
          <xdr:cNvPr id="55" name="Flèche : droit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6187440" y="18371820"/>
            <a:ext cx="457200" cy="3429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4267200" y="18867120"/>
            <a:ext cx="685800" cy="21336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7620</xdr:colOff>
      <xdr:row>135</xdr:row>
      <xdr:rowOff>29966</xdr:rowOff>
    </xdr:from>
    <xdr:to>
      <xdr:col>9</xdr:col>
      <xdr:colOff>73287</xdr:colOff>
      <xdr:row>148</xdr:row>
      <xdr:rowOff>121505</xdr:rowOff>
    </xdr:to>
    <xdr:grpSp>
      <xdr:nvGrpSpPr>
        <xdr:cNvPr id="57" name="Group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67640" y="26120846"/>
          <a:ext cx="6001647" cy="2468979"/>
          <a:chOff x="167640" y="23514806"/>
          <a:chExt cx="6009267" cy="2468979"/>
        </a:xfrm>
      </xdr:grpSpPr>
      <xdr:pic>
        <xdr:nvPicPr>
          <xdr:cNvPr id="58" name="Imag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67640" y="23514806"/>
            <a:ext cx="6009267" cy="2468979"/>
          </a:xfrm>
          <a:prstGeom prst="rect">
            <a:avLst/>
          </a:prstGeom>
        </xdr:spPr>
      </xdr:pic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290060" y="24414480"/>
            <a:ext cx="762000" cy="15544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>
    <xdr:from>
      <xdr:col>1</xdr:col>
      <xdr:colOff>38101</xdr:colOff>
      <xdr:row>121</xdr:row>
      <xdr:rowOff>76200</xdr:rowOff>
    </xdr:from>
    <xdr:to>
      <xdr:col>9</xdr:col>
      <xdr:colOff>533401</xdr:colOff>
      <xdr:row>131</xdr:row>
      <xdr:rowOff>60631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98121" y="23545800"/>
          <a:ext cx="6431280" cy="1813231"/>
          <a:chOff x="198121" y="23149560"/>
          <a:chExt cx="6438900" cy="1813231"/>
        </a:xfrm>
      </xdr:grpSpPr>
      <xdr:pic>
        <xdr:nvPicPr>
          <xdr:cNvPr id="61" name="Image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2410" r="160"/>
          <a:stretch/>
        </xdr:blipFill>
        <xdr:spPr>
          <a:xfrm>
            <a:off x="198121" y="23149560"/>
            <a:ext cx="6438900" cy="1813231"/>
          </a:xfrm>
          <a:prstGeom prst="rect">
            <a:avLst/>
          </a:prstGeom>
        </xdr:spPr>
      </xdr:pic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>
            <a:off x="2110740" y="23957280"/>
            <a:ext cx="670560" cy="1524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73680" y="23957280"/>
            <a:ext cx="1341120" cy="16002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fr-FR" sz="900"/>
          </a:p>
        </xdr:txBody>
      </xdr:sp>
    </xdr:grpSp>
    <xdr:clientData/>
  </xdr:twoCellAnchor>
  <xdr:twoCellAnchor editAs="absolute">
    <xdr:from>
      <xdr:col>5</xdr:col>
      <xdr:colOff>480060</xdr:colOff>
      <xdr:row>3</xdr:row>
      <xdr:rowOff>68580</xdr:rowOff>
    </xdr:from>
    <xdr:to>
      <xdr:col>13</xdr:col>
      <xdr:colOff>384359</xdr:colOff>
      <xdr:row>3</xdr:row>
      <xdr:rowOff>319867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GrpSpPr/>
      </xdr:nvGrpSpPr>
      <xdr:grpSpPr>
        <a:xfrm>
          <a:off x="2712720" y="754380"/>
          <a:ext cx="8514899" cy="251287"/>
          <a:chOff x="2301240" y="762000"/>
          <a:chExt cx="8522519" cy="251287"/>
        </a:xfrm>
      </xdr:grpSpPr>
      <xdr:sp macro="[0]!NavBar" textlink="">
        <xdr:nvSpPr>
          <xdr:cNvPr id="65" name="BtnGuide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2301240" y="762001"/>
            <a:ext cx="1220831" cy="248157"/>
          </a:xfrm>
          <a:prstGeom prst="roundRect">
            <a:avLst/>
          </a:prstGeom>
          <a:solidFill>
            <a:srgbClr val="F4792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Guide d'utilisation</a:t>
            </a:r>
          </a:p>
        </xdr:txBody>
      </xdr:sp>
      <xdr:sp macro="[0]!NavBar" textlink="">
        <xdr:nvSpPr>
          <xdr:cNvPr id="66" name="BtnGantt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3558433" y="765130"/>
            <a:ext cx="1401637" cy="248157"/>
          </a:xfrm>
          <a:prstGeom prst="roundRect">
            <a:avLst/>
          </a:prstGeom>
          <a:solidFill>
            <a:schemeClr val="accent5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Gantt</a:t>
            </a:r>
          </a:p>
        </xdr:txBody>
      </xdr:sp>
      <xdr:sp macro="[0]!NavBar" textlink="">
        <xdr:nvSpPr>
          <xdr:cNvPr id="67" name="BtnCouts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5016399" y="762271"/>
            <a:ext cx="1579899" cy="248157"/>
          </a:xfrm>
          <a:prstGeom prst="roundRect">
            <a:avLst/>
          </a:prstGeom>
          <a:solidFill>
            <a:schemeClr val="accent6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Suivi des coûts</a:t>
            </a:r>
          </a:p>
        </xdr:txBody>
      </xdr:sp>
      <xdr:sp macro="[0]!NavBar" textlink="">
        <xdr:nvSpPr>
          <xdr:cNvPr id="68" name="BtnSettings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9548366" y="763372"/>
            <a:ext cx="1275393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Paramétrage</a:t>
            </a:r>
          </a:p>
        </xdr:txBody>
      </xdr:sp>
      <xdr:sp macro="[0]!NavBar" textlink="">
        <xdr:nvSpPr>
          <xdr:cNvPr id="69" name="BtnHistorique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6644640" y="762000"/>
            <a:ext cx="1401637" cy="248157"/>
          </a:xfrm>
          <a:prstGeom prst="roundRect">
            <a:avLst/>
          </a:prstGeom>
          <a:solidFill>
            <a:schemeClr val="accent4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Historique écarts</a:t>
            </a:r>
          </a:p>
        </xdr:txBody>
      </xdr:sp>
      <xdr:sp macro="[0]!NavBar" textlink="">
        <xdr:nvSpPr>
          <xdr:cNvPr id="70" name="BtnDashboard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8092440" y="762000"/>
            <a:ext cx="1401637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Dashboard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38100</xdr:rowOff>
    </xdr:from>
    <xdr:to>
      <xdr:col>6</xdr:col>
      <xdr:colOff>1120140</xdr:colOff>
      <xdr:row>5</xdr:row>
      <xdr:rowOff>152400</xdr:rowOff>
    </xdr:to>
    <xdr:sp macro="[0]!AddProject" textlink="">
      <xdr:nvSpPr>
        <xdr:cNvPr id="2" name="BtnAddProjec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90500" y="1089660"/>
          <a:ext cx="1440180" cy="304800"/>
        </a:xfrm>
        <a:prstGeom prst="roundRect">
          <a:avLst/>
        </a:prstGeom>
        <a:gradFill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75000"/>
              </a:schemeClr>
            </a:gs>
          </a:gsLst>
        </a:gra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Ajouter une activité</a:t>
          </a:r>
        </a:p>
      </xdr:txBody>
    </xdr:sp>
    <xdr:clientData/>
  </xdr:twoCellAnchor>
  <xdr:twoCellAnchor editAs="oneCell">
    <xdr:from>
      <xdr:col>8</xdr:col>
      <xdr:colOff>483267</xdr:colOff>
      <xdr:row>4</xdr:row>
      <xdr:rowOff>38100</xdr:rowOff>
    </xdr:from>
    <xdr:to>
      <xdr:col>9</xdr:col>
      <xdr:colOff>708660</xdr:colOff>
      <xdr:row>5</xdr:row>
      <xdr:rowOff>152400</xdr:rowOff>
    </xdr:to>
    <xdr:sp macro="[0]!DeleteProject" textlink="">
      <xdr:nvSpPr>
        <xdr:cNvPr id="3" name="BtnDeleteProje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17167" y="1089660"/>
          <a:ext cx="1048353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Supprimer</a:t>
          </a:r>
        </a:p>
      </xdr:txBody>
    </xdr:sp>
    <xdr:clientData/>
  </xdr:twoCellAnchor>
  <xdr:twoCellAnchor editAs="oneCell">
    <xdr:from>
      <xdr:col>6</xdr:col>
      <xdr:colOff>1197288</xdr:colOff>
      <xdr:row>4</xdr:row>
      <xdr:rowOff>38100</xdr:rowOff>
    </xdr:from>
    <xdr:to>
      <xdr:col>6</xdr:col>
      <xdr:colOff>2537460</xdr:colOff>
      <xdr:row>5</xdr:row>
      <xdr:rowOff>152400</xdr:rowOff>
    </xdr:to>
    <xdr:sp macro="[0]!AddProject" textlink="">
      <xdr:nvSpPr>
        <xdr:cNvPr id="5" name="BtnAddSubProjec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07828" y="1089660"/>
          <a:ext cx="1340172" cy="3048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Ajouter une tâche</a:t>
          </a:r>
        </a:p>
      </xdr:txBody>
    </xdr:sp>
    <xdr:clientData/>
  </xdr:twoCellAnchor>
  <xdr:twoCellAnchor editAs="oneCell">
    <xdr:from>
      <xdr:col>6</xdr:col>
      <xdr:colOff>2628900</xdr:colOff>
      <xdr:row>4</xdr:row>
      <xdr:rowOff>38100</xdr:rowOff>
    </xdr:from>
    <xdr:to>
      <xdr:col>8</xdr:col>
      <xdr:colOff>404766</xdr:colOff>
      <xdr:row>5</xdr:row>
      <xdr:rowOff>152400</xdr:rowOff>
    </xdr:to>
    <xdr:sp macro="[0]!ConvertToProject" textlink="">
      <xdr:nvSpPr>
        <xdr:cNvPr id="6" name="BtnConvertProjec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139440" y="1089660"/>
          <a:ext cx="1799226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Convertir à une activité / tâche</a:t>
          </a:r>
        </a:p>
      </xdr:txBody>
    </xdr:sp>
    <xdr:clientData/>
  </xdr:twoCellAnchor>
  <xdr:twoCellAnchor editAs="oneCell">
    <xdr:from>
      <xdr:col>37</xdr:col>
      <xdr:colOff>79020</xdr:colOff>
      <xdr:row>3</xdr:row>
      <xdr:rowOff>73800</xdr:rowOff>
    </xdr:from>
    <xdr:to>
      <xdr:col>38</xdr:col>
      <xdr:colOff>106680</xdr:colOff>
      <xdr:row>3</xdr:row>
      <xdr:rowOff>304800</xdr:rowOff>
    </xdr:to>
    <xdr:pic macro="[0]!UpdateStartingDate">
      <xdr:nvPicPr>
        <xdr:cNvPr id="10" name="BtnNext" descr="Caret Right with solid fil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44600" y="759600"/>
          <a:ext cx="233400" cy="231000"/>
        </a:xfrm>
        <a:prstGeom prst="rect">
          <a:avLst/>
        </a:prstGeom>
      </xdr:spPr>
    </xdr:pic>
    <xdr:clientData/>
  </xdr:twoCellAnchor>
  <xdr:twoCellAnchor editAs="oneCell">
    <xdr:from>
      <xdr:col>32</xdr:col>
      <xdr:colOff>91440</xdr:colOff>
      <xdr:row>3</xdr:row>
      <xdr:rowOff>76200</xdr:rowOff>
    </xdr:from>
    <xdr:to>
      <xdr:col>33</xdr:col>
      <xdr:colOff>126720</xdr:colOff>
      <xdr:row>3</xdr:row>
      <xdr:rowOff>309600</xdr:rowOff>
    </xdr:to>
    <xdr:pic macro="[0]!UpdateStartingDate">
      <xdr:nvPicPr>
        <xdr:cNvPr id="7" name="BtnPrev" descr="Caret Right with solid fil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2824460" y="762000"/>
          <a:ext cx="233400" cy="233400"/>
        </a:xfrm>
        <a:prstGeom prst="rect">
          <a:avLst/>
        </a:prstGeom>
      </xdr:spPr>
    </xdr:pic>
    <xdr:clientData/>
  </xdr:twoCellAnchor>
  <xdr:twoCellAnchor editAs="oneCell">
    <xdr:from>
      <xdr:col>24</xdr:col>
      <xdr:colOff>137160</xdr:colOff>
      <xdr:row>3</xdr:row>
      <xdr:rowOff>45719</xdr:rowOff>
    </xdr:from>
    <xdr:to>
      <xdr:col>29</xdr:col>
      <xdr:colOff>68580</xdr:colOff>
      <xdr:row>3</xdr:row>
      <xdr:rowOff>312420</xdr:rowOff>
    </xdr:to>
    <xdr:sp macro="[0]!GoToToday" textlink="">
      <xdr:nvSpPr>
        <xdr:cNvPr id="11" name="BtnDeleteProjec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1475720" y="731519"/>
          <a:ext cx="960120" cy="266701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/>
            <a:t>Aujourd'hui</a:t>
          </a:r>
        </a:p>
      </xdr:txBody>
    </xdr:sp>
    <xdr:clientData/>
  </xdr:twoCellAnchor>
  <xdr:twoCellAnchor editAs="oneCell">
    <xdr:from>
      <xdr:col>28</xdr:col>
      <xdr:colOff>64833</xdr:colOff>
      <xdr:row>3</xdr:row>
      <xdr:rowOff>45719</xdr:rowOff>
    </xdr:from>
    <xdr:to>
      <xdr:col>29</xdr:col>
      <xdr:colOff>70070</xdr:colOff>
      <xdr:row>3</xdr:row>
      <xdr:rowOff>285999</xdr:rowOff>
    </xdr:to>
    <xdr:pic macro="[0]!GoToToday">
      <xdr:nvPicPr>
        <xdr:cNvPr id="9" name="Graphic 8" descr="Flip calendar with solid fill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165393" y="731519"/>
          <a:ext cx="210977" cy="2402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2208706</xdr:colOff>
      <xdr:row>2</xdr:row>
      <xdr:rowOff>60960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60960</xdr:colOff>
          <xdr:row>3</xdr:row>
          <xdr:rowOff>106680</xdr:rowOff>
        </xdr:from>
        <xdr:to>
          <xdr:col>52</xdr:col>
          <xdr:colOff>43380</xdr:colOff>
          <xdr:row>3</xdr:row>
          <xdr:rowOff>273929</xdr:rowOff>
        </xdr:to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15331440" y="792480"/>
              <a:ext cx="1552140" cy="167249"/>
              <a:chOff x="7597135" y="1813560"/>
              <a:chExt cx="1613105" cy="167249"/>
            </a:xfrm>
          </xdr:grpSpPr>
          <xdr:sp macro="" textlink="">
            <xdr:nvSpPr>
              <xdr:cNvPr id="1027" name="Option 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7597135" y="1813560"/>
                <a:ext cx="434341" cy="1584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Jour</a:t>
                </a:r>
              </a:p>
            </xdr:txBody>
          </xdr:sp>
          <xdr:sp macro="" textlink="">
            <xdr:nvSpPr>
              <xdr:cNvPr id="1028" name="Option 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100-000004040000}"/>
                  </a:ext>
                </a:extLst>
              </xdr:cNvPr>
              <xdr:cNvSpPr/>
            </xdr:nvSpPr>
            <xdr:spPr bwMode="auto">
              <a:xfrm>
                <a:off x="8107680" y="1814789"/>
                <a:ext cx="612000" cy="15879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Semaine</a:t>
                </a:r>
              </a:p>
            </xdr:txBody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100-000008040000}"/>
                  </a:ext>
                </a:extLst>
              </xdr:cNvPr>
              <xdr:cNvSpPr/>
            </xdr:nvSpPr>
            <xdr:spPr bwMode="auto">
              <a:xfrm>
                <a:off x="8778240" y="1822409"/>
                <a:ext cx="432000" cy="1584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Mois</a:t>
                </a:r>
              </a:p>
            </xdr:txBody>
          </xdr:sp>
        </xdr:grpSp>
        <xdr:clientData/>
      </xdr:twoCellAnchor>
    </mc:Choice>
    <mc:Fallback/>
  </mc:AlternateContent>
  <xdr:twoCellAnchor editAs="oneCell">
    <xdr:from>
      <xdr:col>39</xdr:col>
      <xdr:colOff>7620</xdr:colOff>
      <xdr:row>3</xdr:row>
      <xdr:rowOff>68580</xdr:rowOff>
    </xdr:from>
    <xdr:to>
      <xdr:col>40</xdr:col>
      <xdr:colOff>40500</xdr:colOff>
      <xdr:row>3</xdr:row>
      <xdr:rowOff>307200</xdr:rowOff>
    </xdr:to>
    <xdr:pic macro="[0]!UpdateStartingDate">
      <xdr:nvPicPr>
        <xdr:cNvPr id="19" name="BtnNextSpeed" descr="Chevron arrows outline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584680" y="754380"/>
          <a:ext cx="238620" cy="238620"/>
        </a:xfrm>
        <a:prstGeom prst="rect">
          <a:avLst/>
        </a:prstGeom>
      </xdr:spPr>
    </xdr:pic>
    <xdr:clientData/>
  </xdr:twoCellAnchor>
  <xdr:twoCellAnchor editAs="oneCell">
    <xdr:from>
      <xdr:col>30</xdr:col>
      <xdr:colOff>157620</xdr:colOff>
      <xdr:row>3</xdr:row>
      <xdr:rowOff>73800</xdr:rowOff>
    </xdr:from>
    <xdr:to>
      <xdr:col>31</xdr:col>
      <xdr:colOff>182880</xdr:colOff>
      <xdr:row>3</xdr:row>
      <xdr:rowOff>312420</xdr:rowOff>
    </xdr:to>
    <xdr:pic macro="[0]!UpdateStartingDate">
      <xdr:nvPicPr>
        <xdr:cNvPr id="23" name="BtnPrevSpeed" descr="Chevron arrows outline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883020" y="759600"/>
          <a:ext cx="238620" cy="238620"/>
        </a:xfrm>
        <a:prstGeom prst="rect">
          <a:avLst/>
        </a:prstGeom>
      </xdr:spPr>
    </xdr:pic>
    <xdr:clientData/>
  </xdr:twoCellAnchor>
  <xdr:twoCellAnchor editAs="absolute">
    <xdr:from>
      <xdr:col>13</xdr:col>
      <xdr:colOff>228600</xdr:colOff>
      <xdr:row>4</xdr:row>
      <xdr:rowOff>45720</xdr:rowOff>
    </xdr:from>
    <xdr:to>
      <xdr:col>13</xdr:col>
      <xdr:colOff>525780</xdr:colOff>
      <xdr:row>5</xdr:row>
      <xdr:rowOff>152400</xdr:rowOff>
    </xdr:to>
    <xdr:pic macro="[0]!maximize">
      <xdr:nvPicPr>
        <xdr:cNvPr id="22" name="Graphic 21" descr="Browser window outline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90660" y="1097280"/>
          <a:ext cx="297180" cy="297180"/>
        </a:xfrm>
        <a:prstGeom prst="rect">
          <a:avLst/>
        </a:prstGeom>
      </xdr:spPr>
    </xdr:pic>
    <xdr:clientData/>
  </xdr:twoCellAnchor>
  <xdr:twoCellAnchor editAs="absolute">
    <xdr:from>
      <xdr:col>6</xdr:col>
      <xdr:colOff>1990725</xdr:colOff>
      <xdr:row>3</xdr:row>
      <xdr:rowOff>60961</xdr:rowOff>
    </xdr:from>
    <xdr:to>
      <xdr:col>7</xdr:col>
      <xdr:colOff>16871</xdr:colOff>
      <xdr:row>3</xdr:row>
      <xdr:rowOff>309118</xdr:rowOff>
    </xdr:to>
    <xdr:sp macro="" textlink="">
      <xdr:nvSpPr>
        <xdr:cNvPr id="21" name="BtnGuide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486025" y="746761"/>
          <a:ext cx="121702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7</xdr:col>
      <xdr:colOff>53233</xdr:colOff>
      <xdr:row>3</xdr:row>
      <xdr:rowOff>64090</xdr:rowOff>
    </xdr:from>
    <xdr:to>
      <xdr:col>8</xdr:col>
      <xdr:colOff>715730</xdr:colOff>
      <xdr:row>3</xdr:row>
      <xdr:rowOff>312247</xdr:rowOff>
    </xdr:to>
    <xdr:sp macro="[0]!NavBar" textlink="">
      <xdr:nvSpPr>
        <xdr:cNvPr id="24" name="BtnGant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384799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8</xdr:col>
      <xdr:colOff>772059</xdr:colOff>
      <xdr:row>3</xdr:row>
      <xdr:rowOff>61231</xdr:rowOff>
    </xdr:from>
    <xdr:to>
      <xdr:col>10</xdr:col>
      <xdr:colOff>325038</xdr:colOff>
      <xdr:row>3</xdr:row>
      <xdr:rowOff>309388</xdr:rowOff>
    </xdr:to>
    <xdr:sp macro="[0]!NavBar" textlink="">
      <xdr:nvSpPr>
        <xdr:cNvPr id="25" name="BtnCouts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30595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Suivi des coûts</a:t>
          </a:r>
        </a:p>
      </xdr:txBody>
    </xdr:sp>
    <xdr:clientData/>
  </xdr:twoCellAnchor>
  <xdr:twoCellAnchor editAs="absolute">
    <xdr:from>
      <xdr:col>16</xdr:col>
      <xdr:colOff>23366</xdr:colOff>
      <xdr:row>3</xdr:row>
      <xdr:rowOff>62332</xdr:rowOff>
    </xdr:from>
    <xdr:to>
      <xdr:col>22</xdr:col>
      <xdr:colOff>110039</xdr:colOff>
      <xdr:row>3</xdr:row>
      <xdr:rowOff>310489</xdr:rowOff>
    </xdr:to>
    <xdr:sp macro="[0]!NavBar" textlink="">
      <xdr:nvSpPr>
        <xdr:cNvPr id="26" name="BtnSettings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983792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10</xdr:col>
      <xdr:colOff>373380</xdr:colOff>
      <xdr:row>3</xdr:row>
      <xdr:rowOff>60960</xdr:rowOff>
    </xdr:from>
    <xdr:to>
      <xdr:col>12</xdr:col>
      <xdr:colOff>281497</xdr:colOff>
      <xdr:row>3</xdr:row>
      <xdr:rowOff>309117</xdr:rowOff>
    </xdr:to>
    <xdr:sp macro="[0]!NavBar" textlink="">
      <xdr:nvSpPr>
        <xdr:cNvPr id="27" name="BtnHistorique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693420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Historique écarts</a:t>
          </a:r>
        </a:p>
      </xdr:txBody>
    </xdr:sp>
    <xdr:clientData/>
  </xdr:twoCellAnchor>
  <xdr:twoCellAnchor editAs="absolute">
    <xdr:from>
      <xdr:col>12</xdr:col>
      <xdr:colOff>327660</xdr:colOff>
      <xdr:row>3</xdr:row>
      <xdr:rowOff>60960</xdr:rowOff>
    </xdr:from>
    <xdr:to>
      <xdr:col>15</xdr:col>
      <xdr:colOff>159577</xdr:colOff>
      <xdr:row>3</xdr:row>
      <xdr:rowOff>309117</xdr:rowOff>
    </xdr:to>
    <xdr:sp macro="[0]!NavBar" textlink="">
      <xdr:nvSpPr>
        <xdr:cNvPr id="28" name="BtnDashboard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838200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83820</xdr:rowOff>
    </xdr:from>
    <xdr:to>
      <xdr:col>3</xdr:col>
      <xdr:colOff>212266</xdr:colOff>
      <xdr:row>2</xdr:row>
      <xdr:rowOff>144780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8382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22860</xdr:colOff>
      <xdr:row>6</xdr:row>
      <xdr:rowOff>182880</xdr:rowOff>
    </xdr:from>
    <xdr:to>
      <xdr:col>3</xdr:col>
      <xdr:colOff>792900</xdr:colOff>
      <xdr:row>12</xdr:row>
      <xdr:rowOff>22860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28700" y="1607820"/>
          <a:ext cx="2278800" cy="123444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
Fin du projet</a:t>
          </a:r>
          <a:endParaRPr lang="en-US" b="1"/>
        </a:p>
      </xdr:txBody>
    </xdr:sp>
    <xdr:clientData/>
  </xdr:twoCellAnchor>
  <xdr:twoCellAnchor editAs="absolute">
    <xdr:from>
      <xdr:col>2</xdr:col>
      <xdr:colOff>1059180</xdr:colOff>
      <xdr:row>8</xdr:row>
      <xdr:rowOff>144780</xdr:rowOff>
    </xdr:from>
    <xdr:to>
      <xdr:col>3</xdr:col>
      <xdr:colOff>428224</xdr:colOff>
      <xdr:row>9</xdr:row>
      <xdr:rowOff>180740</xdr:rowOff>
    </xdr:to>
    <xdr:sp macro="" textlink="Backend!B12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065020" y="2049780"/>
          <a:ext cx="8778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4973719C-D4FC-47CC-8DC7-87BBB8A2737A}" type="TxLink">
            <a:rPr lang="en-US" sz="11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Calibri"/>
              <a:cs typeface="Calibri"/>
            </a:rPr>
            <a:pPr/>
            <a:t>15/07/2023</a:t>
          </a:fld>
          <a:endParaRPr lang="en-US" sz="11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1051560</xdr:colOff>
      <xdr:row>9</xdr:row>
      <xdr:rowOff>91440</xdr:rowOff>
    </xdr:from>
    <xdr:to>
      <xdr:col>3</xdr:col>
      <xdr:colOff>420604</xdr:colOff>
      <xdr:row>10</xdr:row>
      <xdr:rowOff>127400</xdr:rowOff>
    </xdr:to>
    <xdr:sp macro="" textlink="Backend!C12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2057400" y="2225040"/>
          <a:ext cx="8778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270B444-D0AD-42B5-BBE8-ED1359C1B147}" type="TxLink">
            <a:rPr lang="en-US" sz="1100" b="1" i="0" u="none" strike="noStrike">
              <a:solidFill>
                <a:schemeClr val="bg1">
                  <a:lumMod val="95000"/>
                </a:schemeClr>
              </a:solidFill>
              <a:latin typeface="Calibri"/>
              <a:ea typeface="Calibri"/>
              <a:cs typeface="Calibri"/>
            </a:rPr>
            <a:pPr/>
            <a:t>15/06/2023</a:t>
          </a:fld>
          <a:endParaRPr lang="en-US" sz="11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 editAs="absolute">
    <xdr:from>
      <xdr:col>3</xdr:col>
      <xdr:colOff>1127760</xdr:colOff>
      <xdr:row>6</xdr:row>
      <xdr:rowOff>121920</xdr:rowOff>
    </xdr:from>
    <xdr:to>
      <xdr:col>4</xdr:col>
      <xdr:colOff>1219200</xdr:colOff>
      <xdr:row>13</xdr:row>
      <xdr:rowOff>99060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2156460</xdr:colOff>
      <xdr:row>8</xdr:row>
      <xdr:rowOff>198120</xdr:rowOff>
    </xdr:from>
    <xdr:to>
      <xdr:col>4</xdr:col>
      <xdr:colOff>228600</xdr:colOff>
      <xdr:row>10</xdr:row>
      <xdr:rowOff>22860</xdr:rowOff>
    </xdr:to>
    <xdr:sp macro="" textlink="Backend!B21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4671060" y="2103120"/>
          <a:ext cx="784860" cy="281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31CE28-AA82-4BFC-B70B-1C02C15BBF57}" type="TxLink">
            <a:rPr lang="en-US" sz="2000" b="0" i="0" u="none" strike="noStrike">
              <a:solidFill>
                <a:schemeClr val="accent6"/>
              </a:solidFill>
              <a:latin typeface="Impact" panose="020B0806030902050204" pitchFamily="34" charset="0"/>
              <a:ea typeface="Calibri"/>
              <a:cs typeface="Calibri"/>
            </a:rPr>
            <a:pPr algn="ctr"/>
            <a:t>47%</a:t>
          </a:fld>
          <a:endParaRPr lang="en-US" sz="2000" b="0">
            <a:solidFill>
              <a:schemeClr val="accent6"/>
            </a:solidFill>
            <a:latin typeface="Impact" panose="020B0806030902050204" pitchFamily="34" charset="0"/>
          </a:endParaRPr>
        </a:p>
      </xdr:txBody>
    </xdr:sp>
    <xdr:clientData/>
  </xdr:twoCellAnchor>
  <xdr:twoCellAnchor editAs="absolute">
    <xdr:from>
      <xdr:col>4</xdr:col>
      <xdr:colOff>1402080</xdr:colOff>
      <xdr:row>6</xdr:row>
      <xdr:rowOff>137160</xdr:rowOff>
    </xdr:from>
    <xdr:to>
      <xdr:col>6</xdr:col>
      <xdr:colOff>1615440</xdr:colOff>
      <xdr:row>11</xdr:row>
      <xdr:rowOff>205740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865620" y="1562100"/>
          <a:ext cx="2278380" cy="123444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
Budget total</a:t>
          </a:r>
          <a:endParaRPr lang="en-US">
            <a:effectLst/>
          </a:endParaRPr>
        </a:p>
      </xdr:txBody>
    </xdr:sp>
    <xdr:clientData/>
  </xdr:twoCellAnchor>
  <xdr:twoCellAnchor editAs="absolute">
    <xdr:from>
      <xdr:col>6</xdr:col>
      <xdr:colOff>236220</xdr:colOff>
      <xdr:row>8</xdr:row>
      <xdr:rowOff>99060</xdr:rowOff>
    </xdr:from>
    <xdr:to>
      <xdr:col>6</xdr:col>
      <xdr:colOff>1592580</xdr:colOff>
      <xdr:row>9</xdr:row>
      <xdr:rowOff>135020</xdr:rowOff>
    </xdr:to>
    <xdr:sp macro="" textlink="Backend!B14">
      <xdr:nvSpPr>
        <xdr:cNvPr id="29" name="TextBox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7764780" y="2004060"/>
          <a:ext cx="13563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7C58D97-9B6A-4288-B160-70285CBA729E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$1 258 420.00 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6</xdr:col>
      <xdr:colOff>243840</xdr:colOff>
      <xdr:row>9</xdr:row>
      <xdr:rowOff>91440</xdr:rowOff>
    </xdr:from>
    <xdr:to>
      <xdr:col>6</xdr:col>
      <xdr:colOff>1272540</xdr:colOff>
      <xdr:row>10</xdr:row>
      <xdr:rowOff>127400</xdr:rowOff>
    </xdr:to>
    <xdr:sp macro="" textlink="Backend!C14">
      <xdr:nvSpPr>
        <xdr:cNvPr id="30" name="TextBox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7772400" y="2225040"/>
          <a:ext cx="1028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42DB9E-49F9-4863-AA9F-A2A9AF03AA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 $1 000 000.00 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6</xdr:row>
      <xdr:rowOff>144780</xdr:rowOff>
    </xdr:from>
    <xdr:to>
      <xdr:col>9</xdr:col>
      <xdr:colOff>22860</xdr:colOff>
      <xdr:row>11</xdr:row>
      <xdr:rowOff>213360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951720" y="1569720"/>
          <a:ext cx="2278380" cy="12344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
Budget consommé</a:t>
          </a:r>
        </a:p>
      </xdr:txBody>
    </xdr:sp>
    <xdr:clientData/>
  </xdr:twoCellAnchor>
  <xdr:twoCellAnchor editAs="absolute">
    <xdr:from>
      <xdr:col>7</xdr:col>
      <xdr:colOff>335280</xdr:colOff>
      <xdr:row>8</xdr:row>
      <xdr:rowOff>175260</xdr:rowOff>
    </xdr:from>
    <xdr:to>
      <xdr:col>8</xdr:col>
      <xdr:colOff>723900</xdr:colOff>
      <xdr:row>9</xdr:row>
      <xdr:rowOff>226865</xdr:rowOff>
    </xdr:to>
    <xdr:sp macro="" textlink="Backend!B15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10248900" y="2080260"/>
          <a:ext cx="16764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F89F5349-B892-45E4-B798-C16689332B7E}" type="TxLink">
            <a:rPr lang="en-US" sz="1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 $590 115.00 </a:t>
          </a:fld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739140</xdr:colOff>
      <xdr:row>24</xdr:row>
      <xdr:rowOff>15240</xdr:rowOff>
    </xdr:from>
    <xdr:to>
      <xdr:col>4</xdr:col>
      <xdr:colOff>998220</xdr:colOff>
      <xdr:row>37</xdr:row>
      <xdr:rowOff>7620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739140</xdr:colOff>
      <xdr:row>39</xdr:row>
      <xdr:rowOff>213360</xdr:rowOff>
    </xdr:from>
    <xdr:to>
      <xdr:col>4</xdr:col>
      <xdr:colOff>1005840</xdr:colOff>
      <xdr:row>53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571500</xdr:colOff>
      <xdr:row>3</xdr:row>
      <xdr:rowOff>60961</xdr:rowOff>
    </xdr:from>
    <xdr:to>
      <xdr:col>3</xdr:col>
      <xdr:colOff>1792331</xdr:colOff>
      <xdr:row>3</xdr:row>
      <xdr:rowOff>309118</xdr:rowOff>
    </xdr:to>
    <xdr:sp macro="" textlink="">
      <xdr:nvSpPr>
        <xdr:cNvPr id="19" name="BtnGuide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086100" y="746761"/>
          <a:ext cx="12208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3</xdr:col>
      <xdr:colOff>1828693</xdr:colOff>
      <xdr:row>3</xdr:row>
      <xdr:rowOff>64090</xdr:rowOff>
    </xdr:from>
    <xdr:to>
      <xdr:col>4</xdr:col>
      <xdr:colOff>517610</xdr:colOff>
      <xdr:row>3</xdr:row>
      <xdr:rowOff>312247</xdr:rowOff>
    </xdr:to>
    <xdr:sp macro="[0]!NavBar" textlink="">
      <xdr:nvSpPr>
        <xdr:cNvPr id="21" name="BtnGantt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434329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573939</xdr:colOff>
      <xdr:row>3</xdr:row>
      <xdr:rowOff>61231</xdr:rowOff>
    </xdr:from>
    <xdr:to>
      <xdr:col>6</xdr:col>
      <xdr:colOff>88818</xdr:colOff>
      <xdr:row>3</xdr:row>
      <xdr:rowOff>309388</xdr:rowOff>
    </xdr:to>
    <xdr:sp macro="[0]!NavBar" textlink="">
      <xdr:nvSpPr>
        <xdr:cNvPr id="32" name="BtnCouts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80125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Suivi des coûts</a:t>
          </a:r>
        </a:p>
      </xdr:txBody>
    </xdr:sp>
    <xdr:clientData/>
  </xdr:twoCellAnchor>
  <xdr:twoCellAnchor editAs="absolute">
    <xdr:from>
      <xdr:col>7</xdr:col>
      <xdr:colOff>655826</xdr:colOff>
      <xdr:row>3</xdr:row>
      <xdr:rowOff>62332</xdr:rowOff>
    </xdr:from>
    <xdr:to>
      <xdr:col>8</xdr:col>
      <xdr:colOff>643439</xdr:colOff>
      <xdr:row>3</xdr:row>
      <xdr:rowOff>310489</xdr:rowOff>
    </xdr:to>
    <xdr:sp macro="[0]!NavBar" textlink="">
      <xdr:nvSpPr>
        <xdr:cNvPr id="34" name="BtnSettings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33322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6</xdr:col>
      <xdr:colOff>137160</xdr:colOff>
      <xdr:row>3</xdr:row>
      <xdr:rowOff>60960</xdr:rowOff>
    </xdr:from>
    <xdr:to>
      <xdr:col>6</xdr:col>
      <xdr:colOff>1538797</xdr:colOff>
      <xdr:row>3</xdr:row>
      <xdr:rowOff>309117</xdr:rowOff>
    </xdr:to>
    <xdr:sp macro="[0]!NavBar" textlink="">
      <xdr:nvSpPr>
        <xdr:cNvPr id="35" name="BtnHistorique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742950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Historique écarts</a:t>
          </a:r>
        </a:p>
      </xdr:txBody>
    </xdr:sp>
    <xdr:clientData/>
  </xdr:twoCellAnchor>
  <xdr:twoCellAnchor editAs="absolute">
    <xdr:from>
      <xdr:col>6</xdr:col>
      <xdr:colOff>1584960</xdr:colOff>
      <xdr:row>3</xdr:row>
      <xdr:rowOff>60960</xdr:rowOff>
    </xdr:from>
    <xdr:to>
      <xdr:col>7</xdr:col>
      <xdr:colOff>601537</xdr:colOff>
      <xdr:row>3</xdr:row>
      <xdr:rowOff>309117</xdr:rowOff>
    </xdr:to>
    <xdr:sp macro="[0]!NavBar" textlink="">
      <xdr:nvSpPr>
        <xdr:cNvPr id="36" name="BtnDashboard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887730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>
    <xdr:from>
      <xdr:col>4</xdr:col>
      <xdr:colOff>1790700</xdr:colOff>
      <xdr:row>24</xdr:row>
      <xdr:rowOff>60960</xdr:rowOff>
    </xdr:from>
    <xdr:to>
      <xdr:col>7</xdr:col>
      <xdr:colOff>1257300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213360</xdr:colOff>
      <xdr:row>8</xdr:row>
      <xdr:rowOff>152400</xdr:rowOff>
    </xdr:from>
    <xdr:to>
      <xdr:col>2</xdr:col>
      <xdr:colOff>1158241</xdr:colOff>
      <xdr:row>10</xdr:row>
      <xdr:rowOff>129540</xdr:rowOff>
    </xdr:to>
    <xdr:sp macro="" textlink="">
      <xdr:nvSpPr>
        <xdr:cNvPr id="2" name="BtnGuid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19200" y="2057400"/>
          <a:ext cx="944881" cy="43434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Réstimée
 (initiale)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4</xdr:col>
      <xdr:colOff>1493520</xdr:colOff>
      <xdr:row>8</xdr:row>
      <xdr:rowOff>99060</xdr:rowOff>
    </xdr:from>
    <xdr:to>
      <xdr:col>6</xdr:col>
      <xdr:colOff>373381</xdr:colOff>
      <xdr:row>10</xdr:row>
      <xdr:rowOff>76200</xdr:rowOff>
    </xdr:to>
    <xdr:sp macro="" textlink="">
      <xdr:nvSpPr>
        <xdr:cNvPr id="5" name="BtnGuide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840" y="2004060"/>
          <a:ext cx="944881" cy="43434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Réstimée
 (initiale)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2</xdr:col>
      <xdr:colOff>38100</xdr:colOff>
      <xdr:row>13</xdr:row>
      <xdr:rowOff>213360</xdr:rowOff>
    </xdr:from>
    <xdr:to>
      <xdr:col>3</xdr:col>
      <xdr:colOff>769620</xdr:colOff>
      <xdr:row>15</xdr:row>
      <xdr:rowOff>0</xdr:rowOff>
    </xdr:to>
    <xdr:sp macro="" textlink="">
      <xdr:nvSpPr>
        <xdr:cNvPr id="6" name="BtnGuid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43940" y="3261360"/>
          <a:ext cx="224028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Santé du projet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1905000</xdr:colOff>
      <xdr:row>13</xdr:row>
      <xdr:rowOff>205740</xdr:rowOff>
    </xdr:from>
    <xdr:to>
      <xdr:col>6</xdr:col>
      <xdr:colOff>2080260</xdr:colOff>
      <xdr:row>14</xdr:row>
      <xdr:rowOff>243840</xdr:rowOff>
    </xdr:to>
    <xdr:sp macro="" textlink="">
      <xdr:nvSpPr>
        <xdr:cNvPr id="8" name="BtnGuid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132320" y="3253740"/>
          <a:ext cx="224028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progression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53340</xdr:colOff>
      <xdr:row>22</xdr:row>
      <xdr:rowOff>129540</xdr:rowOff>
    </xdr:from>
    <xdr:to>
      <xdr:col>7</xdr:col>
      <xdr:colOff>632460</xdr:colOff>
      <xdr:row>23</xdr:row>
      <xdr:rowOff>167640</xdr:rowOff>
    </xdr:to>
    <xdr:sp macro="" textlink="">
      <xdr:nvSpPr>
        <xdr:cNvPr id="10" name="BtnGuid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208520" y="5074920"/>
          <a:ext cx="310134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Aperçu des status des tâches»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746760</xdr:colOff>
      <xdr:row>22</xdr:row>
      <xdr:rowOff>121920</xdr:rowOff>
    </xdr:from>
    <xdr:to>
      <xdr:col>3</xdr:col>
      <xdr:colOff>1584960</xdr:colOff>
      <xdr:row>23</xdr:row>
      <xdr:rowOff>160020</xdr:rowOff>
    </xdr:to>
    <xdr:sp macro="" textlink="">
      <xdr:nvSpPr>
        <xdr:cNvPr id="11" name="BtnGuide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98220" y="5067300"/>
          <a:ext cx="310134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écart délais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38</xdr:row>
      <xdr:rowOff>83820</xdr:rowOff>
    </xdr:from>
    <xdr:to>
      <xdr:col>3</xdr:col>
      <xdr:colOff>1592580</xdr:colOff>
      <xdr:row>39</xdr:row>
      <xdr:rowOff>121920</xdr:rowOff>
    </xdr:to>
    <xdr:sp macro="" textlink="">
      <xdr:nvSpPr>
        <xdr:cNvPr id="37" name="BtnGuide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005840" y="8686800"/>
          <a:ext cx="3101340" cy="266700"/>
        </a:xfrm>
        <a:prstGeom prst="roundRect">
          <a:avLst>
            <a:gd name="adj" fmla="val 0"/>
          </a:avLst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10800000" scaled="1"/>
          <a:tileRect/>
        </a:gra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all" spc="0" normalizeH="0" baseline="0" noProof="0">
              <a:ln>
                <a:noFill/>
              </a:ln>
              <a:solidFill>
                <a:srgbClr val="00668A"/>
              </a:solidFill>
              <a:effectLst/>
              <a:uLnTx/>
              <a:uFillTx/>
              <a:latin typeface="+mn-lt"/>
              <a:ea typeface="+mn-ea"/>
              <a:cs typeface="+mn-cs"/>
            </a:rPr>
            <a:t>écart BUDGET »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668A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1317166</xdr:colOff>
      <xdr:row>2</xdr:row>
      <xdr:rowOff>60960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1295400</xdr:colOff>
      <xdr:row>3</xdr:row>
      <xdr:rowOff>60961</xdr:rowOff>
    </xdr:from>
    <xdr:to>
      <xdr:col>3</xdr:col>
      <xdr:colOff>496931</xdr:colOff>
      <xdr:row>3</xdr:row>
      <xdr:rowOff>309118</xdr:rowOff>
    </xdr:to>
    <xdr:sp macro="" textlink="">
      <xdr:nvSpPr>
        <xdr:cNvPr id="5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57475" y="746761"/>
          <a:ext cx="1325606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3</xdr:col>
      <xdr:colOff>533293</xdr:colOff>
      <xdr:row>3</xdr:row>
      <xdr:rowOff>64090</xdr:rowOff>
    </xdr:from>
    <xdr:to>
      <xdr:col>3</xdr:col>
      <xdr:colOff>1934930</xdr:colOff>
      <xdr:row>3</xdr:row>
      <xdr:rowOff>312247</xdr:rowOff>
    </xdr:to>
    <xdr:sp macro="[0]!NavBar" textlink="">
      <xdr:nvSpPr>
        <xdr:cNvPr id="6" name="BtnGantt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12231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10059</xdr:colOff>
      <xdr:row>3</xdr:row>
      <xdr:rowOff>61231</xdr:rowOff>
    </xdr:from>
    <xdr:to>
      <xdr:col>5</xdr:col>
      <xdr:colOff>385998</xdr:colOff>
      <xdr:row>3</xdr:row>
      <xdr:rowOff>309388</xdr:rowOff>
    </xdr:to>
    <xdr:sp macro="[0]!NavBar" textlink="">
      <xdr:nvSpPr>
        <xdr:cNvPr id="7" name="BtnCouts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8027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Suivi des coûts</a:t>
          </a:r>
        </a:p>
      </xdr:txBody>
    </xdr:sp>
    <xdr:clientData/>
  </xdr:twoCellAnchor>
  <xdr:twoCellAnchor editAs="absolute">
    <xdr:from>
      <xdr:col>6</xdr:col>
      <xdr:colOff>754886</xdr:colOff>
      <xdr:row>3</xdr:row>
      <xdr:rowOff>62332</xdr:rowOff>
    </xdr:from>
    <xdr:to>
      <xdr:col>7</xdr:col>
      <xdr:colOff>544379</xdr:colOff>
      <xdr:row>3</xdr:row>
      <xdr:rowOff>310489</xdr:rowOff>
    </xdr:to>
    <xdr:sp macro="[0]!NavBar" textlink="">
      <xdr:nvSpPr>
        <xdr:cNvPr id="8" name="BtnSettings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11224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5</xdr:col>
      <xdr:colOff>434340</xdr:colOff>
      <xdr:row>3</xdr:row>
      <xdr:rowOff>60960</xdr:rowOff>
    </xdr:from>
    <xdr:to>
      <xdr:col>5</xdr:col>
      <xdr:colOff>1835977</xdr:colOff>
      <xdr:row>3</xdr:row>
      <xdr:rowOff>309117</xdr:rowOff>
    </xdr:to>
    <xdr:sp macro="[0]!NavBar" textlink="">
      <xdr:nvSpPr>
        <xdr:cNvPr id="15" name="BtnHistorique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20852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Historique écarts</a:t>
          </a:r>
        </a:p>
      </xdr:txBody>
    </xdr:sp>
    <xdr:clientData/>
  </xdr:twoCellAnchor>
  <xdr:twoCellAnchor editAs="absolute">
    <xdr:from>
      <xdr:col>5</xdr:col>
      <xdr:colOff>1882140</xdr:colOff>
      <xdr:row>3</xdr:row>
      <xdr:rowOff>60960</xdr:rowOff>
    </xdr:from>
    <xdr:to>
      <xdr:col>6</xdr:col>
      <xdr:colOff>700597</xdr:colOff>
      <xdr:row>3</xdr:row>
      <xdr:rowOff>309117</xdr:rowOff>
    </xdr:to>
    <xdr:sp macro="[0]!NavBar" textlink="">
      <xdr:nvSpPr>
        <xdr:cNvPr id="16" name="BtnDashboard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65632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501826</xdr:colOff>
      <xdr:row>2</xdr:row>
      <xdr:rowOff>60960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771525</xdr:colOff>
      <xdr:row>3</xdr:row>
      <xdr:rowOff>60961</xdr:rowOff>
    </xdr:from>
    <xdr:to>
      <xdr:col>3</xdr:col>
      <xdr:colOff>222611</xdr:colOff>
      <xdr:row>3</xdr:row>
      <xdr:rowOff>309118</xdr:rowOff>
    </xdr:to>
    <xdr:sp macro="" textlink="">
      <xdr:nvSpPr>
        <xdr:cNvPr id="13" name="BtnGuid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2924175" y="746761"/>
          <a:ext cx="132751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3</xdr:col>
      <xdr:colOff>258973</xdr:colOff>
      <xdr:row>3</xdr:row>
      <xdr:rowOff>64090</xdr:rowOff>
    </xdr:from>
    <xdr:to>
      <xdr:col>4</xdr:col>
      <xdr:colOff>37550</xdr:colOff>
      <xdr:row>3</xdr:row>
      <xdr:rowOff>312247</xdr:rowOff>
    </xdr:to>
    <xdr:sp macro="[0]!NavBar" textlink="">
      <xdr:nvSpPr>
        <xdr:cNvPr id="14" name="BtnGantt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4404253" y="74989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4</xdr:col>
      <xdr:colOff>93879</xdr:colOff>
      <xdr:row>3</xdr:row>
      <xdr:rowOff>61231</xdr:rowOff>
    </xdr:from>
    <xdr:to>
      <xdr:col>4</xdr:col>
      <xdr:colOff>1673778</xdr:colOff>
      <xdr:row>3</xdr:row>
      <xdr:rowOff>309388</xdr:rowOff>
    </xdr:to>
    <xdr:sp macro="[0]!NavBar" textlink="">
      <xdr:nvSpPr>
        <xdr:cNvPr id="15" name="BtnCouts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5862219" y="74703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Suivi des coûts</a:t>
          </a:r>
        </a:p>
      </xdr:txBody>
    </xdr:sp>
    <xdr:clientData/>
  </xdr:twoCellAnchor>
  <xdr:twoCellAnchor editAs="absolute">
    <xdr:from>
      <xdr:col>8</xdr:col>
      <xdr:colOff>1113026</xdr:colOff>
      <xdr:row>3</xdr:row>
      <xdr:rowOff>62332</xdr:rowOff>
    </xdr:from>
    <xdr:to>
      <xdr:col>9</xdr:col>
      <xdr:colOff>1123499</xdr:colOff>
      <xdr:row>3</xdr:row>
      <xdr:rowOff>310489</xdr:rowOff>
    </xdr:to>
    <xdr:sp macro="[0]!NavBar" textlink="">
      <xdr:nvSpPr>
        <xdr:cNvPr id="16" name="BtnSettings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0394186" y="74813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4</xdr:col>
      <xdr:colOff>1722120</xdr:colOff>
      <xdr:row>3</xdr:row>
      <xdr:rowOff>60960</xdr:rowOff>
    </xdr:from>
    <xdr:to>
      <xdr:col>7</xdr:col>
      <xdr:colOff>220537</xdr:colOff>
      <xdr:row>3</xdr:row>
      <xdr:rowOff>309117</xdr:rowOff>
    </xdr:to>
    <xdr:sp macro="[0]!NavBar" textlink="">
      <xdr:nvSpPr>
        <xdr:cNvPr id="17" name="BtnHistorique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7490460" y="74676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Historique écarts</a:t>
          </a:r>
        </a:p>
      </xdr:txBody>
    </xdr:sp>
    <xdr:clientData/>
  </xdr:twoCellAnchor>
  <xdr:twoCellAnchor editAs="absolute">
    <xdr:from>
      <xdr:col>7</xdr:col>
      <xdr:colOff>266700</xdr:colOff>
      <xdr:row>3</xdr:row>
      <xdr:rowOff>60960</xdr:rowOff>
    </xdr:from>
    <xdr:to>
      <xdr:col>8</xdr:col>
      <xdr:colOff>1058737</xdr:colOff>
      <xdr:row>3</xdr:row>
      <xdr:rowOff>309117</xdr:rowOff>
    </xdr:to>
    <xdr:sp macro="[0]!NavBar" textlink="">
      <xdr:nvSpPr>
        <xdr:cNvPr id="18" name="BtnDashboard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8938260" y="74676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xdr:twoCellAnchor editAs="absolute">
    <xdr:from>
      <xdr:col>2</xdr:col>
      <xdr:colOff>68580</xdr:colOff>
      <xdr:row>4</xdr:row>
      <xdr:rowOff>106680</xdr:rowOff>
    </xdr:from>
    <xdr:to>
      <xdr:col>4</xdr:col>
      <xdr:colOff>1691640</xdr:colOff>
      <xdr:row>6</xdr:row>
      <xdr:rowOff>243840</xdr:rowOff>
    </xdr:to>
    <xdr:sp macro="" textlink="">
      <xdr:nvSpPr>
        <xdr:cNvPr id="2" name="BtnGant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286000" y="1158240"/>
          <a:ext cx="5173980" cy="510540"/>
        </a:xfrm>
        <a:prstGeom prst="roundRect">
          <a:avLst>
            <a:gd name="adj" fmla="val 0"/>
          </a:avLst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les écarts de budget et des délais calculés périodiquement à chaque reportions, sont consignés et historisés dans ce tableau, pour en assurer un suivi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1340026</xdr:colOff>
      <xdr:row>2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719246" cy="51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5</xdr:col>
      <xdr:colOff>137160</xdr:colOff>
      <xdr:row>5</xdr:row>
      <xdr:rowOff>30900</xdr:rowOff>
    </xdr:from>
    <xdr:to>
      <xdr:col>5</xdr:col>
      <xdr:colOff>263160</xdr:colOff>
      <xdr:row>5</xdr:row>
      <xdr:rowOff>156900</xdr:rowOff>
    </xdr:to>
    <xdr:pic macro="[0]!AddRow">
      <xdr:nvPicPr>
        <xdr:cNvPr id="3" name="BtnAddHolidays" descr="Add with solid fill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564380" y="127296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5</xdr:col>
      <xdr:colOff>334860</xdr:colOff>
      <xdr:row>5</xdr:row>
      <xdr:rowOff>30480</xdr:rowOff>
    </xdr:from>
    <xdr:to>
      <xdr:col>5</xdr:col>
      <xdr:colOff>460860</xdr:colOff>
      <xdr:row>5</xdr:row>
      <xdr:rowOff>156480</xdr:rowOff>
    </xdr:to>
    <xdr:pic macro="[0]!DeleteRow">
      <xdr:nvPicPr>
        <xdr:cNvPr id="5" name="BtnDeleteHolidays" descr="Close with solid fill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4762080" y="127254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137160</xdr:colOff>
      <xdr:row>5</xdr:row>
      <xdr:rowOff>30900</xdr:rowOff>
    </xdr:from>
    <xdr:to>
      <xdr:col>1</xdr:col>
      <xdr:colOff>263160</xdr:colOff>
      <xdr:row>5</xdr:row>
      <xdr:rowOff>156900</xdr:rowOff>
    </xdr:to>
    <xdr:pic macro="[0]!AddRow">
      <xdr:nvPicPr>
        <xdr:cNvPr id="8" name="BtnAddStatut" descr="Add with solid fill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0040" y="127296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334860</xdr:colOff>
      <xdr:row>5</xdr:row>
      <xdr:rowOff>30480</xdr:rowOff>
    </xdr:from>
    <xdr:to>
      <xdr:col>1</xdr:col>
      <xdr:colOff>460860</xdr:colOff>
      <xdr:row>5</xdr:row>
      <xdr:rowOff>156480</xdr:rowOff>
    </xdr:to>
    <xdr:pic macro="[0]!DeleteRow">
      <xdr:nvPicPr>
        <xdr:cNvPr id="14" name="BtnDeleteStatut" descr="Close with solid fill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17740" y="1272540"/>
          <a:ext cx="126000" cy="126000"/>
        </a:xfrm>
        <a:prstGeom prst="rect">
          <a:avLst/>
        </a:prstGeom>
      </xdr:spPr>
    </xdr:pic>
    <xdr:clientData/>
  </xdr:twoCellAnchor>
  <xdr:twoCellAnchor editAs="absolute">
    <xdr:from>
      <xdr:col>2</xdr:col>
      <xdr:colOff>971550</xdr:colOff>
      <xdr:row>3</xdr:row>
      <xdr:rowOff>68581</xdr:rowOff>
    </xdr:from>
    <xdr:to>
      <xdr:col>3</xdr:col>
      <xdr:colOff>1030331</xdr:colOff>
      <xdr:row>3</xdr:row>
      <xdr:rowOff>316738</xdr:rowOff>
    </xdr:to>
    <xdr:sp macro="" textlink="">
      <xdr:nvSpPr>
        <xdr:cNvPr id="10" name="BtnGuide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314575" y="754381"/>
          <a:ext cx="1373231" cy="248157"/>
        </a:xfrm>
        <a:prstGeom prst="roundRect">
          <a:avLst/>
        </a:prstGeom>
        <a:solidFill>
          <a:srgbClr val="F4792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Guide d'utilisation</a:t>
          </a:r>
        </a:p>
      </xdr:txBody>
    </xdr:sp>
    <xdr:clientData/>
  </xdr:twoCellAnchor>
  <xdr:twoCellAnchor editAs="absolute">
    <xdr:from>
      <xdr:col>3</xdr:col>
      <xdr:colOff>1066693</xdr:colOff>
      <xdr:row>3</xdr:row>
      <xdr:rowOff>71710</xdr:rowOff>
    </xdr:from>
    <xdr:to>
      <xdr:col>5</xdr:col>
      <xdr:colOff>776690</xdr:colOff>
      <xdr:row>3</xdr:row>
      <xdr:rowOff>319867</xdr:rowOff>
    </xdr:to>
    <xdr:sp macro="[0]!NavBar" textlink="">
      <xdr:nvSpPr>
        <xdr:cNvPr id="11" name="BtnGantt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802273" y="757510"/>
          <a:ext cx="1401637" cy="248157"/>
        </a:xfrm>
        <a:prstGeom prst="roundRect">
          <a:avLst/>
        </a:prstGeom>
        <a:solidFill>
          <a:schemeClr val="accent5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Gantt</a:t>
          </a:r>
        </a:p>
      </xdr:txBody>
    </xdr:sp>
    <xdr:clientData/>
  </xdr:twoCellAnchor>
  <xdr:twoCellAnchor editAs="absolute">
    <xdr:from>
      <xdr:col>5</xdr:col>
      <xdr:colOff>833019</xdr:colOff>
      <xdr:row>3</xdr:row>
      <xdr:rowOff>68851</xdr:rowOff>
    </xdr:from>
    <xdr:to>
      <xdr:col>6</xdr:col>
      <xdr:colOff>645078</xdr:colOff>
      <xdr:row>3</xdr:row>
      <xdr:rowOff>317008</xdr:rowOff>
    </xdr:to>
    <xdr:sp macro="[0]!NavBar" textlink="">
      <xdr:nvSpPr>
        <xdr:cNvPr id="12" name="BtnCouts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5260239" y="754651"/>
          <a:ext cx="1579899" cy="248157"/>
        </a:xfrm>
        <a:prstGeom prst="roundRect">
          <a:avLst/>
        </a:prstGeom>
        <a:solidFill>
          <a:schemeClr val="accent6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Suivi des coûts</a:t>
          </a:r>
        </a:p>
      </xdr:txBody>
    </xdr:sp>
    <xdr:clientData/>
  </xdr:twoCellAnchor>
  <xdr:twoCellAnchor editAs="absolute">
    <xdr:from>
      <xdr:col>8</xdr:col>
      <xdr:colOff>2042666</xdr:colOff>
      <xdr:row>3</xdr:row>
      <xdr:rowOff>69952</xdr:rowOff>
    </xdr:from>
    <xdr:to>
      <xdr:col>9</xdr:col>
      <xdr:colOff>849179</xdr:colOff>
      <xdr:row>3</xdr:row>
      <xdr:rowOff>318109</xdr:rowOff>
    </xdr:to>
    <xdr:sp macro="[0]!NavBar" textlink="">
      <xdr:nvSpPr>
        <xdr:cNvPr id="13" name="BtnSettings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9792206" y="755752"/>
          <a:ext cx="1275393" cy="248157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Paramétrage</a:t>
          </a:r>
        </a:p>
      </xdr:txBody>
    </xdr:sp>
    <xdr:clientData/>
  </xdr:twoCellAnchor>
  <xdr:twoCellAnchor editAs="absolute">
    <xdr:from>
      <xdr:col>6</xdr:col>
      <xdr:colOff>693420</xdr:colOff>
      <xdr:row>3</xdr:row>
      <xdr:rowOff>68580</xdr:rowOff>
    </xdr:from>
    <xdr:to>
      <xdr:col>8</xdr:col>
      <xdr:colOff>540577</xdr:colOff>
      <xdr:row>3</xdr:row>
      <xdr:rowOff>316737</xdr:rowOff>
    </xdr:to>
    <xdr:sp macro="[0]!NavBar" textlink="">
      <xdr:nvSpPr>
        <xdr:cNvPr id="4" name="BtnHistorique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888480" y="754380"/>
          <a:ext cx="1401637" cy="248157"/>
        </a:xfrm>
        <a:prstGeom prst="roundRect">
          <a:avLst/>
        </a:prstGeom>
        <a:solidFill>
          <a:schemeClr val="accent4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Historique écarts</a:t>
          </a:r>
        </a:p>
      </xdr:txBody>
    </xdr:sp>
    <xdr:clientData/>
  </xdr:twoCellAnchor>
  <xdr:twoCellAnchor editAs="absolute">
    <xdr:from>
      <xdr:col>8</xdr:col>
      <xdr:colOff>586740</xdr:colOff>
      <xdr:row>3</xdr:row>
      <xdr:rowOff>68580</xdr:rowOff>
    </xdr:from>
    <xdr:to>
      <xdr:col>8</xdr:col>
      <xdr:colOff>1988377</xdr:colOff>
      <xdr:row>3</xdr:row>
      <xdr:rowOff>316737</xdr:rowOff>
    </xdr:to>
    <xdr:sp macro="[0]!NavBar" textlink="">
      <xdr:nvSpPr>
        <xdr:cNvPr id="6" name="BtnDashboard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8336280" y="754380"/>
          <a:ext cx="1401637" cy="248157"/>
        </a:xfrm>
        <a:prstGeom prst="roundRect">
          <a:avLst/>
        </a:prstGeom>
        <a:solidFill>
          <a:srgbClr val="7030A0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3</xdr:row>
          <xdr:rowOff>99060</xdr:rowOff>
        </xdr:from>
        <xdr:to>
          <xdr:col>11</xdr:col>
          <xdr:colOff>1013460</xdr:colOff>
          <xdr:row>3</xdr:row>
          <xdr:rowOff>304800</xdr:rowOff>
        </xdr:to>
        <xdr:sp macro="" textlink="">
          <xdr:nvSpPr>
            <xdr:cNvPr id="7176" name="Drop Dow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5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59B9309-0FED-4E8B-930D-ADC4C33A3C3C}" autoFormatId="16" applyNumberFormats="0" applyBorderFormats="0" applyFontFormats="0" applyPatternFormats="0" applyAlignmentFormats="0" applyWidthHeightFormats="0">
  <queryTableRefresh nextId="3">
    <queryTableFields count="2">
      <queryTableField id="1" name="Thème" tableColumnId="1"/>
      <queryTableField id="2" name="Status" tableColumnId="2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F8160-0941-4A2C-8CA9-2A59834675A6}" name="TabProjet" displayName="TabProjet" ref="B13:BS53" totalsRowShown="0" headerRowDxfId="182" dataDxfId="181">
  <autoFilter ref="B13:BS53" xr:uid="{05DF8160-0941-4A2C-8CA9-2A59834675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</autoFilter>
  <tableColumns count="70">
    <tableColumn id="14" xr3:uid="{5E011378-D9B2-434B-8C74-F135916C3B11}" name="ID" dataDxfId="180">
      <calculatedColumnFormula>TabProjet[[#This Row],[IDProj]] &amp; TabProjet[[#This Row],[Point]] &amp; TabProjet[[#This Row],[IDSubProj]]</calculatedColumnFormula>
    </tableColumn>
    <tableColumn id="10" xr3:uid="{33A82585-DB2B-44E7-9275-AC5EA3E490AD}" name="Is Project" dataDxfId="179"/>
    <tableColumn id="1" xr3:uid="{FE19D7F9-7E68-477A-9689-CF570B0CBD84}" name="IDProj" dataDxfId="178">
      <calculatedColumnFormula>IF(ISNUMBER($D13),IF(TabProjet[[#This Row],[Is Project]] &lt;&gt;"",$D13+1,$D13),1)</calculatedColumnFormula>
    </tableColumn>
    <tableColumn id="13" xr3:uid="{34D588B9-69A7-4DD6-9144-63A6C05548E2}" name="Point" dataDxfId="177">
      <calculatedColumnFormula>IF(TabProjet[[#This Row],[Is Project]] &lt;&gt; "","",".")</calculatedColumnFormula>
    </tableColumn>
    <tableColumn id="12" xr3:uid="{8E1E4098-54BE-46AD-B12D-71E75D8BD0CE}" name="IDSubProj" dataDxfId="176">
      <calculatedColumnFormula>IFERROR(IF(TabProjet[[#This Row],[Is Project]]= "",$F13+1,""),1)</calculatedColumnFormula>
    </tableColumn>
    <tableColumn id="2" xr3:uid="{0DC6E036-CB5E-414E-9CA8-266B3754BCD1}" name="WBS - Activité / tâche" dataDxfId="175"/>
    <tableColumn id="4" xr3:uid="{846A1FE2-670F-48D4-89E3-C9AA6A19E048}" name="Thème" dataDxfId="174"/>
    <tableColumn id="3" xr3:uid="{35CD4987-ACB6-45CF-AAD0-19E3EDF4F0EA}" name="Dépendance" dataDxfId="173"/>
    <tableColumn id="5" xr3:uid="{B550C590-A3FE-48AF-BB0E-063E77405E77}" name="Attribuée à" dataDxfId="172"/>
    <tableColumn id="6" xr3:uid="{C1DF1DE8-DA2D-42A1-876D-A89759A0A7D4}" name="Début" dataDxfId="171"/>
    <tableColumn id="7" xr3:uid="{619A5E6C-C991-44B9-BB7F-5FFE4F514E1A}" name="Charge en J" dataDxfId="170"/>
    <tableColumn id="8" xr3:uid="{4418214A-69B5-4A83-BB1E-68E3FBFEE5F9}" name="Deadline" dataDxfId="169">
      <calculatedColumnFormula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J]],0)-1,TabOffDays[Date]))</calculatedColumnFormula>
    </tableColumn>
    <tableColumn id="9" xr3:uid="{E8064D66-7F1B-4C31-B3FF-FE61BF297092}" name="Progression" dataDxfId="168">
      <calculatedColumnFormula>IFERROR(AVERAGEIFS(TabProjet[Progression],TabProjet[Is Project],"",TabProjet[IDProj],TabProjet[[#This Row],[IDProj]]), 0)</calculatedColumnFormula>
    </tableColumn>
    <tableColumn id="70" xr3:uid="{56153E82-49D2-4089-B648-FD26678A5F04}" name="DateProgression" dataDxfId="167">
      <calculatedColumnFormula>TabProjet[[#This Row],[Début]]+(TabProjet[[#This Row],[Deadline]]-TabProjet[[#This Row],[Début]])*TabProjet[[#This Row],[Progression]]</calculatedColumnFormula>
    </tableColumn>
    <tableColumn id="11" xr3:uid="{31432459-77F0-400C-A56A-BA793D1066C7}" name="C0" dataDxfId="166"/>
    <tableColumn id="15" xr3:uid="{A5B38087-7AFC-4AB0-8100-9372428A0E44}" name="C1" dataDxfId="165"/>
    <tableColumn id="16" xr3:uid="{B23790DD-5CDC-4299-9BA3-EA7078D58C29}" name="C2" dataDxfId="164"/>
    <tableColumn id="17" xr3:uid="{9FCA9906-4703-4027-8369-7642905F7878}" name="C3" dataDxfId="163"/>
    <tableColumn id="18" xr3:uid="{7AE1C3A6-11C7-4214-B913-7F121F5D6C7B}" name="C4" dataDxfId="162"/>
    <tableColumn id="19" xr3:uid="{8C44A9B6-9EBE-42E7-9B1D-FA0534549368}" name="C5" dataDxfId="161"/>
    <tableColumn id="20" xr3:uid="{87BA93D9-060D-4DF9-8F7D-6A328E124F67}" name="C6" dataDxfId="160"/>
    <tableColumn id="21" xr3:uid="{F99F8ECE-1C3D-460C-A623-13250BEE51C7}" name="C7" dataDxfId="159"/>
    <tableColumn id="22" xr3:uid="{1FF8D443-22DD-48F3-B6CA-D39A5A800528}" name="C8" dataDxfId="158"/>
    <tableColumn id="23" xr3:uid="{F484ACDD-0357-448C-AAAF-8EFD2F112C21}" name="C9" dataDxfId="157"/>
    <tableColumn id="24" xr3:uid="{D77918AC-D8C3-47F6-940F-23E9F862DFB4}" name="C10" dataDxfId="156"/>
    <tableColumn id="25" xr3:uid="{50105DDE-4B56-456E-AACC-96EA350589C9}" name="C11" dataDxfId="155"/>
    <tableColumn id="26" xr3:uid="{B2B59E45-AC72-4482-B319-6C470EF73FCC}" name="C12" dataDxfId="154"/>
    <tableColumn id="27" xr3:uid="{A98AAD45-773D-48D9-B17A-EBFE31094BF5}" name="C13" dataDxfId="153"/>
    <tableColumn id="28" xr3:uid="{02FB93AA-8564-4D97-9E88-9D5F115FDBB8}" name="C14" dataDxfId="152"/>
    <tableColumn id="29" xr3:uid="{67B40E81-2761-4680-9AD0-B88C5CEA56A4}" name="C15" dataDxfId="151"/>
    <tableColumn id="30" xr3:uid="{4B7AA26B-D1F3-433A-A10C-845E847FC590}" name="C16" dataDxfId="150"/>
    <tableColumn id="31" xr3:uid="{3A280D40-A246-482A-9DBA-F68739E2C569}" name="C17" dataDxfId="149"/>
    <tableColumn id="32" xr3:uid="{AFD60292-9287-4481-A74F-E50C283A55C7}" name="C18" dataDxfId="148"/>
    <tableColumn id="33" xr3:uid="{198BD112-8E4C-4DDC-9072-A767C6CF05C2}" name="C19" dataDxfId="147"/>
    <tableColumn id="34" xr3:uid="{A8B34248-735F-432E-B459-5BD601F5FC8D}" name="C20" dataDxfId="146"/>
    <tableColumn id="35" xr3:uid="{37BD5FCF-B4D2-4E4D-9451-F12D50244F92}" name="C21" dataDxfId="145"/>
    <tableColumn id="36" xr3:uid="{25040C5B-4F3F-4ED0-BA07-E99BF0777818}" name="C22" dataDxfId="144"/>
    <tableColumn id="37" xr3:uid="{62AA482E-3E43-4765-8EF5-091BDC6F5225}" name="C23" dataDxfId="143"/>
    <tableColumn id="38" xr3:uid="{6189A7D6-D058-4992-BAAD-5648451DBE7B}" name="C24" dataDxfId="142"/>
    <tableColumn id="39" xr3:uid="{03075F3A-DC5D-45FB-97E2-813443679335}" name="C25" dataDxfId="141"/>
    <tableColumn id="40" xr3:uid="{1CAE1948-896E-41F8-BE21-A71BC9DC3F62}" name="C26" dataDxfId="140"/>
    <tableColumn id="41" xr3:uid="{0F9253E4-3E01-4F9C-B378-4E5395D92C17}" name="C27" dataDxfId="139"/>
    <tableColumn id="42" xr3:uid="{790F122F-27AD-426B-B13F-CD3FD8585104}" name="C28" dataDxfId="138"/>
    <tableColumn id="43" xr3:uid="{914053C2-B3E8-4720-BDEB-C49C4AC4B50C}" name="C29" dataDxfId="137"/>
    <tableColumn id="44" xr3:uid="{EA343FC2-4F25-4069-A46E-F4AEA2D1FB0D}" name="C30" dataDxfId="136"/>
    <tableColumn id="45" xr3:uid="{47B7D432-8691-4365-A12D-A95EBA7CE5BF}" name="C31" dataDxfId="135"/>
    <tableColumn id="46" xr3:uid="{E79689C4-C517-47F1-8241-23FD91CA3AF8}" name="C32" dataDxfId="134"/>
    <tableColumn id="47" xr3:uid="{2FA4D317-3D5C-44EF-A807-7C79CA6DE08F}" name="C33" dataDxfId="133"/>
    <tableColumn id="48" xr3:uid="{E0495E75-DC25-41A2-B74D-D75A5B814720}" name="C34" dataDxfId="132"/>
    <tableColumn id="49" xr3:uid="{391ADC20-5896-4360-93CD-0DC4113C861A}" name="C35" dataDxfId="131"/>
    <tableColumn id="50" xr3:uid="{D3068C68-0745-4B1A-9B51-7B8AE775A3C2}" name="C36" dataDxfId="130"/>
    <tableColumn id="51" xr3:uid="{87A37F2E-DC1F-4465-8265-57453ACCFA7D}" name="C37" dataDxfId="129"/>
    <tableColumn id="52" xr3:uid="{0C143BFE-C15F-4E3B-9257-D864E72AC3C7}" name="C38" dataDxfId="128"/>
    <tableColumn id="53" xr3:uid="{23B57741-D513-4B43-B61B-413AAD1DF505}" name="C39" dataDxfId="127"/>
    <tableColumn id="54" xr3:uid="{D4C5FDA7-640B-430F-A37A-34C1B0974FEA}" name="C40" dataDxfId="126"/>
    <tableColumn id="55" xr3:uid="{967EE029-FD3C-4B14-BFA2-01A8A6B13DF9}" name="C41" dataDxfId="125"/>
    <tableColumn id="56" xr3:uid="{FAB6B7EC-6A7F-4477-B654-6EE17469CD28}" name="C42" dataDxfId="124"/>
    <tableColumn id="57" xr3:uid="{04A76D1B-58C8-4134-8675-7F798C7CC071}" name="C43" dataDxfId="123"/>
    <tableColumn id="58" xr3:uid="{EF3EBBF3-8E90-4165-93CB-931208884994}" name="C44" dataDxfId="122"/>
    <tableColumn id="59" xr3:uid="{12DCEA53-9568-4DC1-AE4A-7FDBC5F91F6A}" name="C45" dataDxfId="121"/>
    <tableColumn id="60" xr3:uid="{B32091E3-23E2-4838-B370-F5F4F6AF4391}" name="C46" dataDxfId="120"/>
    <tableColumn id="61" xr3:uid="{941493BE-7E41-40EB-A92A-13E61CA793DF}" name="C47" dataDxfId="119"/>
    <tableColumn id="62" xr3:uid="{624092EB-DE2D-4103-9DC8-D735247BE38A}" name="C48" dataDxfId="118"/>
    <tableColumn id="63" xr3:uid="{C341EF51-157C-40D4-BAAB-7C160B7054C1}" name="C49" dataDxfId="117"/>
    <tableColumn id="64" xr3:uid="{DA4D28A5-88DF-4407-AC1D-C4D1E96BB2BD}" name="C50" dataDxfId="116"/>
    <tableColumn id="65" xr3:uid="{718614D1-EAA2-417F-8582-419F6FC18C4F}" name="C51" dataDxfId="115"/>
    <tableColumn id="66" xr3:uid="{67253AB3-C9EC-48C3-AEC5-8D53411CA06F}" name="C52" dataDxfId="114"/>
    <tableColumn id="67" xr3:uid="{5EBAF0C3-6EC7-4A9B-9FA3-C1CA444A0E60}" name="C53" dataDxfId="113"/>
    <tableColumn id="68" xr3:uid="{D6C0FAE2-93FB-4C8B-A3F0-F0F163FBA4B9}" name="C54" dataDxfId="112"/>
    <tableColumn id="69" xr3:uid="{0417A7FC-6F57-4FC6-B561-A4886A53AC9E}" name="C55" dataDxfId="111"/>
  </tableColumns>
  <tableStyleInfo name="TableStyleLight14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978040-378B-44A7-A370-D6D8D3A5BB83}" name="TabCoûts" displayName="TabCoûts" ref="C8:D20" headerRowDxfId="110" dataDxfId="109">
  <autoFilter ref="C8:D20" xr:uid="{93978040-378B-44A7-A370-D6D8D3A5BB83}">
    <filterColumn colId="0" hiddenButton="1"/>
    <filterColumn colId="1" hiddenButton="1"/>
  </autoFilter>
  <tableColumns count="2">
    <tableColumn id="1" xr3:uid="{2F146574-BA5B-401C-9840-E3B0EDCB9FF8}" name="Mois" totalsRowLabel="Total" dataDxfId="108" totalsRowDxfId="107"/>
    <tableColumn id="2" xr3:uid="{0A2F1EAA-514E-48A0-85C6-40CCBC89800D}" name="Coûts consomés par mois" totalsRowFunction="sum" dataDxfId="106" totalsRowDxfId="10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E036E3-6861-4DCD-B755-5F2B7A18F908}" name="TabHistoriqueEcartsDelaisBudget" displayName="TabHistoriqueEcartsDelaisBudget" ref="C9:E25" headerRowDxfId="104" dataDxfId="103">
  <autoFilter ref="C9:E25" xr:uid="{93978040-378B-44A7-A370-D6D8D3A5BB83}">
    <filterColumn colId="0" hiddenButton="1"/>
    <filterColumn colId="1" hiddenButton="1"/>
    <filterColumn colId="2" hiddenButton="1"/>
  </autoFilter>
  <tableColumns count="3">
    <tableColumn id="1" xr3:uid="{C0E3F090-47B0-4D9C-9766-C4D842B698E0}" name="Mois" totalsRowLabel="Total" dataDxfId="102" totalsRowDxfId="101"/>
    <tableColumn id="2" xr3:uid="{982090DC-9B2B-4ED8-B57F-4FC8EE3D475F}" name="Ecart de délai" totalsRowFunction="sum" dataDxfId="100" dataCellStyle="Pourcentage 2"/>
    <tableColumn id="3" xr3:uid="{9DACE6E5-EE64-4406-9A16-81567692DE73}" name="Ecart de budget" dataDxfId="99" dataCellStyle="Pourcentage 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53F210-AA72-4E4F-8C81-A40297988F38}" name="TabMonthYearTheme" displayName="TabMonthYearTheme" ref="AL8:AL10" totalsRowShown="0" headerRowDxfId="98" dataDxfId="97">
  <autoFilter ref="AL8:AL10" xr:uid="{3253F210-AA72-4E4F-8C81-A40297988F38}">
    <filterColumn colId="0" hiddenButton="1"/>
  </autoFilter>
  <tableColumns count="1">
    <tableColumn id="1" xr3:uid="{E4B9B9C9-4A8A-4CC5-9DE7-282289B33A24}" name="2" dataDxfId="96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39C064-9A60-465D-93B2-CEA0134111AB}" name="TabOffDays" displayName="TabOffDays" ref="F9:G20" totalsRowShown="0" headerRowDxfId="95" dataDxfId="94">
  <autoFilter ref="F9:G20" xr:uid="{9039C064-9A60-465D-93B2-CEA0134111AB}">
    <filterColumn colId="0" hiddenButton="1"/>
    <filterColumn colId="1" hiddenButton="1"/>
  </autoFilter>
  <tableColumns count="2">
    <tableColumn id="1" xr3:uid="{9C09A659-7942-4217-B871-10C3086E0A90}" name="Jour férié" dataDxfId="93"/>
    <tableColumn id="2" xr3:uid="{649B3904-9FE1-49EE-8314-92C233A88246}" name="Date" dataDxfId="92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3B3D378-A258-4DFB-B94B-598082A8351E}" name="TabTheme" displayName="TabTheme" ref="B9:D13" totalsRowShown="0" headerRowDxfId="91" tableBorderDxfId="90">
  <autoFilter ref="B9:D13" xr:uid="{C3B3D378-A258-4DFB-B94B-598082A8351E}">
    <filterColumn colId="0" hiddenButton="1"/>
    <filterColumn colId="1" hiddenButton="1"/>
    <filterColumn colId="2" hiddenButton="1"/>
  </autoFilter>
  <tableColumns count="3">
    <tableColumn id="1" xr3:uid="{39C9B971-C7C9-4BA5-B19D-2E9858CA016E}" name="Libellé" dataDxfId="89"/>
    <tableColumn id="2" xr3:uid="{9752BED7-F9C6-4BC4-BF2B-CB361C5C47B3}" name="Couleur du % réalisé" dataDxfId="88"/>
    <tableColumn id="3" xr3:uid="{2C7DB628-2908-40B1-9266-E880CE4C3054}" name="Couleur du % restant" dataDxfId="87"/>
  </tableColumns>
  <tableStyleInfo name="TableStyleLight14 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30C31A-0CC1-4A38-AC29-2D9FFC21486E}" name="Table_TabStatus" displayName="Table_TabStatus" ref="A38:B42" tableType="queryTable" totalsRowShown="0">
  <autoFilter ref="A38:B42" xr:uid="{9B30C31A-0CC1-4A38-AC29-2D9FFC21486E}">
    <filterColumn colId="0">
      <customFilters>
        <customFilter operator="notEqual" val=" "/>
      </customFilters>
    </filterColumn>
  </autoFilter>
  <tableColumns count="2">
    <tableColumn id="1" xr3:uid="{3F926291-789F-46E8-9F59-9AC3CCAC4723}" uniqueName="1" name="Thème" queryTableFieldId="1" dataDxfId="86"/>
    <tableColumn id="2" xr3:uid="{A707A3C7-016A-4C2A-8A50-FCD8F761F62E}" uniqueName="2" name="Status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5F7916-2D62-4E3B-A94F-794083D7096D}" name="TabLangue" displayName="TabLangue" ref="A1:B163" totalsRowShown="0" headerRowDxfId="73" dataDxfId="72">
  <autoFilter ref="A1:B163" xr:uid="{EB5F7916-2D62-4E3B-A94F-794083D7096D}"/>
  <sortState xmlns:xlrd2="http://schemas.microsoft.com/office/spreadsheetml/2017/richdata2" ref="A2:B47">
    <sortCondition ref="A1:A47"/>
  </sortState>
  <tableColumns count="2">
    <tableColumn id="1" xr3:uid="{B01119A2-CE03-478A-9387-E296A5DD8965}" name="Français" dataDxfId="71"/>
    <tableColumn id="2" xr3:uid="{72F53B37-DAAF-4590-BC22-DBB3BCD7E406}" name="Anglais" dataDxfId="7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7E7F863-FA13-45E3-AD11-F1E81F8A952A}" name="TabLang" displayName="TabLang" ref="F1:F3" totalsRowShown="0">
  <autoFilter ref="F1:F3" xr:uid="{67E7F863-FA13-45E3-AD11-F1E81F8A952A}"/>
  <tableColumns count="1">
    <tableColumn id="1" xr3:uid="{FB4B204A-6C93-4397-9EC6-7C6ED4C48AC4}" name="Lang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9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89A76-7A94-4732-B0DC-80CCE068BC4C}">
  <sheetPr codeName="ShGuide">
    <tabColor theme="5" tint="0.39997558519241921"/>
  </sheetPr>
  <dimension ref="B1:R389"/>
  <sheetViews>
    <sheetView showGridLines="0" workbookViewId="0">
      <selection activeCell="L14" sqref="L14"/>
    </sheetView>
  </sheetViews>
  <sheetFormatPr defaultColWidth="8.88671875" defaultRowHeight="14.4" x14ac:dyDescent="0.3"/>
  <cols>
    <col min="1" max="1" width="2.33203125" customWidth="1"/>
    <col min="2" max="2" width="3.5546875" customWidth="1"/>
    <col min="6" max="6" width="20" customWidth="1"/>
    <col min="7" max="8" width="11.33203125" customWidth="1"/>
    <col min="9" max="9" width="13.6640625" customWidth="1"/>
    <col min="10" max="11" width="20" customWidth="1"/>
    <col min="13" max="13" width="20.33203125" customWidth="1"/>
    <col min="14" max="14" width="19.6640625" customWidth="1"/>
  </cols>
  <sheetData>
    <row r="1" spans="2:14" ht="18" customHeight="1" x14ac:dyDescent="0.3">
      <c r="F1" s="1"/>
      <c r="G1" s="1"/>
      <c r="H1" s="1"/>
      <c r="I1" s="1"/>
      <c r="J1" s="1"/>
      <c r="K1" s="1"/>
      <c r="L1" s="1"/>
      <c r="M1" s="13" t="s">
        <v>96</v>
      </c>
      <c r="N1" s="9">
        <v>44893</v>
      </c>
    </row>
    <row r="2" spans="2:14" ht="18" customHeight="1" x14ac:dyDescent="0.3">
      <c r="F2" s="1"/>
      <c r="G2" s="1"/>
      <c r="H2" s="1"/>
      <c r="I2" s="1"/>
      <c r="J2" s="1"/>
      <c r="K2" s="1"/>
      <c r="L2" s="1"/>
      <c r="M2" s="13" t="s">
        <v>97</v>
      </c>
      <c r="N2" s="8"/>
    </row>
    <row r="3" spans="2:14" ht="18" customHeight="1" thickBot="1" x14ac:dyDescent="0.35">
      <c r="F3" s="1"/>
      <c r="G3" s="1"/>
      <c r="H3" s="1"/>
      <c r="I3" s="1"/>
      <c r="J3" s="1"/>
      <c r="K3" s="1"/>
      <c r="L3" s="1"/>
      <c r="M3" s="12" t="s">
        <v>98</v>
      </c>
      <c r="N3" s="8" t="s">
        <v>99</v>
      </c>
    </row>
    <row r="4" spans="2:14" ht="28.95" customHeight="1" thickTop="1" thickBot="1" x14ac:dyDescent="0.35">
      <c r="B4" s="7"/>
      <c r="C4" s="7" t="s">
        <v>107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14" ht="15" thickTop="1" x14ac:dyDescent="0.3"/>
    <row r="6" spans="2:14" ht="18" x14ac:dyDescent="0.3">
      <c r="B6" s="54" t="s">
        <v>180</v>
      </c>
    </row>
    <row r="7" spans="2:14" ht="15.6" x14ac:dyDescent="0.3">
      <c r="B7" s="55" t="s">
        <v>181</v>
      </c>
    </row>
    <row r="21" spans="2:18" ht="18" x14ac:dyDescent="0.35">
      <c r="B21" s="56" t="s">
        <v>182</v>
      </c>
      <c r="C21" s="57"/>
      <c r="D21" s="57"/>
      <c r="E21" s="57"/>
      <c r="F21" s="57"/>
      <c r="G21" s="57"/>
      <c r="H21" s="57"/>
      <c r="I21" s="57"/>
      <c r="J21" s="57"/>
      <c r="K21" s="57"/>
      <c r="L21" s="58"/>
      <c r="M21" s="58"/>
      <c r="N21" s="58"/>
      <c r="O21" s="58"/>
      <c r="P21" s="58"/>
      <c r="Q21" s="58"/>
      <c r="R21" s="58"/>
    </row>
    <row r="22" spans="2:18" ht="39.6" customHeight="1" x14ac:dyDescent="0.3">
      <c r="B22" s="159" t="s">
        <v>183</v>
      </c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59"/>
      <c r="R22" s="159"/>
    </row>
    <row r="28" spans="2:18" ht="21" x14ac:dyDescent="0.3">
      <c r="B28" s="59" t="s">
        <v>184</v>
      </c>
    </row>
    <row r="29" spans="2:18" ht="18" x14ac:dyDescent="0.3">
      <c r="B29" s="60" t="s">
        <v>185</v>
      </c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</row>
    <row r="30" spans="2:18" ht="15.6" customHeight="1" x14ac:dyDescent="0.3">
      <c r="B30" s="61" t="s">
        <v>186</v>
      </c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</row>
    <row r="31" spans="2:18" ht="15.6" customHeight="1" x14ac:dyDescent="0.3">
      <c r="B31" s="61" t="s">
        <v>187</v>
      </c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</row>
    <row r="52" spans="2:2" ht="15.6" x14ac:dyDescent="0.3">
      <c r="B52" s="61" t="s">
        <v>188</v>
      </c>
    </row>
    <row r="69" spans="2:2" ht="15.6" x14ac:dyDescent="0.3">
      <c r="B69" s="61" t="s">
        <v>189</v>
      </c>
    </row>
    <row r="70" spans="2:2" ht="15.6" x14ac:dyDescent="0.3">
      <c r="B70" s="61" t="s">
        <v>190</v>
      </c>
    </row>
    <row r="84" spans="2:2" ht="15.6" x14ac:dyDescent="0.3">
      <c r="B84" s="61" t="s">
        <v>191</v>
      </c>
    </row>
    <row r="85" spans="2:2" ht="15.6" x14ac:dyDescent="0.3">
      <c r="B85" s="61"/>
    </row>
    <row r="86" spans="2:2" ht="15.6" x14ac:dyDescent="0.3">
      <c r="B86" s="61" t="s">
        <v>192</v>
      </c>
    </row>
    <row r="87" spans="2:2" ht="15.6" x14ac:dyDescent="0.3">
      <c r="B87" s="61" t="s">
        <v>193</v>
      </c>
    </row>
    <row r="88" spans="2:2" ht="15.6" x14ac:dyDescent="0.3">
      <c r="B88" s="61"/>
    </row>
    <row r="89" spans="2:2" ht="15.6" x14ac:dyDescent="0.3">
      <c r="B89" s="61"/>
    </row>
    <row r="90" spans="2:2" ht="15.6" x14ac:dyDescent="0.3">
      <c r="B90" s="61"/>
    </row>
    <row r="91" spans="2:2" ht="15.6" x14ac:dyDescent="0.3">
      <c r="B91" s="61"/>
    </row>
    <row r="92" spans="2:2" ht="15.6" x14ac:dyDescent="0.3">
      <c r="B92" s="61"/>
    </row>
    <row r="93" spans="2:2" ht="15.6" x14ac:dyDescent="0.3">
      <c r="B93" s="61"/>
    </row>
    <row r="94" spans="2:2" ht="15.6" x14ac:dyDescent="0.3">
      <c r="B94" s="61"/>
    </row>
    <row r="95" spans="2:2" ht="15.6" x14ac:dyDescent="0.3">
      <c r="B95" s="61"/>
    </row>
    <row r="96" spans="2:2" ht="15.6" x14ac:dyDescent="0.3">
      <c r="B96" s="61"/>
    </row>
    <row r="97" spans="2:2" ht="15.6" x14ac:dyDescent="0.3">
      <c r="B97" s="61"/>
    </row>
    <row r="98" spans="2:2" ht="15.6" x14ac:dyDescent="0.3">
      <c r="B98" s="61"/>
    </row>
    <row r="99" spans="2:2" ht="15.6" x14ac:dyDescent="0.3">
      <c r="B99" s="61"/>
    </row>
    <row r="100" spans="2:2" ht="15.6" x14ac:dyDescent="0.3">
      <c r="B100" s="61"/>
    </row>
    <row r="101" spans="2:2" ht="15.6" x14ac:dyDescent="0.3">
      <c r="B101" s="61"/>
    </row>
    <row r="102" spans="2:2" ht="15.6" x14ac:dyDescent="0.3">
      <c r="B102" s="61"/>
    </row>
    <row r="103" spans="2:2" ht="15.6" x14ac:dyDescent="0.3">
      <c r="B103" s="61"/>
    </row>
    <row r="104" spans="2:2" ht="15.6" x14ac:dyDescent="0.3">
      <c r="B104" s="61"/>
    </row>
    <row r="105" spans="2:2" ht="15.6" x14ac:dyDescent="0.3">
      <c r="B105" s="61" t="s">
        <v>194</v>
      </c>
    </row>
    <row r="106" spans="2:2" ht="15.6" x14ac:dyDescent="0.3">
      <c r="B106" s="61"/>
    </row>
    <row r="107" spans="2:2" ht="15.6" x14ac:dyDescent="0.3">
      <c r="B107" s="61" t="s">
        <v>195</v>
      </c>
    </row>
    <row r="121" spans="2:2" ht="15.6" x14ac:dyDescent="0.3">
      <c r="B121" s="61" t="s">
        <v>196</v>
      </c>
    </row>
    <row r="134" spans="2:2" ht="18" x14ac:dyDescent="0.3">
      <c r="B134" s="60" t="s">
        <v>197</v>
      </c>
    </row>
    <row r="135" spans="2:2" ht="15.6" x14ac:dyDescent="0.3">
      <c r="B135" s="61" t="s">
        <v>198</v>
      </c>
    </row>
    <row r="150" spans="2:2" ht="15.6" x14ac:dyDescent="0.3">
      <c r="B150" s="61" t="s">
        <v>199</v>
      </c>
    </row>
    <row r="151" spans="2:2" ht="15.6" x14ac:dyDescent="0.3">
      <c r="B151" s="61" t="s">
        <v>200</v>
      </c>
    </row>
    <row r="153" spans="2:2" ht="18" x14ac:dyDescent="0.3">
      <c r="B153" s="60" t="s">
        <v>201</v>
      </c>
    </row>
    <row r="154" spans="2:2" ht="15.6" x14ac:dyDescent="0.3">
      <c r="B154" s="61" t="s">
        <v>202</v>
      </c>
    </row>
    <row r="155" spans="2:2" ht="15.6" x14ac:dyDescent="0.3">
      <c r="B155" s="61"/>
    </row>
    <row r="156" spans="2:2" ht="15.6" x14ac:dyDescent="0.3">
      <c r="B156" s="61"/>
    </row>
    <row r="164" spans="2:2" ht="15.6" x14ac:dyDescent="0.3">
      <c r="B164" s="61" t="s">
        <v>203</v>
      </c>
    </row>
    <row r="165" spans="2:2" ht="15.6" x14ac:dyDescent="0.3">
      <c r="B165" s="61" t="s">
        <v>204</v>
      </c>
    </row>
    <row r="166" spans="2:2" ht="15.6" x14ac:dyDescent="0.3">
      <c r="B166" s="61" t="s">
        <v>205</v>
      </c>
    </row>
    <row r="167" spans="2:2" ht="15.6" x14ac:dyDescent="0.3">
      <c r="B167" s="61"/>
    </row>
    <row r="168" spans="2:2" ht="15.6" x14ac:dyDescent="0.3">
      <c r="B168" s="61" t="s">
        <v>206</v>
      </c>
    </row>
    <row r="169" spans="2:2" ht="15.6" x14ac:dyDescent="0.3">
      <c r="B169" s="61"/>
    </row>
    <row r="170" spans="2:2" ht="15.6" x14ac:dyDescent="0.3">
      <c r="B170" s="61"/>
    </row>
    <row r="171" spans="2:2" ht="15.6" x14ac:dyDescent="0.3">
      <c r="B171" s="61"/>
    </row>
    <row r="172" spans="2:2" ht="15.6" x14ac:dyDescent="0.3">
      <c r="B172" s="61"/>
    </row>
    <row r="173" spans="2:2" ht="15.6" x14ac:dyDescent="0.3">
      <c r="B173" s="61"/>
    </row>
    <row r="174" spans="2:2" ht="15.6" x14ac:dyDescent="0.3">
      <c r="B174" s="61"/>
    </row>
    <row r="175" spans="2:2" ht="15.6" x14ac:dyDescent="0.3">
      <c r="B175" s="61"/>
    </row>
    <row r="176" spans="2:2" ht="15.6" x14ac:dyDescent="0.3">
      <c r="B176" s="61"/>
    </row>
    <row r="177" spans="2:2" ht="15.6" x14ac:dyDescent="0.3">
      <c r="B177" s="61"/>
    </row>
    <row r="178" spans="2:2" ht="15.6" x14ac:dyDescent="0.3">
      <c r="B178" s="61"/>
    </row>
    <row r="179" spans="2:2" ht="15.6" x14ac:dyDescent="0.3">
      <c r="B179" s="61"/>
    </row>
    <row r="180" spans="2:2" ht="15.6" x14ac:dyDescent="0.3">
      <c r="B180" s="61"/>
    </row>
    <row r="181" spans="2:2" ht="18" x14ac:dyDescent="0.3">
      <c r="B181" s="60" t="s">
        <v>207</v>
      </c>
    </row>
    <row r="182" spans="2:2" ht="15.6" x14ac:dyDescent="0.3">
      <c r="B182" s="61" t="s">
        <v>208</v>
      </c>
    </row>
    <row r="183" spans="2:2" ht="15.6" x14ac:dyDescent="0.3">
      <c r="B183" s="61"/>
    </row>
    <row r="184" spans="2:2" ht="15.6" x14ac:dyDescent="0.3">
      <c r="B184" s="61"/>
    </row>
    <row r="185" spans="2:2" ht="15.6" x14ac:dyDescent="0.3">
      <c r="B185" s="61"/>
    </row>
    <row r="186" spans="2:2" ht="15.6" x14ac:dyDescent="0.3">
      <c r="B186" s="61"/>
    </row>
    <row r="187" spans="2:2" ht="15.6" x14ac:dyDescent="0.3">
      <c r="B187" s="61"/>
    </row>
    <row r="188" spans="2:2" ht="15.6" x14ac:dyDescent="0.3">
      <c r="B188" s="61"/>
    </row>
    <row r="189" spans="2:2" ht="15.6" x14ac:dyDescent="0.3">
      <c r="B189" s="61"/>
    </row>
    <row r="190" spans="2:2" ht="15.6" x14ac:dyDescent="0.3">
      <c r="B190" s="61"/>
    </row>
    <row r="191" spans="2:2" ht="15.6" x14ac:dyDescent="0.3">
      <c r="B191" s="61"/>
    </row>
    <row r="192" spans="2:2" ht="15.6" x14ac:dyDescent="0.3">
      <c r="B192" s="61"/>
    </row>
    <row r="193" spans="2:2" ht="15.6" x14ac:dyDescent="0.3">
      <c r="B193" s="61"/>
    </row>
    <row r="194" spans="2:2" ht="15.6" x14ac:dyDescent="0.3">
      <c r="B194" s="61"/>
    </row>
    <row r="195" spans="2:2" ht="15.6" x14ac:dyDescent="0.3">
      <c r="B195" s="61"/>
    </row>
    <row r="196" spans="2:2" ht="15.6" x14ac:dyDescent="0.3">
      <c r="B196" s="61" t="s">
        <v>209</v>
      </c>
    </row>
    <row r="197" spans="2:2" ht="15.6" x14ac:dyDescent="0.3">
      <c r="B197" s="61" t="s">
        <v>210</v>
      </c>
    </row>
    <row r="198" spans="2:2" ht="15.6" x14ac:dyDescent="0.3">
      <c r="B198" s="61"/>
    </row>
    <row r="199" spans="2:2" ht="15.6" x14ac:dyDescent="0.3">
      <c r="B199" s="61"/>
    </row>
    <row r="200" spans="2:2" ht="15.6" x14ac:dyDescent="0.3">
      <c r="B200" s="61"/>
    </row>
    <row r="201" spans="2:2" ht="15.6" x14ac:dyDescent="0.3">
      <c r="B201" s="61"/>
    </row>
    <row r="202" spans="2:2" ht="15.6" x14ac:dyDescent="0.3">
      <c r="B202" s="61"/>
    </row>
    <row r="203" spans="2:2" ht="15.6" x14ac:dyDescent="0.3">
      <c r="B203" s="61"/>
    </row>
    <row r="204" spans="2:2" ht="15.6" x14ac:dyDescent="0.3">
      <c r="B204" s="61"/>
    </row>
    <row r="205" spans="2:2" ht="15.6" x14ac:dyDescent="0.3">
      <c r="B205" s="61"/>
    </row>
    <row r="206" spans="2:2" ht="15.6" x14ac:dyDescent="0.3">
      <c r="B206" s="61"/>
    </row>
    <row r="207" spans="2:2" ht="15.6" x14ac:dyDescent="0.3">
      <c r="B207" s="61"/>
    </row>
    <row r="208" spans="2:2" ht="15.6" x14ac:dyDescent="0.3">
      <c r="B208" s="61"/>
    </row>
    <row r="209" spans="2:2" ht="15.6" x14ac:dyDescent="0.3">
      <c r="B209" s="61"/>
    </row>
    <row r="210" spans="2:2" ht="15.6" x14ac:dyDescent="0.3">
      <c r="B210" s="61"/>
    </row>
    <row r="211" spans="2:2" ht="15.6" x14ac:dyDescent="0.3">
      <c r="B211" s="61"/>
    </row>
    <row r="212" spans="2:2" ht="15.6" x14ac:dyDescent="0.3">
      <c r="B212" s="61"/>
    </row>
    <row r="213" spans="2:2" ht="15.6" x14ac:dyDescent="0.3">
      <c r="B213" s="61"/>
    </row>
    <row r="214" spans="2:2" ht="15.6" x14ac:dyDescent="0.3">
      <c r="B214" s="61"/>
    </row>
    <row r="215" spans="2:2" ht="15.6" x14ac:dyDescent="0.3">
      <c r="B215" s="61"/>
    </row>
    <row r="216" spans="2:2" ht="15.6" x14ac:dyDescent="0.3">
      <c r="B216" s="61"/>
    </row>
    <row r="217" spans="2:2" ht="15.6" x14ac:dyDescent="0.3">
      <c r="B217" s="61" t="s">
        <v>211</v>
      </c>
    </row>
    <row r="218" spans="2:2" ht="15.6" x14ac:dyDescent="0.3">
      <c r="B218" s="61"/>
    </row>
    <row r="219" spans="2:2" ht="15.6" x14ac:dyDescent="0.3">
      <c r="B219" s="61"/>
    </row>
    <row r="220" spans="2:2" ht="15.6" x14ac:dyDescent="0.3">
      <c r="B220" s="61"/>
    </row>
    <row r="221" spans="2:2" ht="15.6" x14ac:dyDescent="0.3">
      <c r="B221" s="61"/>
    </row>
    <row r="222" spans="2:2" ht="15.6" x14ac:dyDescent="0.3">
      <c r="B222" s="61"/>
    </row>
    <row r="223" spans="2:2" ht="15.6" x14ac:dyDescent="0.3">
      <c r="B223" s="61"/>
    </row>
    <row r="224" spans="2:2" ht="15.6" x14ac:dyDescent="0.3">
      <c r="B224" s="61"/>
    </row>
    <row r="225" spans="2:2" ht="15.6" x14ac:dyDescent="0.3">
      <c r="B225" s="61"/>
    </row>
    <row r="226" spans="2:2" ht="15.6" x14ac:dyDescent="0.3">
      <c r="B226" s="61"/>
    </row>
    <row r="227" spans="2:2" ht="15.6" x14ac:dyDescent="0.3">
      <c r="B227" s="61"/>
    </row>
    <row r="228" spans="2:2" ht="15.6" x14ac:dyDescent="0.3">
      <c r="B228" s="61"/>
    </row>
    <row r="229" spans="2:2" ht="15.6" x14ac:dyDescent="0.3">
      <c r="B229" s="61"/>
    </row>
    <row r="230" spans="2:2" ht="15.6" x14ac:dyDescent="0.3">
      <c r="B230" s="61"/>
    </row>
    <row r="231" spans="2:2" ht="15.6" x14ac:dyDescent="0.3">
      <c r="B231" s="61"/>
    </row>
    <row r="232" spans="2:2" ht="15.6" x14ac:dyDescent="0.3">
      <c r="B232" s="61"/>
    </row>
    <row r="233" spans="2:2" ht="18" x14ac:dyDescent="0.3">
      <c r="B233" s="60" t="s">
        <v>212</v>
      </c>
    </row>
    <row r="234" spans="2:2" ht="15.6" x14ac:dyDescent="0.3">
      <c r="B234" s="61" t="s">
        <v>213</v>
      </c>
    </row>
    <row r="235" spans="2:2" ht="15.6" x14ac:dyDescent="0.3">
      <c r="B235" s="61" t="s">
        <v>214</v>
      </c>
    </row>
    <row r="236" spans="2:2" ht="15.6" x14ac:dyDescent="0.3">
      <c r="B236" s="61" t="s">
        <v>215</v>
      </c>
    </row>
    <row r="237" spans="2:2" ht="15.6" x14ac:dyDescent="0.3">
      <c r="B237" s="61"/>
    </row>
    <row r="238" spans="2:2" ht="15.6" x14ac:dyDescent="0.3">
      <c r="B238" s="61"/>
    </row>
    <row r="239" spans="2:2" ht="15.6" x14ac:dyDescent="0.3">
      <c r="B239" s="61"/>
    </row>
    <row r="240" spans="2:2" ht="15.6" x14ac:dyDescent="0.3">
      <c r="B240" s="61"/>
    </row>
    <row r="241" spans="2:2" ht="15.6" x14ac:dyDescent="0.3">
      <c r="B241" s="61"/>
    </row>
    <row r="242" spans="2:2" ht="15.6" x14ac:dyDescent="0.3">
      <c r="B242" s="61"/>
    </row>
    <row r="243" spans="2:2" ht="15.6" x14ac:dyDescent="0.3">
      <c r="B243" s="61"/>
    </row>
    <row r="244" spans="2:2" ht="15.6" x14ac:dyDescent="0.3">
      <c r="B244" s="61"/>
    </row>
    <row r="245" spans="2:2" ht="15.6" x14ac:dyDescent="0.3">
      <c r="B245" s="61"/>
    </row>
    <row r="246" spans="2:2" ht="15.6" x14ac:dyDescent="0.3">
      <c r="B246" s="61"/>
    </row>
    <row r="247" spans="2:2" ht="15.6" x14ac:dyDescent="0.3">
      <c r="B247" s="61"/>
    </row>
    <row r="248" spans="2:2" ht="15.6" x14ac:dyDescent="0.3">
      <c r="B248" s="61"/>
    </row>
    <row r="249" spans="2:2" ht="15.6" x14ac:dyDescent="0.3">
      <c r="B249" s="61" t="s">
        <v>216</v>
      </c>
    </row>
    <row r="250" spans="2:2" ht="15.6" x14ac:dyDescent="0.3">
      <c r="B250" s="61"/>
    </row>
    <row r="251" spans="2:2" ht="15.6" x14ac:dyDescent="0.3">
      <c r="B251" s="61"/>
    </row>
    <row r="252" spans="2:2" ht="15.6" x14ac:dyDescent="0.3">
      <c r="B252" s="61"/>
    </row>
    <row r="253" spans="2:2" ht="15.6" x14ac:dyDescent="0.3">
      <c r="B253" s="61"/>
    </row>
    <row r="254" spans="2:2" ht="15.6" x14ac:dyDescent="0.3">
      <c r="B254" s="61"/>
    </row>
    <row r="255" spans="2:2" ht="15.6" x14ac:dyDescent="0.3">
      <c r="B255" s="61"/>
    </row>
    <row r="256" spans="2:2" ht="15.6" x14ac:dyDescent="0.3">
      <c r="B256" s="61"/>
    </row>
    <row r="257" spans="2:2" ht="15.6" x14ac:dyDescent="0.3">
      <c r="B257" s="61"/>
    </row>
    <row r="258" spans="2:2" ht="15.6" x14ac:dyDescent="0.3">
      <c r="B258" s="61"/>
    </row>
    <row r="259" spans="2:2" ht="15.6" x14ac:dyDescent="0.3">
      <c r="B259" s="61"/>
    </row>
    <row r="260" spans="2:2" ht="15.6" x14ac:dyDescent="0.3">
      <c r="B260" s="61"/>
    </row>
    <row r="261" spans="2:2" ht="15.6" x14ac:dyDescent="0.3">
      <c r="B261" s="61"/>
    </row>
    <row r="262" spans="2:2" ht="15.6" x14ac:dyDescent="0.3">
      <c r="B262" s="61"/>
    </row>
    <row r="263" spans="2:2" ht="15.6" x14ac:dyDescent="0.3">
      <c r="B263" s="61" t="s">
        <v>217</v>
      </c>
    </row>
    <row r="265" spans="2:2" ht="15.6" x14ac:dyDescent="0.3">
      <c r="B265" s="61"/>
    </row>
    <row r="266" spans="2:2" ht="15.6" x14ac:dyDescent="0.3">
      <c r="B266" s="61"/>
    </row>
    <row r="267" spans="2:2" ht="15.6" x14ac:dyDescent="0.3">
      <c r="B267" s="61"/>
    </row>
    <row r="268" spans="2:2" ht="15.6" x14ac:dyDescent="0.3">
      <c r="B268" s="61"/>
    </row>
    <row r="269" spans="2:2" ht="15.6" x14ac:dyDescent="0.3">
      <c r="B269" s="61"/>
    </row>
    <row r="270" spans="2:2" ht="15.6" x14ac:dyDescent="0.3">
      <c r="B270" s="61"/>
    </row>
    <row r="271" spans="2:2" ht="15.6" x14ac:dyDescent="0.3">
      <c r="B271" s="61"/>
    </row>
    <row r="272" spans="2:2" ht="15.6" x14ac:dyDescent="0.3">
      <c r="B272" s="61"/>
    </row>
    <row r="273" spans="2:2" ht="15.6" x14ac:dyDescent="0.3">
      <c r="B273" s="61"/>
    </row>
    <row r="274" spans="2:2" ht="15.6" x14ac:dyDescent="0.3">
      <c r="B274" s="61"/>
    </row>
    <row r="275" spans="2:2" ht="15.6" x14ac:dyDescent="0.3">
      <c r="B275" s="61"/>
    </row>
    <row r="276" spans="2:2" ht="15.6" x14ac:dyDescent="0.3">
      <c r="B276" s="61"/>
    </row>
    <row r="277" spans="2:2" ht="15.6" x14ac:dyDescent="0.3">
      <c r="B277" s="61"/>
    </row>
    <row r="278" spans="2:2" ht="15.6" x14ac:dyDescent="0.3">
      <c r="B278" s="61"/>
    </row>
    <row r="279" spans="2:2" ht="15.6" x14ac:dyDescent="0.3">
      <c r="B279" s="61"/>
    </row>
    <row r="280" spans="2:2" ht="15.6" x14ac:dyDescent="0.3">
      <c r="B280" s="61"/>
    </row>
    <row r="281" spans="2:2" ht="15.6" x14ac:dyDescent="0.3">
      <c r="B281" s="61"/>
    </row>
    <row r="282" spans="2:2" ht="15.6" x14ac:dyDescent="0.3">
      <c r="B282" s="61"/>
    </row>
    <row r="283" spans="2:2" ht="15.6" x14ac:dyDescent="0.3">
      <c r="B283" s="61"/>
    </row>
    <row r="284" spans="2:2" ht="15.6" x14ac:dyDescent="0.3">
      <c r="B284" s="61"/>
    </row>
    <row r="285" spans="2:2" ht="15.6" x14ac:dyDescent="0.3">
      <c r="B285" s="61"/>
    </row>
    <row r="286" spans="2:2" ht="15.6" x14ac:dyDescent="0.3">
      <c r="B286" s="61"/>
    </row>
    <row r="287" spans="2:2" ht="15.6" x14ac:dyDescent="0.3">
      <c r="B287" s="61"/>
    </row>
    <row r="288" spans="2:2" ht="15.6" x14ac:dyDescent="0.3">
      <c r="B288" s="61"/>
    </row>
    <row r="289" spans="2:2" ht="15.6" x14ac:dyDescent="0.3">
      <c r="B289" s="61"/>
    </row>
    <row r="290" spans="2:2" ht="15.6" x14ac:dyDescent="0.3">
      <c r="B290" s="61"/>
    </row>
    <row r="291" spans="2:2" ht="15.6" x14ac:dyDescent="0.3">
      <c r="B291" s="61"/>
    </row>
    <row r="292" spans="2:2" ht="15.6" x14ac:dyDescent="0.3">
      <c r="B292" s="61"/>
    </row>
    <row r="293" spans="2:2" ht="15.6" x14ac:dyDescent="0.3">
      <c r="B293" s="61"/>
    </row>
    <row r="294" spans="2:2" ht="15.6" x14ac:dyDescent="0.3">
      <c r="B294" s="61"/>
    </row>
    <row r="295" spans="2:2" ht="15.6" x14ac:dyDescent="0.3">
      <c r="B295" s="61"/>
    </row>
    <row r="296" spans="2:2" ht="15.6" x14ac:dyDescent="0.3">
      <c r="B296" s="61"/>
    </row>
    <row r="297" spans="2:2" ht="15.6" x14ac:dyDescent="0.3">
      <c r="B297" s="61"/>
    </row>
    <row r="298" spans="2:2" ht="15.6" x14ac:dyDescent="0.3">
      <c r="B298" s="61"/>
    </row>
    <row r="299" spans="2:2" ht="15.6" x14ac:dyDescent="0.3">
      <c r="B299" s="61"/>
    </row>
    <row r="300" spans="2:2" ht="15.6" x14ac:dyDescent="0.3">
      <c r="B300" s="61"/>
    </row>
    <row r="301" spans="2:2" ht="15.6" x14ac:dyDescent="0.3">
      <c r="B301" s="61"/>
    </row>
    <row r="302" spans="2:2" ht="15.6" x14ac:dyDescent="0.3">
      <c r="B302" s="61"/>
    </row>
    <row r="303" spans="2:2" ht="15.6" x14ac:dyDescent="0.3">
      <c r="B303" s="61"/>
    </row>
    <row r="304" spans="2:2" ht="15.6" x14ac:dyDescent="0.3">
      <c r="B304" s="61"/>
    </row>
    <row r="305" spans="2:2" ht="15.6" x14ac:dyDescent="0.3">
      <c r="B305" s="61"/>
    </row>
    <row r="306" spans="2:2" ht="15.6" x14ac:dyDescent="0.3">
      <c r="B306" s="61"/>
    </row>
    <row r="307" spans="2:2" ht="15.6" x14ac:dyDescent="0.3">
      <c r="B307" s="61"/>
    </row>
    <row r="308" spans="2:2" ht="15.6" x14ac:dyDescent="0.3">
      <c r="B308" s="61"/>
    </row>
    <row r="309" spans="2:2" ht="15.6" x14ac:dyDescent="0.3">
      <c r="B309" s="61"/>
    </row>
    <row r="310" spans="2:2" ht="15.6" x14ac:dyDescent="0.3">
      <c r="B310" s="61"/>
    </row>
    <row r="311" spans="2:2" ht="15.6" x14ac:dyDescent="0.3">
      <c r="B311" s="61"/>
    </row>
    <row r="312" spans="2:2" ht="15.6" x14ac:dyDescent="0.3">
      <c r="B312" s="61"/>
    </row>
    <row r="313" spans="2:2" ht="15.6" x14ac:dyDescent="0.3">
      <c r="B313" s="61"/>
    </row>
    <row r="314" spans="2:2" ht="15.6" x14ac:dyDescent="0.3">
      <c r="B314" s="61"/>
    </row>
    <row r="315" spans="2:2" ht="15.6" x14ac:dyDescent="0.3">
      <c r="B315" s="61"/>
    </row>
    <row r="316" spans="2:2" ht="15.6" x14ac:dyDescent="0.3">
      <c r="B316" s="61"/>
    </row>
    <row r="317" spans="2:2" ht="15.6" x14ac:dyDescent="0.3">
      <c r="B317" s="61"/>
    </row>
    <row r="318" spans="2:2" ht="15.6" x14ac:dyDescent="0.3">
      <c r="B318" s="61"/>
    </row>
    <row r="319" spans="2:2" ht="15.6" x14ac:dyDescent="0.3">
      <c r="B319" s="61"/>
    </row>
    <row r="320" spans="2:2" ht="15.6" x14ac:dyDescent="0.3">
      <c r="B320" s="61"/>
    </row>
    <row r="321" spans="2:2" ht="15.6" x14ac:dyDescent="0.3">
      <c r="B321" s="61"/>
    </row>
    <row r="322" spans="2:2" ht="15.6" x14ac:dyDescent="0.3">
      <c r="B322" s="61"/>
    </row>
    <row r="323" spans="2:2" ht="15.6" x14ac:dyDescent="0.3">
      <c r="B323" s="61"/>
    </row>
    <row r="324" spans="2:2" ht="15.6" x14ac:dyDescent="0.3">
      <c r="B324" s="61"/>
    </row>
    <row r="325" spans="2:2" ht="15.6" x14ac:dyDescent="0.3">
      <c r="B325" s="61"/>
    </row>
    <row r="326" spans="2:2" ht="15.6" x14ac:dyDescent="0.3">
      <c r="B326" s="61"/>
    </row>
    <row r="327" spans="2:2" ht="15.6" x14ac:dyDescent="0.3">
      <c r="B327" s="61"/>
    </row>
    <row r="328" spans="2:2" ht="15.6" x14ac:dyDescent="0.3">
      <c r="B328" s="61"/>
    </row>
    <row r="329" spans="2:2" ht="15.6" x14ac:dyDescent="0.3">
      <c r="B329" s="61"/>
    </row>
    <row r="330" spans="2:2" ht="15.6" x14ac:dyDescent="0.3">
      <c r="B330" s="61"/>
    </row>
    <row r="331" spans="2:2" ht="15.6" x14ac:dyDescent="0.3">
      <c r="B331" s="61"/>
    </row>
    <row r="332" spans="2:2" ht="15.6" x14ac:dyDescent="0.3">
      <c r="B332" s="61"/>
    </row>
    <row r="333" spans="2:2" ht="15.6" x14ac:dyDescent="0.3">
      <c r="B333" s="61"/>
    </row>
    <row r="334" spans="2:2" ht="15.6" x14ac:dyDescent="0.3">
      <c r="B334" s="61"/>
    </row>
    <row r="335" spans="2:2" ht="15.6" x14ac:dyDescent="0.3">
      <c r="B335" s="61"/>
    </row>
    <row r="336" spans="2:2" ht="15.6" x14ac:dyDescent="0.3">
      <c r="B336" s="61"/>
    </row>
    <row r="337" spans="2:2" ht="15.6" x14ac:dyDescent="0.3">
      <c r="B337" s="61"/>
    </row>
    <row r="338" spans="2:2" ht="15.6" x14ac:dyDescent="0.3">
      <c r="B338" s="61"/>
    </row>
    <row r="339" spans="2:2" ht="15.6" x14ac:dyDescent="0.3">
      <c r="B339" s="61"/>
    </row>
    <row r="340" spans="2:2" ht="15.6" x14ac:dyDescent="0.3">
      <c r="B340" s="61"/>
    </row>
    <row r="341" spans="2:2" ht="15.6" x14ac:dyDescent="0.3">
      <c r="B341" s="61"/>
    </row>
    <row r="342" spans="2:2" ht="15.6" x14ac:dyDescent="0.3">
      <c r="B342" s="61"/>
    </row>
    <row r="343" spans="2:2" ht="15.6" x14ac:dyDescent="0.3">
      <c r="B343" s="61"/>
    </row>
    <row r="344" spans="2:2" ht="15.6" x14ac:dyDescent="0.3">
      <c r="B344" s="61"/>
    </row>
    <row r="345" spans="2:2" ht="15.6" x14ac:dyDescent="0.3">
      <c r="B345" s="61"/>
    </row>
    <row r="346" spans="2:2" ht="15.6" x14ac:dyDescent="0.3">
      <c r="B346" s="61"/>
    </row>
    <row r="347" spans="2:2" ht="15.6" x14ac:dyDescent="0.3">
      <c r="B347" s="61"/>
    </row>
    <row r="348" spans="2:2" ht="15.6" x14ac:dyDescent="0.3">
      <c r="B348" s="61"/>
    </row>
    <row r="349" spans="2:2" ht="15.6" x14ac:dyDescent="0.3">
      <c r="B349" s="61"/>
    </row>
    <row r="350" spans="2:2" ht="15.6" x14ac:dyDescent="0.3">
      <c r="B350" s="61"/>
    </row>
    <row r="351" spans="2:2" ht="15.6" x14ac:dyDescent="0.3">
      <c r="B351" s="61"/>
    </row>
    <row r="352" spans="2:2" ht="15.6" x14ac:dyDescent="0.3">
      <c r="B352" s="61"/>
    </row>
    <row r="353" spans="2:2" ht="15.6" x14ac:dyDescent="0.3">
      <c r="B353" s="61"/>
    </row>
    <row r="354" spans="2:2" ht="15.6" x14ac:dyDescent="0.3">
      <c r="B354" s="61"/>
    </row>
    <row r="355" spans="2:2" ht="15.6" x14ac:dyDescent="0.3">
      <c r="B355" s="61"/>
    </row>
    <row r="356" spans="2:2" ht="15.6" x14ac:dyDescent="0.3">
      <c r="B356" s="61"/>
    </row>
    <row r="357" spans="2:2" ht="15.6" x14ac:dyDescent="0.3">
      <c r="B357" s="61"/>
    </row>
    <row r="358" spans="2:2" ht="15.6" x14ac:dyDescent="0.3">
      <c r="B358" s="61"/>
    </row>
    <row r="359" spans="2:2" ht="15.6" x14ac:dyDescent="0.3">
      <c r="B359" s="61"/>
    </row>
    <row r="360" spans="2:2" ht="15.6" x14ac:dyDescent="0.3">
      <c r="B360" s="61"/>
    </row>
    <row r="361" spans="2:2" ht="15.6" x14ac:dyDescent="0.3">
      <c r="B361" s="61"/>
    </row>
    <row r="362" spans="2:2" ht="15.6" x14ac:dyDescent="0.3">
      <c r="B362" s="61"/>
    </row>
    <row r="363" spans="2:2" ht="15.6" x14ac:dyDescent="0.3">
      <c r="B363" s="61"/>
    </row>
    <row r="364" spans="2:2" ht="15.6" x14ac:dyDescent="0.3">
      <c r="B364" s="61"/>
    </row>
    <row r="365" spans="2:2" ht="15.6" x14ac:dyDescent="0.3">
      <c r="B365" s="61"/>
    </row>
    <row r="366" spans="2:2" ht="15.6" x14ac:dyDescent="0.3">
      <c r="B366" s="61"/>
    </row>
    <row r="367" spans="2:2" ht="15.6" x14ac:dyDescent="0.3">
      <c r="B367" s="61"/>
    </row>
    <row r="368" spans="2:2" ht="15.6" x14ac:dyDescent="0.3">
      <c r="B368" s="61"/>
    </row>
    <row r="369" spans="2:2" ht="15.6" x14ac:dyDescent="0.3">
      <c r="B369" s="61"/>
    </row>
    <row r="370" spans="2:2" ht="15.6" x14ac:dyDescent="0.3">
      <c r="B370" s="61"/>
    </row>
    <row r="371" spans="2:2" ht="15.6" x14ac:dyDescent="0.3">
      <c r="B371" s="61"/>
    </row>
    <row r="372" spans="2:2" ht="15.6" x14ac:dyDescent="0.3">
      <c r="B372" s="61"/>
    </row>
    <row r="373" spans="2:2" ht="15.6" x14ac:dyDescent="0.3">
      <c r="B373" s="61"/>
    </row>
    <row r="374" spans="2:2" ht="15.6" x14ac:dyDescent="0.3">
      <c r="B374" s="61"/>
    </row>
    <row r="375" spans="2:2" ht="15.6" x14ac:dyDescent="0.3">
      <c r="B375" s="61"/>
    </row>
    <row r="376" spans="2:2" ht="15.6" x14ac:dyDescent="0.3">
      <c r="B376" s="61"/>
    </row>
    <row r="377" spans="2:2" ht="15.6" x14ac:dyDescent="0.3">
      <c r="B377" s="61"/>
    </row>
    <row r="378" spans="2:2" ht="15.6" x14ac:dyDescent="0.3">
      <c r="B378" s="61"/>
    </row>
    <row r="379" spans="2:2" ht="15.6" x14ac:dyDescent="0.3">
      <c r="B379" s="61"/>
    </row>
    <row r="380" spans="2:2" ht="15.6" x14ac:dyDescent="0.3">
      <c r="B380" s="61"/>
    </row>
    <row r="381" spans="2:2" ht="15.6" x14ac:dyDescent="0.3">
      <c r="B381" s="61"/>
    </row>
    <row r="382" spans="2:2" ht="15.6" x14ac:dyDescent="0.3">
      <c r="B382" s="61"/>
    </row>
    <row r="383" spans="2:2" ht="15.6" x14ac:dyDescent="0.3">
      <c r="B383" s="61"/>
    </row>
    <row r="384" spans="2:2" ht="15.6" x14ac:dyDescent="0.3">
      <c r="B384" s="61"/>
    </row>
    <row r="385" spans="2:2" ht="15.6" x14ac:dyDescent="0.3">
      <c r="B385" s="61"/>
    </row>
    <row r="386" spans="2:2" ht="15.6" x14ac:dyDescent="0.3">
      <c r="B386" s="61"/>
    </row>
    <row r="387" spans="2:2" ht="15.6" x14ac:dyDescent="0.3">
      <c r="B387" s="61"/>
    </row>
    <row r="388" spans="2:2" ht="15.6" x14ac:dyDescent="0.3">
      <c r="B388" s="61"/>
    </row>
    <row r="389" spans="2:2" ht="15.6" x14ac:dyDescent="0.3">
      <c r="B389" s="61"/>
    </row>
  </sheetData>
  <mergeCells count="1">
    <mergeCell ref="B22:R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6F488-6BA2-4AE3-8E35-9D6990AF057B}">
  <sheetPr codeName="ShGantt">
    <tabColor theme="4" tint="0.39997558519241921"/>
  </sheetPr>
  <dimension ref="B1:BS129"/>
  <sheetViews>
    <sheetView showGridLines="0" tabSelected="1" zoomScaleNormal="100" workbookViewId="0">
      <selection activeCell="L19" sqref="L19"/>
    </sheetView>
  </sheetViews>
  <sheetFormatPr defaultColWidth="8.88671875" defaultRowHeight="14.4" x14ac:dyDescent="0.3"/>
  <cols>
    <col min="1" max="1" width="2.88671875" customWidth="1"/>
    <col min="2" max="2" width="4.5546875" bestFit="1" customWidth="1"/>
    <col min="3" max="3" width="8.6640625" style="76" hidden="1" customWidth="1"/>
    <col min="4" max="4" width="6.33203125" style="76" hidden="1" customWidth="1"/>
    <col min="5" max="5" width="5.44140625" style="76" hidden="1" customWidth="1"/>
    <col min="6" max="6" width="9.44140625" style="77" hidden="1" customWidth="1"/>
    <col min="7" max="7" width="47.88671875" bestFit="1" customWidth="1"/>
    <col min="8" max="8" width="10.6640625" customWidth="1"/>
    <col min="9" max="9" width="12" customWidth="1"/>
    <col min="10" max="10" width="17.5546875" customWidth="1"/>
    <col min="11" max="11" width="11.33203125" customWidth="1"/>
    <col min="12" max="12" width="10.5546875" bestFit="1" customWidth="1"/>
    <col min="13" max="13" width="11.6640625" customWidth="1"/>
    <col min="14" max="14" width="11.109375" style="66" customWidth="1"/>
    <col min="15" max="15" width="11.6640625" hidden="1" customWidth="1"/>
    <col min="16" max="19" width="2.6640625" customWidth="1"/>
    <col min="20" max="42" width="2.88671875" customWidth="1"/>
    <col min="43" max="50" width="2.6640625" customWidth="1"/>
    <col min="51" max="71" width="3.44140625" customWidth="1"/>
    <col min="72" max="72" width="1.44140625" customWidth="1"/>
  </cols>
  <sheetData>
    <row r="1" spans="2:71" ht="18" customHeight="1" x14ac:dyDescent="0.3">
      <c r="H1" s="163" t="s">
        <v>88</v>
      </c>
      <c r="I1" s="163"/>
      <c r="J1" s="25" t="s">
        <v>92</v>
      </c>
      <c r="K1" s="166"/>
      <c r="L1" s="166"/>
      <c r="M1" s="163" t="s">
        <v>90</v>
      </c>
      <c r="N1" s="163"/>
      <c r="O1" s="31"/>
      <c r="P1" s="168" t="s">
        <v>94</v>
      </c>
      <c r="Q1" s="168"/>
      <c r="R1" s="168"/>
      <c r="S1" s="168"/>
      <c r="T1" s="168"/>
      <c r="U1" s="168"/>
      <c r="V1" s="168"/>
      <c r="AB1" s="160" t="s">
        <v>96</v>
      </c>
      <c r="AC1" s="160"/>
      <c r="AD1" s="160"/>
      <c r="AE1" s="160"/>
      <c r="AF1" s="160"/>
      <c r="AG1" s="160"/>
      <c r="AH1" s="164">
        <v>44893</v>
      </c>
      <c r="AI1" s="164"/>
      <c r="AJ1" s="164"/>
      <c r="AK1" s="164"/>
      <c r="AL1" s="164"/>
    </row>
    <row r="2" spans="2:71" ht="18" customHeight="1" x14ac:dyDescent="0.3">
      <c r="H2" s="163" t="s">
        <v>89</v>
      </c>
      <c r="I2" s="163"/>
      <c r="J2" s="25" t="s">
        <v>93</v>
      </c>
      <c r="K2" s="166"/>
      <c r="L2" s="166"/>
      <c r="M2" s="167" t="s">
        <v>91</v>
      </c>
      <c r="N2" s="167"/>
      <c r="O2" s="31"/>
      <c r="P2" s="168" t="s">
        <v>95</v>
      </c>
      <c r="Q2" s="168"/>
      <c r="R2" s="168"/>
      <c r="S2" s="168"/>
      <c r="T2" s="168"/>
      <c r="U2" s="168"/>
      <c r="V2" s="168"/>
      <c r="AB2" s="160" t="s">
        <v>97</v>
      </c>
      <c r="AC2" s="160"/>
      <c r="AD2" s="160"/>
      <c r="AE2" s="160"/>
      <c r="AF2" s="160"/>
      <c r="AG2" s="160"/>
      <c r="AH2" s="165"/>
      <c r="AI2" s="165"/>
      <c r="AJ2" s="165"/>
      <c r="AK2" s="165"/>
      <c r="AL2" s="165"/>
      <c r="AR2" s="46"/>
    </row>
    <row r="3" spans="2:71" ht="18" customHeight="1" thickBot="1" x14ac:dyDescent="0.35">
      <c r="L3" s="1"/>
      <c r="N3" s="69"/>
      <c r="P3" s="43"/>
      <c r="Q3" s="43"/>
      <c r="R3" s="43"/>
      <c r="S3" s="43"/>
      <c r="T3" s="43"/>
      <c r="U3" s="43"/>
      <c r="V3" s="43"/>
      <c r="AB3" s="161" t="s">
        <v>98</v>
      </c>
      <c r="AC3" s="161"/>
      <c r="AD3" s="161"/>
      <c r="AE3" s="161"/>
      <c r="AF3" s="161"/>
      <c r="AG3" s="161"/>
      <c r="AH3" s="165" t="s">
        <v>99</v>
      </c>
      <c r="AI3" s="165"/>
      <c r="AJ3" s="165"/>
      <c r="AK3" s="165"/>
      <c r="AL3" s="165"/>
      <c r="AP3" s="44"/>
      <c r="AQ3" s="44"/>
      <c r="AR3" s="44"/>
      <c r="AV3" s="45"/>
    </row>
    <row r="4" spans="2:71" ht="28.95" customHeight="1" thickTop="1" thickBot="1" x14ac:dyDescent="0.35">
      <c r="B4" s="7"/>
      <c r="C4" s="78"/>
      <c r="D4" s="78"/>
      <c r="E4" s="78"/>
      <c r="F4" s="78"/>
      <c r="G4" s="26" t="s">
        <v>87</v>
      </c>
      <c r="H4" s="7"/>
      <c r="I4" s="7"/>
      <c r="J4" s="7"/>
      <c r="K4" s="7"/>
      <c r="L4" s="7"/>
      <c r="M4" s="7"/>
      <c r="N4" s="70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162">
        <v>45174</v>
      </c>
      <c r="AI4" s="162"/>
      <c r="AJ4" s="162"/>
      <c r="AK4" s="162"/>
      <c r="AL4" s="162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</row>
    <row r="5" spans="2:71" ht="15" thickTop="1" x14ac:dyDescent="0.3">
      <c r="N5" s="69"/>
      <c r="P5" s="5" t="str">
        <f>UPPER(TEXT(DATE(YEAR($P$8), MONTH($P$8), DAY($P$8)-WEEKDAY($P$8, 2) + 1),"mmmm"))</f>
        <v>SEPTEMBRE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6" t="str">
        <f>UPPER(TEXT(DATE(YEAR($AQ$8), MONTH($AQ$8), DAY($AQ$8)-WEEKDAY($AQ$8, 2) + 1),"mmmm"))</f>
        <v>OCTOBRE</v>
      </c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</row>
    <row r="6" spans="2:71" ht="14.4" customHeight="1" x14ac:dyDescent="0.3">
      <c r="K6" s="41"/>
      <c r="M6" s="41"/>
      <c r="N6" s="69"/>
      <c r="P6" s="50" t="str">
        <f>RIGHT("0000" &amp; YEAR($P$8), 4)</f>
        <v>2023</v>
      </c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49" t="str">
        <f>RIGHT("0000" &amp; YEAR($AQ$8), 4)</f>
        <v>2023</v>
      </c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</row>
    <row r="7" spans="2:71" hidden="1" x14ac:dyDescent="0.3">
      <c r="L7" s="1"/>
      <c r="N7" s="69"/>
      <c r="O7">
        <v>11</v>
      </c>
      <c r="P7" s="29">
        <v>9</v>
      </c>
      <c r="Q7" s="29">
        <v>9</v>
      </c>
      <c r="R7" s="29">
        <v>9</v>
      </c>
      <c r="S7" s="29">
        <v>9</v>
      </c>
      <c r="T7" s="29">
        <v>9</v>
      </c>
      <c r="U7" s="29">
        <v>9</v>
      </c>
      <c r="V7" s="29">
        <v>9</v>
      </c>
      <c r="W7" s="29">
        <v>9</v>
      </c>
      <c r="X7" s="29">
        <v>9</v>
      </c>
      <c r="Y7" s="29">
        <v>9</v>
      </c>
      <c r="Z7" s="29">
        <v>9</v>
      </c>
      <c r="AA7" s="29">
        <v>9</v>
      </c>
      <c r="AB7" s="29">
        <v>9</v>
      </c>
      <c r="AC7" s="29">
        <v>9</v>
      </c>
      <c r="AD7" s="29">
        <v>9</v>
      </c>
      <c r="AE7" s="29">
        <v>9</v>
      </c>
      <c r="AF7" s="29">
        <v>9</v>
      </c>
      <c r="AG7" s="29">
        <v>9</v>
      </c>
      <c r="AH7" s="29">
        <v>9</v>
      </c>
      <c r="AI7" s="29">
        <v>9</v>
      </c>
      <c r="AJ7" s="29">
        <v>9</v>
      </c>
      <c r="AK7" s="29">
        <v>9</v>
      </c>
      <c r="AL7" s="29">
        <v>9</v>
      </c>
      <c r="AM7" s="29">
        <v>9</v>
      </c>
      <c r="AN7" s="29">
        <v>9</v>
      </c>
      <c r="AO7" s="29">
        <v>9</v>
      </c>
      <c r="AP7" s="29">
        <v>9</v>
      </c>
      <c r="AQ7" s="30">
        <v>10</v>
      </c>
      <c r="AR7" s="30">
        <v>10</v>
      </c>
      <c r="AS7" s="30">
        <v>10</v>
      </c>
      <c r="AT7" s="30">
        <v>10</v>
      </c>
      <c r="AU7" s="30">
        <v>10</v>
      </c>
      <c r="AV7" s="30">
        <v>10</v>
      </c>
      <c r="AW7" s="30">
        <v>10</v>
      </c>
      <c r="AX7" s="30">
        <v>10</v>
      </c>
      <c r="AY7" s="30">
        <v>10</v>
      </c>
      <c r="AZ7" s="30">
        <v>10</v>
      </c>
      <c r="BA7" s="30">
        <v>10</v>
      </c>
      <c r="BB7" s="30">
        <v>10</v>
      </c>
      <c r="BC7" s="30">
        <v>10</v>
      </c>
      <c r="BD7" s="30">
        <v>10</v>
      </c>
      <c r="BE7" s="30">
        <v>10</v>
      </c>
      <c r="BF7" s="30">
        <v>10</v>
      </c>
      <c r="BG7" s="30">
        <v>10</v>
      </c>
      <c r="BH7" s="30">
        <v>10</v>
      </c>
      <c r="BI7" s="30">
        <v>10</v>
      </c>
      <c r="BJ7" s="30">
        <v>10</v>
      </c>
      <c r="BK7" s="30">
        <v>10</v>
      </c>
      <c r="BL7" s="30">
        <v>10</v>
      </c>
      <c r="BM7" s="30">
        <v>10</v>
      </c>
      <c r="BN7" s="30">
        <v>10</v>
      </c>
      <c r="BO7" s="30">
        <v>10</v>
      </c>
      <c r="BP7" s="30">
        <v>10</v>
      </c>
      <c r="BQ7" s="30">
        <v>10</v>
      </c>
      <c r="BR7" s="30">
        <v>10</v>
      </c>
      <c r="BS7" s="30">
        <v>10</v>
      </c>
    </row>
    <row r="8" spans="2:71" hidden="1" x14ac:dyDescent="0.3">
      <c r="K8" s="4"/>
      <c r="L8" s="4"/>
      <c r="M8" s="4"/>
      <c r="N8" s="69"/>
      <c r="P8" s="48">
        <f t="shared" ref="P8:AU8" si="0">IF(IsDaysGantt,ProjectStart+ COLUMN()-16,ProjectStart+7*(COLUMN()-16))</f>
        <v>45174</v>
      </c>
      <c r="Q8" s="48">
        <f t="shared" si="0"/>
        <v>45175</v>
      </c>
      <c r="R8" s="48">
        <f t="shared" si="0"/>
        <v>45176</v>
      </c>
      <c r="S8" s="48">
        <f t="shared" si="0"/>
        <v>45177</v>
      </c>
      <c r="T8" s="48">
        <f t="shared" si="0"/>
        <v>45178</v>
      </c>
      <c r="U8" s="48">
        <f t="shared" si="0"/>
        <v>45179</v>
      </c>
      <c r="V8" s="48">
        <f t="shared" si="0"/>
        <v>45180</v>
      </c>
      <c r="W8" s="48">
        <f t="shared" si="0"/>
        <v>45181</v>
      </c>
      <c r="X8" s="48">
        <f t="shared" si="0"/>
        <v>45182</v>
      </c>
      <c r="Y8" s="48">
        <f t="shared" si="0"/>
        <v>45183</v>
      </c>
      <c r="Z8" s="48">
        <f t="shared" si="0"/>
        <v>45184</v>
      </c>
      <c r="AA8" s="48">
        <f t="shared" si="0"/>
        <v>45185</v>
      </c>
      <c r="AB8" s="48">
        <f t="shared" si="0"/>
        <v>45186</v>
      </c>
      <c r="AC8" s="48">
        <f t="shared" si="0"/>
        <v>45187</v>
      </c>
      <c r="AD8" s="48">
        <f t="shared" si="0"/>
        <v>45188</v>
      </c>
      <c r="AE8" s="48">
        <f t="shared" si="0"/>
        <v>45189</v>
      </c>
      <c r="AF8" s="48">
        <f t="shared" si="0"/>
        <v>45190</v>
      </c>
      <c r="AG8" s="48">
        <f t="shared" si="0"/>
        <v>45191</v>
      </c>
      <c r="AH8" s="48">
        <f t="shared" si="0"/>
        <v>45192</v>
      </c>
      <c r="AI8" s="48">
        <f t="shared" si="0"/>
        <v>45193</v>
      </c>
      <c r="AJ8" s="48">
        <f t="shared" si="0"/>
        <v>45194</v>
      </c>
      <c r="AK8" s="48">
        <f t="shared" si="0"/>
        <v>45195</v>
      </c>
      <c r="AL8" s="48">
        <f t="shared" si="0"/>
        <v>45196</v>
      </c>
      <c r="AM8" s="48">
        <f t="shared" si="0"/>
        <v>45197</v>
      </c>
      <c r="AN8" s="48">
        <f t="shared" si="0"/>
        <v>45198</v>
      </c>
      <c r="AO8" s="48">
        <f t="shared" si="0"/>
        <v>45199</v>
      </c>
      <c r="AP8" s="48">
        <f t="shared" si="0"/>
        <v>45200</v>
      </c>
      <c r="AQ8" s="47">
        <f t="shared" si="0"/>
        <v>45201</v>
      </c>
      <c r="AR8" s="47">
        <f t="shared" si="0"/>
        <v>45202</v>
      </c>
      <c r="AS8" s="47">
        <f t="shared" si="0"/>
        <v>45203</v>
      </c>
      <c r="AT8" s="47">
        <f t="shared" si="0"/>
        <v>45204</v>
      </c>
      <c r="AU8" s="47">
        <f t="shared" si="0"/>
        <v>45205</v>
      </c>
      <c r="AV8" s="47">
        <f t="shared" ref="AV8:BS8" si="1">IF(IsDaysGantt,ProjectStart+ COLUMN()-16,ProjectStart+7*(COLUMN()-16))</f>
        <v>45206</v>
      </c>
      <c r="AW8" s="47">
        <f t="shared" si="1"/>
        <v>45207</v>
      </c>
      <c r="AX8" s="47">
        <f t="shared" si="1"/>
        <v>45208</v>
      </c>
      <c r="AY8" s="47">
        <f t="shared" si="1"/>
        <v>45209</v>
      </c>
      <c r="AZ8" s="47">
        <f t="shared" si="1"/>
        <v>45210</v>
      </c>
      <c r="BA8" s="47">
        <f t="shared" si="1"/>
        <v>45211</v>
      </c>
      <c r="BB8" s="47">
        <f t="shared" si="1"/>
        <v>45212</v>
      </c>
      <c r="BC8" s="47">
        <f t="shared" si="1"/>
        <v>45213</v>
      </c>
      <c r="BD8" s="47">
        <f t="shared" si="1"/>
        <v>45214</v>
      </c>
      <c r="BE8" s="47">
        <f t="shared" si="1"/>
        <v>45215</v>
      </c>
      <c r="BF8" s="47">
        <f t="shared" si="1"/>
        <v>45216</v>
      </c>
      <c r="BG8" s="47">
        <f t="shared" si="1"/>
        <v>45217</v>
      </c>
      <c r="BH8" s="47">
        <f t="shared" si="1"/>
        <v>45218</v>
      </c>
      <c r="BI8" s="47">
        <f t="shared" si="1"/>
        <v>45219</v>
      </c>
      <c r="BJ8" s="47">
        <f t="shared" si="1"/>
        <v>45220</v>
      </c>
      <c r="BK8" s="47">
        <f t="shared" si="1"/>
        <v>45221</v>
      </c>
      <c r="BL8" s="47">
        <f t="shared" si="1"/>
        <v>45222</v>
      </c>
      <c r="BM8" s="47">
        <f t="shared" si="1"/>
        <v>45223</v>
      </c>
      <c r="BN8" s="47">
        <f t="shared" si="1"/>
        <v>45224</v>
      </c>
      <c r="BO8" s="47">
        <f t="shared" si="1"/>
        <v>45225</v>
      </c>
      <c r="BP8" s="47">
        <f t="shared" si="1"/>
        <v>45226</v>
      </c>
      <c r="BQ8" s="47">
        <f t="shared" si="1"/>
        <v>45227</v>
      </c>
      <c r="BR8" s="47">
        <f t="shared" si="1"/>
        <v>45228</v>
      </c>
      <c r="BS8" s="47">
        <f t="shared" si="1"/>
        <v>45229</v>
      </c>
    </row>
    <row r="9" spans="2:71" ht="11.4" customHeight="1" x14ac:dyDescent="0.3">
      <c r="N9" s="71" t="str">
        <f>IF(IsDaysGantt,"Jour","Semaine")</f>
        <v>Jour</v>
      </c>
      <c r="P9" s="153">
        <f t="shared" ref="P9:AU9" si="2">IF(IsDaysGantt,P8,_xlfn.ISOWEEKNUM(P8))</f>
        <v>45174</v>
      </c>
      <c r="Q9" s="155">
        <f t="shared" si="2"/>
        <v>45175</v>
      </c>
      <c r="R9" s="155">
        <f t="shared" si="2"/>
        <v>45176</v>
      </c>
      <c r="S9" s="155">
        <f t="shared" si="2"/>
        <v>45177</v>
      </c>
      <c r="T9" s="155">
        <f t="shared" si="2"/>
        <v>45178</v>
      </c>
      <c r="U9" s="155">
        <f t="shared" si="2"/>
        <v>45179</v>
      </c>
      <c r="V9" s="156">
        <f t="shared" si="2"/>
        <v>45180</v>
      </c>
      <c r="W9" s="153">
        <f t="shared" si="2"/>
        <v>45181</v>
      </c>
      <c r="X9" s="155">
        <f t="shared" si="2"/>
        <v>45182</v>
      </c>
      <c r="Y9" s="155">
        <f t="shared" si="2"/>
        <v>45183</v>
      </c>
      <c r="Z9" s="155">
        <f t="shared" si="2"/>
        <v>45184</v>
      </c>
      <c r="AA9" s="155">
        <f t="shared" si="2"/>
        <v>45185</v>
      </c>
      <c r="AB9" s="155">
        <f t="shared" si="2"/>
        <v>45186</v>
      </c>
      <c r="AC9" s="156">
        <f t="shared" si="2"/>
        <v>45187</v>
      </c>
      <c r="AD9" s="153">
        <f t="shared" si="2"/>
        <v>45188</v>
      </c>
      <c r="AE9" s="155">
        <f t="shared" si="2"/>
        <v>45189</v>
      </c>
      <c r="AF9" s="155">
        <f t="shared" si="2"/>
        <v>45190</v>
      </c>
      <c r="AG9" s="155">
        <f t="shared" si="2"/>
        <v>45191</v>
      </c>
      <c r="AH9" s="155">
        <f t="shared" si="2"/>
        <v>45192</v>
      </c>
      <c r="AI9" s="155">
        <f t="shared" si="2"/>
        <v>45193</v>
      </c>
      <c r="AJ9" s="156">
        <f t="shared" si="2"/>
        <v>45194</v>
      </c>
      <c r="AK9" s="153">
        <f t="shared" si="2"/>
        <v>45195</v>
      </c>
      <c r="AL9" s="155">
        <f t="shared" si="2"/>
        <v>45196</v>
      </c>
      <c r="AM9" s="155">
        <f t="shared" si="2"/>
        <v>45197</v>
      </c>
      <c r="AN9" s="155">
        <f t="shared" si="2"/>
        <v>45198</v>
      </c>
      <c r="AO9" s="155">
        <f t="shared" si="2"/>
        <v>45199</v>
      </c>
      <c r="AP9" s="155">
        <f t="shared" si="2"/>
        <v>45200</v>
      </c>
      <c r="AQ9" s="157">
        <f t="shared" si="2"/>
        <v>45201</v>
      </c>
      <c r="AR9" s="158">
        <f t="shared" si="2"/>
        <v>45202</v>
      </c>
      <c r="AS9" s="154">
        <f t="shared" si="2"/>
        <v>45203</v>
      </c>
      <c r="AT9" s="154">
        <f t="shared" si="2"/>
        <v>45204</v>
      </c>
      <c r="AU9" s="154">
        <f t="shared" si="2"/>
        <v>45205</v>
      </c>
      <c r="AV9" s="154">
        <f t="shared" ref="AV9:BS9" si="3">IF(IsDaysGantt,AV8,_xlfn.ISOWEEKNUM(AV8))</f>
        <v>45206</v>
      </c>
      <c r="AW9" s="154">
        <f t="shared" si="3"/>
        <v>45207</v>
      </c>
      <c r="AX9" s="157">
        <f t="shared" si="3"/>
        <v>45208</v>
      </c>
      <c r="AY9" s="158">
        <f t="shared" si="3"/>
        <v>45209</v>
      </c>
      <c r="AZ9" s="154">
        <f t="shared" si="3"/>
        <v>45210</v>
      </c>
      <c r="BA9" s="154">
        <f t="shared" si="3"/>
        <v>45211</v>
      </c>
      <c r="BB9" s="154">
        <f t="shared" si="3"/>
        <v>45212</v>
      </c>
      <c r="BC9" s="154">
        <f t="shared" si="3"/>
        <v>45213</v>
      </c>
      <c r="BD9" s="154">
        <f t="shared" si="3"/>
        <v>45214</v>
      </c>
      <c r="BE9" s="157">
        <f t="shared" si="3"/>
        <v>45215</v>
      </c>
      <c r="BF9" s="158">
        <f t="shared" si="3"/>
        <v>45216</v>
      </c>
      <c r="BG9" s="154">
        <f t="shared" si="3"/>
        <v>45217</v>
      </c>
      <c r="BH9" s="154">
        <f t="shared" si="3"/>
        <v>45218</v>
      </c>
      <c r="BI9" s="154">
        <f t="shared" si="3"/>
        <v>45219</v>
      </c>
      <c r="BJ9" s="154">
        <f t="shared" si="3"/>
        <v>45220</v>
      </c>
      <c r="BK9" s="154">
        <f t="shared" si="3"/>
        <v>45221</v>
      </c>
      <c r="BL9" s="157">
        <f t="shared" si="3"/>
        <v>45222</v>
      </c>
      <c r="BM9" s="158">
        <f t="shared" si="3"/>
        <v>45223</v>
      </c>
      <c r="BN9" s="154">
        <f t="shared" si="3"/>
        <v>45224</v>
      </c>
      <c r="BO9" s="154">
        <f t="shared" si="3"/>
        <v>45225</v>
      </c>
      <c r="BP9" s="154">
        <f t="shared" si="3"/>
        <v>45226</v>
      </c>
      <c r="BQ9" s="154">
        <f t="shared" si="3"/>
        <v>45227</v>
      </c>
      <c r="BR9" s="154">
        <f>IF(IsDaysGantt,BR8,_xlfn.ISOWEEKNUM(BR8))</f>
        <v>45228</v>
      </c>
      <c r="BS9" s="157">
        <f t="shared" si="3"/>
        <v>45229</v>
      </c>
    </row>
    <row r="10" spans="2:71" hidden="1" x14ac:dyDescent="0.3">
      <c r="J10" s="28"/>
      <c r="P10" s="40"/>
      <c r="Q10" s="34"/>
      <c r="R10" s="34"/>
      <c r="S10" s="34"/>
      <c r="T10" s="34"/>
      <c r="U10" s="34"/>
      <c r="V10" s="39"/>
      <c r="W10" s="40"/>
      <c r="X10" s="34"/>
      <c r="Y10" s="34"/>
      <c r="Z10" s="34"/>
      <c r="AA10" s="34"/>
      <c r="AB10" s="34"/>
      <c r="AC10" s="39"/>
      <c r="AD10" s="40"/>
      <c r="AE10" s="34"/>
      <c r="AF10" s="34"/>
      <c r="AG10" s="34"/>
      <c r="AH10" s="34"/>
      <c r="AI10" s="34"/>
      <c r="AJ10" s="39"/>
      <c r="AK10" s="40"/>
      <c r="AL10" s="34"/>
      <c r="AM10" s="34"/>
      <c r="AN10" s="34"/>
      <c r="AO10" s="34"/>
      <c r="AP10" s="34"/>
      <c r="AQ10" s="36"/>
      <c r="AR10" s="33"/>
      <c r="AS10" s="33"/>
      <c r="AT10" s="33"/>
      <c r="AU10" s="33"/>
      <c r="AV10" s="33"/>
      <c r="AW10" s="33"/>
      <c r="AX10" s="36"/>
      <c r="AY10" s="35"/>
      <c r="AZ10" s="33"/>
      <c r="BA10" s="33"/>
      <c r="BB10" s="33"/>
      <c r="BC10" s="33"/>
      <c r="BD10" s="33"/>
      <c r="BE10" s="36"/>
      <c r="BF10" s="35"/>
      <c r="BG10" s="33"/>
      <c r="BH10" s="33"/>
      <c r="BI10" s="33"/>
      <c r="BJ10" s="33"/>
      <c r="BK10" s="33"/>
      <c r="BL10" s="36"/>
      <c r="BM10" s="35"/>
      <c r="BN10" s="33"/>
      <c r="BO10" s="33"/>
      <c r="BP10" s="33"/>
      <c r="BQ10" s="33"/>
      <c r="BR10" s="33"/>
      <c r="BS10" s="36"/>
    </row>
    <row r="11" spans="2:71" ht="15.6" customHeight="1" x14ac:dyDescent="0.3">
      <c r="B11" s="2" t="s">
        <v>0</v>
      </c>
      <c r="C11" s="79" t="s">
        <v>28</v>
      </c>
      <c r="D11" s="79" t="s">
        <v>8</v>
      </c>
      <c r="E11" s="79" t="s">
        <v>9</v>
      </c>
      <c r="F11" s="79" t="s">
        <v>10</v>
      </c>
      <c r="G11" s="2" t="s">
        <v>1</v>
      </c>
      <c r="H11" s="2" t="s">
        <v>101</v>
      </c>
      <c r="I11" s="2" t="s">
        <v>173</v>
      </c>
      <c r="J11" s="2" t="s">
        <v>3</v>
      </c>
      <c r="K11" s="2" t="s">
        <v>4</v>
      </c>
      <c r="L11" s="2" t="s">
        <v>231</v>
      </c>
      <c r="M11" s="2" t="s">
        <v>5</v>
      </c>
      <c r="N11" s="67" t="s">
        <v>6</v>
      </c>
      <c r="O11" s="2" t="s">
        <v>175</v>
      </c>
      <c r="P11" s="136" t="str">
        <f t="shared" ref="P11:AU11" si="4">IF(IsDaysGantt,UPPER(LEFT(CHOOSE(WEEKDAY(P8),"D","L","M","M","J","V","S"),1)),"")</f>
        <v>M</v>
      </c>
      <c r="Q11" s="38" t="str">
        <f t="shared" si="4"/>
        <v>M</v>
      </c>
      <c r="R11" s="38" t="str">
        <f t="shared" si="4"/>
        <v>J</v>
      </c>
      <c r="S11" s="38" t="str">
        <f t="shared" si="4"/>
        <v>V</v>
      </c>
      <c r="T11" s="38" t="str">
        <f t="shared" si="4"/>
        <v>S</v>
      </c>
      <c r="U11" s="38" t="str">
        <f t="shared" si="4"/>
        <v>D</v>
      </c>
      <c r="V11" s="38" t="str">
        <f t="shared" si="4"/>
        <v>L</v>
      </c>
      <c r="W11" s="38" t="str">
        <f t="shared" si="4"/>
        <v>M</v>
      </c>
      <c r="X11" s="38" t="str">
        <f t="shared" si="4"/>
        <v>M</v>
      </c>
      <c r="Y11" s="38" t="str">
        <f t="shared" si="4"/>
        <v>J</v>
      </c>
      <c r="Z11" s="38" t="str">
        <f t="shared" si="4"/>
        <v>V</v>
      </c>
      <c r="AA11" s="38" t="str">
        <f t="shared" si="4"/>
        <v>S</v>
      </c>
      <c r="AB11" s="38" t="str">
        <f t="shared" si="4"/>
        <v>D</v>
      </c>
      <c r="AC11" s="38" t="str">
        <f t="shared" si="4"/>
        <v>L</v>
      </c>
      <c r="AD11" s="38" t="str">
        <f t="shared" si="4"/>
        <v>M</v>
      </c>
      <c r="AE11" s="38" t="str">
        <f t="shared" si="4"/>
        <v>M</v>
      </c>
      <c r="AF11" s="38" t="str">
        <f t="shared" si="4"/>
        <v>J</v>
      </c>
      <c r="AG11" s="38" t="str">
        <f t="shared" si="4"/>
        <v>V</v>
      </c>
      <c r="AH11" s="38" t="str">
        <f t="shared" si="4"/>
        <v>S</v>
      </c>
      <c r="AI11" s="38" t="str">
        <f t="shared" si="4"/>
        <v>D</v>
      </c>
      <c r="AJ11" s="38" t="str">
        <f t="shared" si="4"/>
        <v>L</v>
      </c>
      <c r="AK11" s="38" t="str">
        <f t="shared" si="4"/>
        <v>M</v>
      </c>
      <c r="AL11" s="38" t="str">
        <f t="shared" si="4"/>
        <v>M</v>
      </c>
      <c r="AM11" s="38" t="str">
        <f t="shared" si="4"/>
        <v>J</v>
      </c>
      <c r="AN11" s="38" t="str">
        <f t="shared" si="4"/>
        <v>V</v>
      </c>
      <c r="AO11" s="38" t="str">
        <f t="shared" si="4"/>
        <v>S</v>
      </c>
      <c r="AP11" s="38" t="str">
        <f t="shared" si="4"/>
        <v>D</v>
      </c>
      <c r="AQ11" s="37" t="str">
        <f t="shared" si="4"/>
        <v>L</v>
      </c>
      <c r="AR11" s="37" t="str">
        <f t="shared" si="4"/>
        <v>M</v>
      </c>
      <c r="AS11" s="37" t="str">
        <f t="shared" si="4"/>
        <v>M</v>
      </c>
      <c r="AT11" s="37" t="str">
        <f t="shared" si="4"/>
        <v>J</v>
      </c>
      <c r="AU11" s="37" t="str">
        <f t="shared" si="4"/>
        <v>V</v>
      </c>
      <c r="AV11" s="37" t="str">
        <f t="shared" ref="AV11:BS11" si="5">IF(IsDaysGantt,UPPER(LEFT(CHOOSE(WEEKDAY(AV8),"D","L","M","M","J","V","S"),1)),"")</f>
        <v>S</v>
      </c>
      <c r="AW11" s="37" t="str">
        <f t="shared" si="5"/>
        <v>D</v>
      </c>
      <c r="AX11" s="37" t="str">
        <f t="shared" si="5"/>
        <v>L</v>
      </c>
      <c r="AY11" s="37" t="str">
        <f t="shared" si="5"/>
        <v>M</v>
      </c>
      <c r="AZ11" s="37" t="str">
        <f t="shared" si="5"/>
        <v>M</v>
      </c>
      <c r="BA11" s="37" t="str">
        <f t="shared" si="5"/>
        <v>J</v>
      </c>
      <c r="BB11" s="37" t="str">
        <f t="shared" si="5"/>
        <v>V</v>
      </c>
      <c r="BC11" s="37" t="str">
        <f t="shared" si="5"/>
        <v>S</v>
      </c>
      <c r="BD11" s="37" t="str">
        <f t="shared" si="5"/>
        <v>D</v>
      </c>
      <c r="BE11" s="37" t="str">
        <f t="shared" si="5"/>
        <v>L</v>
      </c>
      <c r="BF11" s="37" t="str">
        <f t="shared" si="5"/>
        <v>M</v>
      </c>
      <c r="BG11" s="37" t="str">
        <f t="shared" si="5"/>
        <v>M</v>
      </c>
      <c r="BH11" s="37" t="str">
        <f t="shared" si="5"/>
        <v>J</v>
      </c>
      <c r="BI11" s="37" t="str">
        <f t="shared" si="5"/>
        <v>V</v>
      </c>
      <c r="BJ11" s="37" t="str">
        <f t="shared" si="5"/>
        <v>S</v>
      </c>
      <c r="BK11" s="37" t="str">
        <f t="shared" si="5"/>
        <v>D</v>
      </c>
      <c r="BL11" s="37" t="str">
        <f t="shared" si="5"/>
        <v>L</v>
      </c>
      <c r="BM11" s="37" t="str">
        <f t="shared" si="5"/>
        <v>M</v>
      </c>
      <c r="BN11" s="37" t="str">
        <f t="shared" si="5"/>
        <v>M</v>
      </c>
      <c r="BO11" s="37" t="str">
        <f t="shared" si="5"/>
        <v>J</v>
      </c>
      <c r="BP11" s="37" t="str">
        <f t="shared" si="5"/>
        <v>V</v>
      </c>
      <c r="BQ11" s="37" t="str">
        <f t="shared" si="5"/>
        <v>S</v>
      </c>
      <c r="BR11" s="37" t="str">
        <f t="shared" si="5"/>
        <v>D</v>
      </c>
      <c r="BS11" s="152" t="str">
        <f t="shared" si="5"/>
        <v>L</v>
      </c>
    </row>
    <row r="12" spans="2:71" ht="16.2" customHeight="1" x14ac:dyDescent="0.3">
      <c r="B12" s="84"/>
      <c r="C12" s="85"/>
      <c r="D12" s="85"/>
      <c r="E12" s="85"/>
      <c r="F12" s="85"/>
      <c r="G12" s="86" t="s">
        <v>235</v>
      </c>
      <c r="H12" s="86"/>
      <c r="I12" s="86"/>
      <c r="J12" s="86"/>
      <c r="K12" s="88">
        <f ca="1">IFERROR(MIN(TabProjet[Début]), "")</f>
        <v>44302</v>
      </c>
      <c r="L12" s="89">
        <f>IFERROR(SUMIFS(TabProjet[Charge en J],TabProjet[Is Project], "X"), "")</f>
        <v>1488.5</v>
      </c>
      <c r="M12" s="88">
        <f ca="1">IFERROR(MAX(TabProjet[Deadline]), "")</f>
        <v>45792</v>
      </c>
      <c r="N12" s="87">
        <f>IFERROR(AVERAGEIFS(TabProjet[Progression],TabProjet[Is Project], "X"), "")</f>
        <v>0.46893333333333331</v>
      </c>
      <c r="O12" s="82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</row>
    <row r="13" spans="2:71" s="1" customFormat="1" ht="14.4" hidden="1" customHeight="1" x14ac:dyDescent="0.3">
      <c r="B13" s="1" t="s">
        <v>0</v>
      </c>
      <c r="C13" s="80" t="s">
        <v>28</v>
      </c>
      <c r="D13" s="76" t="s">
        <v>8</v>
      </c>
      <c r="E13" s="76" t="s">
        <v>9</v>
      </c>
      <c r="F13" s="76" t="s">
        <v>10</v>
      </c>
      <c r="G13" s="17" t="s">
        <v>1</v>
      </c>
      <c r="H13" s="17" t="s">
        <v>7</v>
      </c>
      <c r="I13" s="17" t="s">
        <v>2</v>
      </c>
      <c r="J13" s="17" t="s">
        <v>3</v>
      </c>
      <c r="K13" s="17" t="s">
        <v>4</v>
      </c>
      <c r="L13" s="17" t="s">
        <v>231</v>
      </c>
      <c r="M13" s="1" t="s">
        <v>5</v>
      </c>
      <c r="N13" s="68" t="s">
        <v>6</v>
      </c>
      <c r="O13" s="1" t="s">
        <v>174</v>
      </c>
      <c r="P13" s="1" t="s">
        <v>29</v>
      </c>
      <c r="Q13" s="1" t="s">
        <v>30</v>
      </c>
      <c r="R13" s="1" t="s">
        <v>31</v>
      </c>
      <c r="S13" s="1" t="s">
        <v>32</v>
      </c>
      <c r="T13" s="1" t="s">
        <v>33</v>
      </c>
      <c r="U13" s="1" t="s">
        <v>34</v>
      </c>
      <c r="V13" s="1" t="s">
        <v>35</v>
      </c>
      <c r="W13" s="1" t="s">
        <v>36</v>
      </c>
      <c r="X13" s="1" t="s">
        <v>37</v>
      </c>
      <c r="Y13" s="1" t="s">
        <v>38</v>
      </c>
      <c r="Z13" s="1" t="s">
        <v>39</v>
      </c>
      <c r="AA13" s="1" t="s">
        <v>40</v>
      </c>
      <c r="AB13" s="1" t="s">
        <v>41</v>
      </c>
      <c r="AC13" s="1" t="s">
        <v>42</v>
      </c>
      <c r="AD13" s="1" t="s">
        <v>43</v>
      </c>
      <c r="AE13" s="1" t="s">
        <v>44</v>
      </c>
      <c r="AF13" s="1" t="s">
        <v>45</v>
      </c>
      <c r="AG13" s="1" t="s">
        <v>46</v>
      </c>
      <c r="AH13" s="1" t="s">
        <v>47</v>
      </c>
      <c r="AI13" s="1" t="s">
        <v>48</v>
      </c>
      <c r="AJ13" s="1" t="s">
        <v>49</v>
      </c>
      <c r="AK13" s="1" t="s">
        <v>50</v>
      </c>
      <c r="AL13" s="1" t="s">
        <v>51</v>
      </c>
      <c r="AM13" s="1" t="s">
        <v>52</v>
      </c>
      <c r="AN13" s="1" t="s">
        <v>53</v>
      </c>
      <c r="AO13" s="1" t="s">
        <v>54</v>
      </c>
      <c r="AP13" s="1" t="s">
        <v>55</v>
      </c>
      <c r="AQ13" s="1" t="s">
        <v>56</v>
      </c>
      <c r="AR13" s="1" t="s">
        <v>57</v>
      </c>
      <c r="AS13" s="1" t="s">
        <v>58</v>
      </c>
      <c r="AT13" s="1" t="s">
        <v>59</v>
      </c>
      <c r="AU13" s="1" t="s">
        <v>60</v>
      </c>
      <c r="AV13" s="1" t="s">
        <v>61</v>
      </c>
      <c r="AW13" s="1" t="s">
        <v>62</v>
      </c>
      <c r="AX13" s="1" t="s">
        <v>63</v>
      </c>
      <c r="AY13" s="1" t="s">
        <v>64</v>
      </c>
      <c r="AZ13" s="1" t="s">
        <v>65</v>
      </c>
      <c r="BA13" s="1" t="s">
        <v>66</v>
      </c>
      <c r="BB13" s="1" t="s">
        <v>67</v>
      </c>
      <c r="BC13" s="1" t="s">
        <v>68</v>
      </c>
      <c r="BD13" s="1" t="s">
        <v>69</v>
      </c>
      <c r="BE13" s="1" t="s">
        <v>70</v>
      </c>
      <c r="BF13" s="1" t="s">
        <v>71</v>
      </c>
      <c r="BG13" s="1" t="s">
        <v>72</v>
      </c>
      <c r="BH13" s="1" t="s">
        <v>73</v>
      </c>
      <c r="BI13" s="1" t="s">
        <v>74</v>
      </c>
      <c r="BJ13" s="1" t="s">
        <v>75</v>
      </c>
      <c r="BK13" s="1" t="s">
        <v>76</v>
      </c>
      <c r="BL13" s="1" t="s">
        <v>77</v>
      </c>
      <c r="BM13" s="1" t="s">
        <v>78</v>
      </c>
      <c r="BN13" s="1" t="s">
        <v>79</v>
      </c>
      <c r="BO13" s="1" t="s">
        <v>80</v>
      </c>
      <c r="BP13" s="1" t="s">
        <v>81</v>
      </c>
      <c r="BQ13" s="1" t="s">
        <v>82</v>
      </c>
      <c r="BR13" s="1" t="s">
        <v>84</v>
      </c>
      <c r="BS13" s="1" t="s">
        <v>85</v>
      </c>
    </row>
    <row r="14" spans="2:71" x14ac:dyDescent="0.3">
      <c r="B14" s="3" t="str">
        <f>TabProjet[[#This Row],[IDProj]] &amp; TabProjet[[#This Row],[Point]] &amp; TabProjet[[#This Row],[IDSubProj]]</f>
        <v>1</v>
      </c>
      <c r="C14" s="81" t="s">
        <v>27</v>
      </c>
      <c r="D14" s="81">
        <f>IF(ISNUMBER($D13),IF(TabProjet[[#This Row],[Is Project]] &lt;&gt;"",$D13+1,$D13),1)</f>
        <v>1</v>
      </c>
      <c r="E14" s="81" t="str">
        <f>IF(TabProjet[[#This Row],[Is Project]] &lt;&gt; "","",".")</f>
        <v/>
      </c>
      <c r="F14" s="81" t="str">
        <f>IFERROR(IF(TabProjet[[#This Row],[Is Project]]= "",$F13+1,""),1)</f>
        <v/>
      </c>
      <c r="G14" s="19" t="s">
        <v>109</v>
      </c>
      <c r="H14" s="20"/>
      <c r="I14" s="18"/>
      <c r="J14" s="20" t="s">
        <v>105</v>
      </c>
      <c r="K14" s="21">
        <f ca="1">IFERROR(MinStartDate(TabProjet[[#This Row],[ID]]), "")</f>
        <v>44302</v>
      </c>
      <c r="L14" s="18">
        <f>IFERROR(SUMIFS(TabProjet[Charge en J],TabProjet[Is Project],"",TabProjet[IDProj],TabProjet[[#This Row],[IDProj]]), "")</f>
        <v>42.5</v>
      </c>
      <c r="M14" s="15">
        <f ca="1">IFERROR(MaxDeadlineDate(TabProjet[[#This Row],[ID]]), "")</f>
        <v>45412</v>
      </c>
      <c r="N14" s="24">
        <f>IFERROR(AVERAGEIFS(TabProjet[Progression],TabProjet[Is Project],"",TabProjet[IDProj],TabProjet[[#This Row],[IDProj]]), 0)</f>
        <v>0.76</v>
      </c>
      <c r="O14" s="32">
        <f ca="1">TabProjet[[#This Row],[Début]]+(TabProjet[[#This Row],[Deadline]]-TabProjet[[#This Row],[Début]])*TabProjet[[#This Row],[Progression]]</f>
        <v>45145.599999999999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</row>
    <row r="15" spans="2:71" x14ac:dyDescent="0.3">
      <c r="B15" s="3" t="str">
        <f>TabProjet[[#This Row],[IDProj]] &amp; TabProjet[[#This Row],[Point]] &amp; TabProjet[[#This Row],[IDSubProj]]</f>
        <v>1.1</v>
      </c>
      <c r="C15" s="81"/>
      <c r="D15" s="81">
        <f>IF(ISNUMBER($D14),IF(TabProjet[[#This Row],[Is Project]] &lt;&gt;"",$D14+1,$D14),1)</f>
        <v>1</v>
      </c>
      <c r="E15" s="81" t="str">
        <f>IF(TabProjet[[#This Row],[Is Project]] &lt;&gt; "","",".")</f>
        <v>.</v>
      </c>
      <c r="F15" s="81">
        <f>IFERROR(IF(TabProjet[[#This Row],[Is Project]]= "",$F14+1,""),1)</f>
        <v>1</v>
      </c>
      <c r="G15" s="19" t="s">
        <v>110</v>
      </c>
      <c r="H15" s="20" t="s">
        <v>495</v>
      </c>
      <c r="I15" s="18"/>
      <c r="J15" s="20" t="s">
        <v>11</v>
      </c>
      <c r="K15" s="21">
        <v>44682</v>
      </c>
      <c r="L15" s="18">
        <v>1.5</v>
      </c>
      <c r="M15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44684</v>
      </c>
      <c r="N15" s="24">
        <v>0.2</v>
      </c>
      <c r="O15" s="32">
        <f>TabProjet[[#This Row],[Début]]+(TabProjet[[#This Row],[Deadline]]-TabProjet[[#This Row],[Début]])*TabProjet[[#This Row],[Progression]]</f>
        <v>44682.400000000001</v>
      </c>
      <c r="P15" s="10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</row>
    <row r="16" spans="2:71" x14ac:dyDescent="0.3">
      <c r="B16" s="3" t="str">
        <f>TabProjet[[#This Row],[IDProj]] &amp; TabProjet[[#This Row],[Point]] &amp; TabProjet[[#This Row],[IDSubProj]]</f>
        <v>1.2</v>
      </c>
      <c r="C16" s="81"/>
      <c r="D16" s="81">
        <f>IF(ISNUMBER($D15),IF(TabProjet[[#This Row],[Is Project]] &lt;&gt;"",$D15+1,$D15),1)</f>
        <v>1</v>
      </c>
      <c r="E16" s="81" t="str">
        <f>IF(TabProjet[[#This Row],[Is Project]] &lt;&gt; "","",".")</f>
        <v>.</v>
      </c>
      <c r="F16" s="81">
        <f>IFERROR(IF(TabProjet[[#This Row],[Is Project]]= "",$F15+1,""),1)</f>
        <v>2</v>
      </c>
      <c r="G16" s="19" t="s">
        <v>111</v>
      </c>
      <c r="H16" s="20" t="s">
        <v>280</v>
      </c>
      <c r="I16" s="18" t="s">
        <v>148</v>
      </c>
      <c r="J16" s="20" t="s">
        <v>12</v>
      </c>
      <c r="K16" s="21">
        <v>44958</v>
      </c>
      <c r="L16" s="18">
        <v>4</v>
      </c>
      <c r="M16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16" s="24">
        <v>0.6</v>
      </c>
      <c r="O16" s="32">
        <f>TabProjet[[#This Row],[Début]]+(TabProjet[[#This Row],[Deadline]]-TabProjet[[#This Row],[Début]])*TabProjet[[#This Row],[Progression]]</f>
        <v>44961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</row>
    <row r="17" spans="2:71" x14ac:dyDescent="0.3">
      <c r="B17" s="3" t="str">
        <f>TabProjet[[#This Row],[IDProj]] &amp; TabProjet[[#This Row],[Point]] &amp; TabProjet[[#This Row],[IDSubProj]]</f>
        <v>1.3</v>
      </c>
      <c r="C17" s="81"/>
      <c r="D17" s="81">
        <f>IF(ISNUMBER($D16),IF(TabProjet[[#This Row],[Is Project]] &lt;&gt;"",$D16+1,$D16),1)</f>
        <v>1</v>
      </c>
      <c r="E17" s="81" t="str">
        <f>IF(TabProjet[[#This Row],[Is Project]] &lt;&gt; "","",".")</f>
        <v>.</v>
      </c>
      <c r="F17" s="81">
        <f>IFERROR(IF(TabProjet[[#This Row],[Is Project]]= "",$F16+1,""),1)</f>
        <v>3</v>
      </c>
      <c r="G17" s="19" t="s">
        <v>112</v>
      </c>
      <c r="H17" s="20" t="s">
        <v>495</v>
      </c>
      <c r="I17" s="18"/>
      <c r="J17" s="20" t="s">
        <v>13</v>
      </c>
      <c r="K17" s="21">
        <v>44927</v>
      </c>
      <c r="L17" s="18">
        <v>2</v>
      </c>
      <c r="M17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44929</v>
      </c>
      <c r="N17" s="24">
        <v>1</v>
      </c>
      <c r="O17" s="32">
        <f>TabProjet[[#This Row],[Début]]+(TabProjet[[#This Row],[Deadline]]-TabProjet[[#This Row],[Début]])*TabProjet[[#This Row],[Progression]]</f>
        <v>44929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</row>
    <row r="18" spans="2:71" x14ac:dyDescent="0.3">
      <c r="B18" s="3" t="str">
        <f>TabProjet[[#This Row],[IDProj]] &amp; TabProjet[[#This Row],[Point]] &amp; TabProjet[[#This Row],[IDSubProj]]</f>
        <v>1.4</v>
      </c>
      <c r="C18" s="81"/>
      <c r="D18" s="81">
        <f>IF(ISNUMBER($D17),IF(TabProjet[[#This Row],[Is Project]] &lt;&gt;"",$D17+1,$D17),1)</f>
        <v>1</v>
      </c>
      <c r="E18" s="81" t="str">
        <f>IF(TabProjet[[#This Row],[Is Project]] &lt;&gt; "","",".")</f>
        <v>.</v>
      </c>
      <c r="F18" s="81">
        <f>IFERROR(IF(TabProjet[[#This Row],[Is Project]]= "",$F17+1,""),1)</f>
        <v>4</v>
      </c>
      <c r="G18" s="19" t="s">
        <v>113</v>
      </c>
      <c r="H18" s="20" t="s">
        <v>494</v>
      </c>
      <c r="I18" s="18">
        <v>1</v>
      </c>
      <c r="J18" s="20" t="s">
        <v>11</v>
      </c>
      <c r="K18" s="21">
        <v>45392</v>
      </c>
      <c r="L18" s="18">
        <v>15</v>
      </c>
      <c r="M18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45412</v>
      </c>
      <c r="N18" s="24">
        <v>1</v>
      </c>
      <c r="O18" s="32">
        <f>TabProjet[[#This Row],[Début]]+(TabProjet[[#This Row],[Deadline]]-TabProjet[[#This Row],[Début]])*TabProjet[[#This Row],[Progression]]</f>
        <v>45412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</row>
    <row r="19" spans="2:71" x14ac:dyDescent="0.3">
      <c r="B19" s="3" t="str">
        <f>TabProjet[[#This Row],[IDProj]] &amp; TabProjet[[#This Row],[Point]] &amp; TabProjet[[#This Row],[IDSubProj]]</f>
        <v>1.5</v>
      </c>
      <c r="C19" s="81"/>
      <c r="D19" s="81">
        <f>IF(ISNUMBER($D18),IF(TabProjet[[#This Row],[Is Project]] &lt;&gt;"",$D18+1,$D18),1)</f>
        <v>1</v>
      </c>
      <c r="E19" s="81" t="str">
        <f>IF(TabProjet[[#This Row],[Is Project]] &lt;&gt; "","",".")</f>
        <v>.</v>
      </c>
      <c r="F19" s="81">
        <f>IFERROR(IF(TabProjet[[#This Row],[Is Project]]= "",$F18+1,""),1)</f>
        <v>5</v>
      </c>
      <c r="G19" s="19" t="s">
        <v>114</v>
      </c>
      <c r="H19" s="20" t="s">
        <v>493</v>
      </c>
      <c r="I19" s="18" t="s">
        <v>148</v>
      </c>
      <c r="J19" s="20" t="s">
        <v>13</v>
      </c>
      <c r="K19" s="21">
        <v>44302</v>
      </c>
      <c r="L19" s="18">
        <v>20</v>
      </c>
      <c r="M19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44329</v>
      </c>
      <c r="N19" s="24">
        <v>1</v>
      </c>
      <c r="O19" s="32">
        <f>TabProjet[[#This Row],[Début]]+(TabProjet[[#This Row],[Deadline]]-TabProjet[[#This Row],[Début]])*TabProjet[[#This Row],[Progression]]</f>
        <v>44329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</row>
    <row r="20" spans="2:71" x14ac:dyDescent="0.3">
      <c r="B20" s="3" t="str">
        <f>TabProjet[[#This Row],[IDProj]] &amp; TabProjet[[#This Row],[Point]] &amp; TabProjet[[#This Row],[IDSubProj]]</f>
        <v>2</v>
      </c>
      <c r="C20" s="81" t="s">
        <v>27</v>
      </c>
      <c r="D20" s="81">
        <f>IF(ISNUMBER($D19),IF(TabProjet[[#This Row],[Is Project]] &lt;&gt;"",$D19+1,$D19),1)</f>
        <v>2</v>
      </c>
      <c r="E20" s="81" t="str">
        <f>IF(TabProjet[[#This Row],[Is Project]] &lt;&gt; "","",".")</f>
        <v/>
      </c>
      <c r="F20" s="81" t="str">
        <f>IFERROR(IF(TabProjet[[#This Row],[Is Project]]= "",$F19+1,""),1)</f>
        <v/>
      </c>
      <c r="G20" s="19" t="s">
        <v>115</v>
      </c>
      <c r="H20" s="20"/>
      <c r="I20" s="18" t="s">
        <v>148</v>
      </c>
      <c r="J20" s="20" t="s">
        <v>14</v>
      </c>
      <c r="K20" s="21">
        <f ca="1">IFERROR(MinStartDate(TabProjet[[#This Row],[ID]]), "")</f>
        <v>45035</v>
      </c>
      <c r="L20" s="18">
        <f>IFERROR(SUMIFS(TabProjet[Charge en J],TabProjet[Is Project],"",TabProjet[IDProj],TabProjet[[#This Row],[IDProj]]), "")</f>
        <v>237</v>
      </c>
      <c r="M20" s="15">
        <f ca="1">IFERROR(MaxDeadlineDate(TabProjet[[#This Row],[ID]]), "")</f>
        <v>45152</v>
      </c>
      <c r="N20" s="24">
        <f>IFERROR(AVERAGEIFS(TabProjet[Progression],TabProjet[Is Project],"",TabProjet[IDProj],TabProjet[[#This Row],[IDProj]]), 0)</f>
        <v>0.6</v>
      </c>
      <c r="O20" s="32">
        <f ca="1">TabProjet[[#This Row],[Début]]+(TabProjet[[#This Row],[Deadline]]-TabProjet[[#This Row],[Début]])*TabProjet[[#This Row],[Progression]]</f>
        <v>45105.2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</row>
    <row r="21" spans="2:71" x14ac:dyDescent="0.3">
      <c r="B21" s="3" t="str">
        <f>TabProjet[[#This Row],[IDProj]] &amp; TabProjet[[#This Row],[Point]] &amp; TabProjet[[#This Row],[IDSubProj]]</f>
        <v>2.1</v>
      </c>
      <c r="C21" s="81"/>
      <c r="D21" s="81">
        <f>IF(ISNUMBER($D20),IF(TabProjet[[#This Row],[Is Project]] &lt;&gt;"",$D20+1,$D20),1)</f>
        <v>2</v>
      </c>
      <c r="E21" s="81" t="str">
        <f>IF(TabProjet[[#This Row],[Is Project]] &lt;&gt; "","",".")</f>
        <v>.</v>
      </c>
      <c r="F21" s="81">
        <f>IFERROR(IF(TabProjet[[#This Row],[Is Project]]= "",$F20+1,""),1)</f>
        <v>1</v>
      </c>
      <c r="G21" s="19" t="s">
        <v>116</v>
      </c>
      <c r="H21" s="20" t="s">
        <v>280</v>
      </c>
      <c r="I21" s="18"/>
      <c r="J21" s="20" t="s">
        <v>106</v>
      </c>
      <c r="K21" s="21">
        <v>45038</v>
      </c>
      <c r="L21" s="18">
        <v>35</v>
      </c>
      <c r="M21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45092</v>
      </c>
      <c r="N21" s="24">
        <v>0.5</v>
      </c>
      <c r="O21" s="32">
        <f>TabProjet[[#This Row],[Début]]+(TabProjet[[#This Row],[Deadline]]-TabProjet[[#This Row],[Début]])*TabProjet[[#This Row],[Progression]]</f>
        <v>45065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</row>
    <row r="22" spans="2:71" x14ac:dyDescent="0.3">
      <c r="B22" s="3" t="str">
        <f>TabProjet[[#This Row],[IDProj]] &amp; TabProjet[[#This Row],[Point]] &amp; TabProjet[[#This Row],[IDSubProj]]</f>
        <v>2.2</v>
      </c>
      <c r="C22" s="81"/>
      <c r="D22" s="81">
        <f>IF(ISNUMBER($D21),IF(TabProjet[[#This Row],[Is Project]] &lt;&gt;"",$D21+1,$D21),1)</f>
        <v>2</v>
      </c>
      <c r="E22" s="81" t="str">
        <f>IF(TabProjet[[#This Row],[Is Project]] &lt;&gt; "","",".")</f>
        <v>.</v>
      </c>
      <c r="F22" s="81">
        <f>IFERROR(IF(TabProjet[[#This Row],[Is Project]]= "",$F21+1,""),1)</f>
        <v>2</v>
      </c>
      <c r="G22" s="19" t="s">
        <v>117</v>
      </c>
      <c r="H22" s="20" t="s">
        <v>495</v>
      </c>
      <c r="I22" s="18">
        <v>1.5</v>
      </c>
      <c r="J22" s="20" t="s">
        <v>15</v>
      </c>
      <c r="K22" s="21">
        <v>45038</v>
      </c>
      <c r="L22" s="18">
        <v>50</v>
      </c>
      <c r="M22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45113</v>
      </c>
      <c r="N22" s="24">
        <v>1</v>
      </c>
      <c r="O22" s="32">
        <f>TabProjet[[#This Row],[Début]]+(TabProjet[[#This Row],[Deadline]]-TabProjet[[#This Row],[Début]])*TabProjet[[#This Row],[Progression]]</f>
        <v>45113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</row>
    <row r="23" spans="2:71" x14ac:dyDescent="0.3">
      <c r="B23" s="3" t="str">
        <f>TabProjet[[#This Row],[IDProj]] &amp; TabProjet[[#This Row],[Point]] &amp; TabProjet[[#This Row],[IDSubProj]]</f>
        <v>2.3</v>
      </c>
      <c r="C23" s="81"/>
      <c r="D23" s="81">
        <f>IF(ISNUMBER($D22),IF(TabProjet[[#This Row],[Is Project]] &lt;&gt;"",$D22+1,$D22),1)</f>
        <v>2</v>
      </c>
      <c r="E23" s="81" t="str">
        <f>IF(TabProjet[[#This Row],[Is Project]] &lt;&gt; "","",".")</f>
        <v>.</v>
      </c>
      <c r="F23" s="81">
        <f>IFERROR(IF(TabProjet[[#This Row],[Is Project]]= "",$F22+1,""),1)</f>
        <v>3</v>
      </c>
      <c r="G23" s="19" t="s">
        <v>118</v>
      </c>
      <c r="H23" s="20" t="s">
        <v>493</v>
      </c>
      <c r="I23" s="18" t="s">
        <v>149</v>
      </c>
      <c r="J23" s="20" t="s">
        <v>16</v>
      </c>
      <c r="K23" s="21">
        <v>45065</v>
      </c>
      <c r="L23" s="18">
        <v>60</v>
      </c>
      <c r="M23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45152</v>
      </c>
      <c r="N23" s="24">
        <v>0.5</v>
      </c>
      <c r="O23" s="32">
        <f>TabProjet[[#This Row],[Début]]+(TabProjet[[#This Row],[Deadline]]-TabProjet[[#This Row],[Début]])*TabProjet[[#This Row],[Progression]]</f>
        <v>45108.5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</row>
    <row r="24" spans="2:71" x14ac:dyDescent="0.3">
      <c r="B24" s="3" t="str">
        <f>TabProjet[[#This Row],[IDProj]] &amp; TabProjet[[#This Row],[Point]] &amp; TabProjet[[#This Row],[IDSubProj]]</f>
        <v>2.4</v>
      </c>
      <c r="C24" s="81"/>
      <c r="D24" s="81">
        <f>IF(ISNUMBER($D23),IF(TabProjet[[#This Row],[Is Project]] &lt;&gt;"",$D23+1,$D23),1)</f>
        <v>2</v>
      </c>
      <c r="E24" s="81" t="str">
        <f>IF(TabProjet[[#This Row],[Is Project]] &lt;&gt; "","",".")</f>
        <v>.</v>
      </c>
      <c r="F24" s="81">
        <f>IFERROR(IF(TabProjet[[#This Row],[Is Project]]= "",$F23+1,""),1)</f>
        <v>4</v>
      </c>
      <c r="G24" s="19" t="s">
        <v>119</v>
      </c>
      <c r="H24" s="20" t="s">
        <v>493</v>
      </c>
      <c r="I24" s="18" t="s">
        <v>149</v>
      </c>
      <c r="J24" s="20" t="s">
        <v>14</v>
      </c>
      <c r="K24" s="21">
        <v>45035</v>
      </c>
      <c r="L24" s="18">
        <v>33</v>
      </c>
      <c r="M24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45085</v>
      </c>
      <c r="N24" s="24">
        <v>0.5</v>
      </c>
      <c r="O24" s="32">
        <f>TabProjet[[#This Row],[Début]]+(TabProjet[[#This Row],[Deadline]]-TabProjet[[#This Row],[Début]])*TabProjet[[#This Row],[Progression]]</f>
        <v>45060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</row>
    <row r="25" spans="2:71" ht="28.8" x14ac:dyDescent="0.3">
      <c r="B25" s="3" t="str">
        <f>TabProjet[[#This Row],[IDProj]] &amp; TabProjet[[#This Row],[Point]] &amp; TabProjet[[#This Row],[IDSubProj]]</f>
        <v>2.5</v>
      </c>
      <c r="C25" s="81"/>
      <c r="D25" s="81">
        <f>IF(ISNUMBER($D24),IF(TabProjet[[#This Row],[Is Project]] &lt;&gt;"",$D24+1,$D24),1)</f>
        <v>2</v>
      </c>
      <c r="E25" s="81" t="str">
        <f>IF(TabProjet[[#This Row],[Is Project]] &lt;&gt; "","",".")</f>
        <v>.</v>
      </c>
      <c r="F25" s="81">
        <f>IFERROR(IF(TabProjet[[#This Row],[Is Project]]= "",$F24+1,""),1)</f>
        <v>5</v>
      </c>
      <c r="G25" s="19" t="s">
        <v>120</v>
      </c>
      <c r="H25" s="20" t="s">
        <v>494</v>
      </c>
      <c r="I25" s="18" t="s">
        <v>149</v>
      </c>
      <c r="J25" s="20" t="s">
        <v>15</v>
      </c>
      <c r="K25" s="21">
        <v>45061</v>
      </c>
      <c r="L25" s="18">
        <v>59</v>
      </c>
      <c r="M25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45146</v>
      </c>
      <c r="N25" s="24">
        <v>0.5</v>
      </c>
      <c r="O25" s="32">
        <f>TabProjet[[#This Row],[Début]]+(TabProjet[[#This Row],[Deadline]]-TabProjet[[#This Row],[Début]])*TabProjet[[#This Row],[Progression]]</f>
        <v>45103.5</v>
      </c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</row>
    <row r="26" spans="2:71" x14ac:dyDescent="0.3">
      <c r="B26" s="3" t="str">
        <f>TabProjet[[#This Row],[IDProj]] &amp; TabProjet[[#This Row],[Point]] &amp; TabProjet[[#This Row],[IDSubProj]]</f>
        <v>3</v>
      </c>
      <c r="C26" s="81" t="s">
        <v>27</v>
      </c>
      <c r="D26" s="81">
        <f>IF(ISNUMBER($D25),IF(TabProjet[[#This Row],[Is Project]] &lt;&gt;"",$D25+1,$D25),1)</f>
        <v>3</v>
      </c>
      <c r="E26" s="81" t="str">
        <f>IF(TabProjet[[#This Row],[Is Project]] &lt;&gt; "","",".")</f>
        <v/>
      </c>
      <c r="F26" s="81" t="str">
        <f>IFERROR(IF(TabProjet[[#This Row],[Is Project]]= "",$F25+1,""),1)</f>
        <v/>
      </c>
      <c r="G26" s="19" t="s">
        <v>121</v>
      </c>
      <c r="H26" s="20"/>
      <c r="I26" s="18" t="s">
        <v>150</v>
      </c>
      <c r="J26" s="20" t="s">
        <v>17</v>
      </c>
      <c r="K26" s="21">
        <f ca="1">IFERROR(MinStartDate(TabProjet[[#This Row],[ID]]), "")</f>
        <v>45088</v>
      </c>
      <c r="L26" s="18">
        <f>IFERROR(SUMIFS(TabProjet[Charge en J],TabProjet[Is Project],"",TabProjet[IDProj],TabProjet[[#This Row],[IDProj]]), "")</f>
        <v>504</v>
      </c>
      <c r="M26" s="15">
        <f ca="1">IFERROR(MaxDeadlineDate(TabProjet[[#This Row],[ID]]), "")</f>
        <v>45344</v>
      </c>
      <c r="N26" s="24">
        <f>IFERROR(AVERAGEIFS(TabProjet[Progression],TabProjet[Is Project],"",TabProjet[IDProj],TabProjet[[#This Row],[IDProj]]), 0)</f>
        <v>0.30499999999999999</v>
      </c>
      <c r="O26" s="32">
        <f ca="1">TabProjet[[#This Row],[Début]]+(TabProjet[[#This Row],[Deadline]]-TabProjet[[#This Row],[Début]])*TabProjet[[#This Row],[Progression]]</f>
        <v>45166.080000000002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</row>
    <row r="27" spans="2:71" x14ac:dyDescent="0.3">
      <c r="B27" s="3" t="str">
        <f>TabProjet[[#This Row],[IDProj]] &amp; TabProjet[[#This Row],[Point]] &amp; TabProjet[[#This Row],[IDSubProj]]</f>
        <v>3.1</v>
      </c>
      <c r="C27" s="81"/>
      <c r="D27" s="81">
        <f>IF(ISNUMBER($D26),IF(TabProjet[[#This Row],[Is Project]] &lt;&gt;"",$D26+1,$D26),1)</f>
        <v>3</v>
      </c>
      <c r="E27" s="81" t="str">
        <f>IF(TabProjet[[#This Row],[Is Project]] &lt;&gt; "","",".")</f>
        <v>.</v>
      </c>
      <c r="F27" s="81">
        <f>IFERROR(IF(TabProjet[[#This Row],[Is Project]]= "",$F26+1,""),1)</f>
        <v>1</v>
      </c>
      <c r="G27" s="19" t="s">
        <v>122</v>
      </c>
      <c r="H27" s="20" t="s">
        <v>495</v>
      </c>
      <c r="I27" s="18"/>
      <c r="J27" s="20" t="s">
        <v>14</v>
      </c>
      <c r="K27" s="21">
        <v>45088</v>
      </c>
      <c r="L27" s="18">
        <v>14</v>
      </c>
      <c r="M27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45106</v>
      </c>
      <c r="N27" s="24">
        <v>0.2</v>
      </c>
      <c r="O27" s="32">
        <f>TabProjet[[#This Row],[Début]]+(TabProjet[[#This Row],[Deadline]]-TabProjet[[#This Row],[Début]])*TabProjet[[#This Row],[Progression]]</f>
        <v>45091.6</v>
      </c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</row>
    <row r="28" spans="2:71" x14ac:dyDescent="0.3">
      <c r="B28" s="3" t="str">
        <f>TabProjet[[#This Row],[IDProj]] &amp; TabProjet[[#This Row],[Point]] &amp; TabProjet[[#This Row],[IDSubProj]]</f>
        <v>3.2</v>
      </c>
      <c r="C28" s="81"/>
      <c r="D28" s="81">
        <f>IF(ISNUMBER($D27),IF(TabProjet[[#This Row],[Is Project]] &lt;&gt;"",$D27+1,$D27),1)</f>
        <v>3</v>
      </c>
      <c r="E28" s="81" t="str">
        <f>IF(TabProjet[[#This Row],[Is Project]] &lt;&gt; "","",".")</f>
        <v>.</v>
      </c>
      <c r="F28" s="81">
        <f>IFERROR(IF(TabProjet[[#This Row],[Is Project]]= "",$F27+1,""),1)</f>
        <v>2</v>
      </c>
      <c r="G28" s="19" t="s">
        <v>123</v>
      </c>
      <c r="H28" s="20" t="s">
        <v>494</v>
      </c>
      <c r="I28" s="18">
        <v>2</v>
      </c>
      <c r="J28" s="20" t="s">
        <v>17</v>
      </c>
      <c r="K28" s="21">
        <v>45120</v>
      </c>
      <c r="L28" s="18">
        <v>121</v>
      </c>
      <c r="M28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45294</v>
      </c>
      <c r="N28" s="24">
        <v>0.13</v>
      </c>
      <c r="O28" s="32">
        <f>TabProjet[[#This Row],[Début]]+(TabProjet[[#This Row],[Deadline]]-TabProjet[[#This Row],[Début]])*TabProjet[[#This Row],[Progression]]</f>
        <v>45142.62</v>
      </c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</row>
    <row r="29" spans="2:71" x14ac:dyDescent="0.3">
      <c r="B29" s="3" t="str">
        <f>TabProjet[[#This Row],[IDProj]] &amp; TabProjet[[#This Row],[Point]] &amp; TabProjet[[#This Row],[IDSubProj]]</f>
        <v>3.3</v>
      </c>
      <c r="C29" s="81"/>
      <c r="D29" s="81">
        <f>IF(ISNUMBER($D28),IF(TabProjet[[#This Row],[Is Project]] &lt;&gt;"",$D28+1,$D28),1)</f>
        <v>3</v>
      </c>
      <c r="E29" s="81" t="str">
        <f>IF(TabProjet[[#This Row],[Is Project]] &lt;&gt; "","",".")</f>
        <v>.</v>
      </c>
      <c r="F29" s="81">
        <f>IFERROR(IF(TabProjet[[#This Row],[Is Project]]= "",$F28+1,""),1)</f>
        <v>3</v>
      </c>
      <c r="G29" s="19" t="s">
        <v>124</v>
      </c>
      <c r="H29" s="20" t="s">
        <v>494</v>
      </c>
      <c r="I29" s="18">
        <v>2</v>
      </c>
      <c r="J29" s="20" t="s">
        <v>12</v>
      </c>
      <c r="K29" s="21">
        <v>45151</v>
      </c>
      <c r="L29" s="18">
        <v>90</v>
      </c>
      <c r="M29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45279</v>
      </c>
      <c r="N29" s="24">
        <v>0.15</v>
      </c>
      <c r="O29" s="32">
        <f>TabProjet[[#This Row],[Début]]+(TabProjet[[#This Row],[Deadline]]-TabProjet[[#This Row],[Début]])*TabProjet[[#This Row],[Progression]]</f>
        <v>45170.2</v>
      </c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</row>
    <row r="30" spans="2:71" x14ac:dyDescent="0.3">
      <c r="B30" s="3" t="str">
        <f>TabProjet[[#This Row],[IDProj]] &amp; TabProjet[[#This Row],[Point]] &amp; TabProjet[[#This Row],[IDSubProj]]</f>
        <v>3.4</v>
      </c>
      <c r="C30" s="81"/>
      <c r="D30" s="81">
        <f>IF(ISNUMBER($D29),IF(TabProjet[[#This Row],[Is Project]] &lt;&gt;"",$D29+1,$D29),1)</f>
        <v>3</v>
      </c>
      <c r="E30" s="81" t="str">
        <f>IF(TabProjet[[#This Row],[Is Project]] &lt;&gt; "","",".")</f>
        <v>.</v>
      </c>
      <c r="F30" s="81">
        <f>IFERROR(IF(TabProjet[[#This Row],[Is Project]]= "",$F29+1,""),1)</f>
        <v>4</v>
      </c>
      <c r="G30" s="19" t="s">
        <v>125</v>
      </c>
      <c r="H30" s="20" t="s">
        <v>495</v>
      </c>
      <c r="I30" s="18">
        <v>2</v>
      </c>
      <c r="J30" s="20" t="s">
        <v>23</v>
      </c>
      <c r="K30" s="21">
        <v>45182</v>
      </c>
      <c r="L30" s="18">
        <v>59</v>
      </c>
      <c r="M30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45265</v>
      </c>
      <c r="N30" s="24">
        <v>0.45</v>
      </c>
      <c r="O30" s="32">
        <f>TabProjet[[#This Row],[Début]]+(TabProjet[[#This Row],[Deadline]]-TabProjet[[#This Row],[Début]])*TabProjet[[#This Row],[Progression]]</f>
        <v>45219.35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</row>
    <row r="31" spans="2:71" x14ac:dyDescent="0.3">
      <c r="B31" s="3" t="str">
        <f>TabProjet[[#This Row],[IDProj]] &amp; TabProjet[[#This Row],[Point]] &amp; TabProjet[[#This Row],[IDSubProj]]</f>
        <v>3.5</v>
      </c>
      <c r="C31" s="81"/>
      <c r="D31" s="81">
        <f>IF(ISNUMBER($D30),IF(TabProjet[[#This Row],[Is Project]] &lt;&gt;"",$D30+1,$D30),1)</f>
        <v>3</v>
      </c>
      <c r="E31" s="81" t="str">
        <f>IF(TabProjet[[#This Row],[Is Project]] &lt;&gt; "","",".")</f>
        <v>.</v>
      </c>
      <c r="F31" s="81">
        <f>IFERROR(IF(TabProjet[[#This Row],[Is Project]]= "",$F30+1,""),1)</f>
        <v>5</v>
      </c>
      <c r="G31" s="19" t="s">
        <v>126</v>
      </c>
      <c r="H31" s="20" t="s">
        <v>495</v>
      </c>
      <c r="I31" s="18" t="s">
        <v>151</v>
      </c>
      <c r="J31" s="20" t="s">
        <v>19</v>
      </c>
      <c r="K31" s="21">
        <v>45088</v>
      </c>
      <c r="L31" s="18">
        <v>180</v>
      </c>
      <c r="M31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45344</v>
      </c>
      <c r="N31" s="24">
        <v>0.6</v>
      </c>
      <c r="O31" s="32">
        <f>TabProjet[[#This Row],[Début]]+(TabProjet[[#This Row],[Deadline]]-TabProjet[[#This Row],[Début]])*TabProjet[[#This Row],[Progression]]</f>
        <v>45241.599999999999</v>
      </c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</row>
    <row r="32" spans="2:71" x14ac:dyDescent="0.3">
      <c r="B32" s="3" t="str">
        <f>TabProjet[[#This Row],[IDProj]] &amp; TabProjet[[#This Row],[Point]] &amp; TabProjet[[#This Row],[IDSubProj]]</f>
        <v>3.6</v>
      </c>
      <c r="C32" s="81"/>
      <c r="D32" s="81">
        <f>IF(ISNUMBER($D31),IF(TabProjet[[#This Row],[Is Project]] &lt;&gt;"",$D31+1,$D31),1)</f>
        <v>3</v>
      </c>
      <c r="E32" s="81" t="str">
        <f>IF(TabProjet[[#This Row],[Is Project]] &lt;&gt; "","",".")</f>
        <v>.</v>
      </c>
      <c r="F32" s="81">
        <f>IFERROR(IF(TabProjet[[#This Row],[Is Project]]= "",$F31+1,""),1)</f>
        <v>6</v>
      </c>
      <c r="G32" s="19" t="s">
        <v>127</v>
      </c>
      <c r="H32" s="20" t="s">
        <v>495</v>
      </c>
      <c r="I32" s="18" t="s">
        <v>152</v>
      </c>
      <c r="J32" s="20" t="s">
        <v>20</v>
      </c>
      <c r="K32" s="21">
        <v>45198</v>
      </c>
      <c r="L32" s="18">
        <v>40</v>
      </c>
      <c r="M32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45254</v>
      </c>
      <c r="N32" s="24">
        <v>0.3</v>
      </c>
      <c r="O32" s="32">
        <f>TabProjet[[#This Row],[Début]]+(TabProjet[[#This Row],[Deadline]]-TabProjet[[#This Row],[Début]])*TabProjet[[#This Row],[Progression]]</f>
        <v>45214.8</v>
      </c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</row>
    <row r="33" spans="2:71" x14ac:dyDescent="0.3">
      <c r="B33" s="3" t="str">
        <f>TabProjet[[#This Row],[IDProj]] &amp; TabProjet[[#This Row],[Point]] &amp; TabProjet[[#This Row],[IDSubProj]]</f>
        <v>4</v>
      </c>
      <c r="C33" s="81" t="s">
        <v>27</v>
      </c>
      <c r="D33" s="81">
        <f>IF(ISNUMBER($D32),IF(TabProjet[[#This Row],[Is Project]] &lt;&gt;"",$D32+1,$D32),1)</f>
        <v>4</v>
      </c>
      <c r="E33" s="81" t="str">
        <f>IF(TabProjet[[#This Row],[Is Project]] &lt;&gt; "","",".")</f>
        <v/>
      </c>
      <c r="F33" s="81" t="str">
        <f>IFERROR(IF(TabProjet[[#This Row],[Is Project]]= "",$F32+1,""),1)</f>
        <v/>
      </c>
      <c r="G33" s="19" t="s">
        <v>128</v>
      </c>
      <c r="H33" s="20"/>
      <c r="I33" s="18" t="s">
        <v>153</v>
      </c>
      <c r="J33" s="20" t="s">
        <v>21</v>
      </c>
      <c r="K33" s="21">
        <f ca="1">IFERROR(MinStartDate(TabProjet[[#This Row],[ID]]), "")</f>
        <v>44944</v>
      </c>
      <c r="L33" s="18">
        <f>IFERROR(SUMIFS(TabProjet[Charge en J],TabProjet[Is Project],"",TabProjet[IDProj],TabProjet[[#This Row],[IDProj]]), "")</f>
        <v>579</v>
      </c>
      <c r="M33" s="15">
        <f ca="1">IFERROR(MaxDeadlineDate(TabProjet[[#This Row],[ID]]), "")</f>
        <v>45792</v>
      </c>
      <c r="N33" s="24">
        <f>IFERROR(AVERAGEIFS(TabProjet[Progression],TabProjet[Is Project],"",TabProjet[IDProj],TabProjet[[#This Row],[IDProj]]), 0)</f>
        <v>0.32466666666666671</v>
      </c>
      <c r="O33" s="32">
        <f ca="1">TabProjet[[#This Row],[Début]]+(TabProjet[[#This Row],[Deadline]]-TabProjet[[#This Row],[Début]])*TabProjet[[#This Row],[Progression]]</f>
        <v>45219.317333333332</v>
      </c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</row>
    <row r="34" spans="2:71" x14ac:dyDescent="0.3">
      <c r="B34" s="3" t="str">
        <f>TabProjet[[#This Row],[IDProj]] &amp; TabProjet[[#This Row],[Point]] &amp; TabProjet[[#This Row],[IDSubProj]]</f>
        <v>4.1</v>
      </c>
      <c r="C34" s="81"/>
      <c r="D34" s="81">
        <f>IF(ISNUMBER($D33),IF(TabProjet[[#This Row],[Is Project]] &lt;&gt;"",$D33+1,$D33),1)</f>
        <v>4</v>
      </c>
      <c r="E34" s="81" t="str">
        <f>IF(TabProjet[[#This Row],[Is Project]] &lt;&gt; "","",".")</f>
        <v>.</v>
      </c>
      <c r="F34" s="81">
        <f>IFERROR(IF(TabProjet[[#This Row],[Is Project]]= "",$F33+1,""),1)</f>
        <v>1</v>
      </c>
      <c r="G34" s="19" t="s">
        <v>129</v>
      </c>
      <c r="H34" s="20" t="s">
        <v>495</v>
      </c>
      <c r="I34" s="18" t="s">
        <v>154</v>
      </c>
      <c r="J34" s="20" t="s">
        <v>25</v>
      </c>
      <c r="K34" s="21">
        <v>45268</v>
      </c>
      <c r="L34" s="18">
        <v>91</v>
      </c>
      <c r="M34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45397</v>
      </c>
      <c r="N34" s="24">
        <v>0.2</v>
      </c>
      <c r="O34" s="32">
        <f>TabProjet[[#This Row],[Début]]+(TabProjet[[#This Row],[Deadline]]-TabProjet[[#This Row],[Début]])*TabProjet[[#This Row],[Progression]]</f>
        <v>45293.8</v>
      </c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</row>
    <row r="35" spans="2:71" x14ac:dyDescent="0.3">
      <c r="B35" s="3" t="str">
        <f>TabProjet[[#This Row],[IDProj]] &amp; TabProjet[[#This Row],[Point]] &amp; TabProjet[[#This Row],[IDSubProj]]</f>
        <v>4.2</v>
      </c>
      <c r="C35" s="81"/>
      <c r="D35" s="81">
        <f>IF(ISNUMBER($D34),IF(TabProjet[[#This Row],[Is Project]] &lt;&gt;"",$D34+1,$D34),1)</f>
        <v>4</v>
      </c>
      <c r="E35" s="81" t="str">
        <f>IF(TabProjet[[#This Row],[Is Project]] &lt;&gt; "","",".")</f>
        <v>.</v>
      </c>
      <c r="F35" s="81">
        <f>IFERROR(IF(TabProjet[[#This Row],[Is Project]]= "",$F34+1,""),1)</f>
        <v>2</v>
      </c>
      <c r="G35" s="22" t="s">
        <v>178</v>
      </c>
      <c r="H35" s="20" t="s">
        <v>495</v>
      </c>
      <c r="I35" s="18">
        <v>3</v>
      </c>
      <c r="J35" s="20" t="s">
        <v>12</v>
      </c>
      <c r="K35" s="23">
        <v>45755</v>
      </c>
      <c r="L35" s="18">
        <v>28</v>
      </c>
      <c r="M35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45792</v>
      </c>
      <c r="N35" s="24">
        <v>0.6</v>
      </c>
      <c r="O35" s="32">
        <f>TabProjet[[#This Row],[Début]]+(TabProjet[[#This Row],[Deadline]]-TabProjet[[#This Row],[Début]])*TabProjet[[#This Row],[Progression]]</f>
        <v>45777.2</v>
      </c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</row>
    <row r="36" spans="2:71" x14ac:dyDescent="0.3">
      <c r="B36" s="3" t="str">
        <f>TabProjet[[#This Row],[IDProj]] &amp; TabProjet[[#This Row],[Point]] &amp; TabProjet[[#This Row],[IDSubProj]]</f>
        <v>4.3</v>
      </c>
      <c r="C36" s="81"/>
      <c r="D36" s="81">
        <f>IF(ISNUMBER($D35),IF(TabProjet[[#This Row],[Is Project]] &lt;&gt;"",$D35+1,$D35),1)</f>
        <v>4</v>
      </c>
      <c r="E36" s="81" t="str">
        <f>IF(TabProjet[[#This Row],[Is Project]] &lt;&gt; "","",".")</f>
        <v>.</v>
      </c>
      <c r="F36" s="81">
        <f>IFERROR(IF(TabProjet[[#This Row],[Is Project]]= "",$F35+1,""),1)</f>
        <v>3</v>
      </c>
      <c r="G36" s="19" t="s">
        <v>130</v>
      </c>
      <c r="H36" s="20" t="s">
        <v>493</v>
      </c>
      <c r="I36" s="18" t="s">
        <v>155</v>
      </c>
      <c r="J36" s="20" t="s">
        <v>14</v>
      </c>
      <c r="K36" s="23">
        <v>45268</v>
      </c>
      <c r="L36" s="18">
        <v>45</v>
      </c>
      <c r="M36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45331</v>
      </c>
      <c r="N36" s="24">
        <v>0</v>
      </c>
      <c r="O36" s="32">
        <f>TabProjet[[#This Row],[Début]]+(TabProjet[[#This Row],[Deadline]]-TabProjet[[#This Row],[Début]])*TabProjet[[#This Row],[Progression]]</f>
        <v>45268</v>
      </c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</row>
    <row r="37" spans="2:71" x14ac:dyDescent="0.3">
      <c r="B37" s="3" t="str">
        <f>TabProjet[[#This Row],[IDProj]] &amp; TabProjet[[#This Row],[Point]] &amp; TabProjet[[#This Row],[IDSubProj]]</f>
        <v>4.4</v>
      </c>
      <c r="C37" s="81"/>
      <c r="D37" s="81">
        <f>IF(ISNUMBER($D36),IF(TabProjet[[#This Row],[Is Project]] &lt;&gt;"",$D36+1,$D36),1)</f>
        <v>4</v>
      </c>
      <c r="E37" s="81" t="str">
        <f>IF(TabProjet[[#This Row],[Is Project]] &lt;&gt; "","",".")</f>
        <v>.</v>
      </c>
      <c r="F37" s="81">
        <f>IFERROR(IF(TabProjet[[#This Row],[Is Project]]= "",$F36+1,""),1)</f>
        <v>4</v>
      </c>
      <c r="G37" s="19" t="s">
        <v>131</v>
      </c>
      <c r="H37" s="20" t="s">
        <v>494</v>
      </c>
      <c r="I37" s="18" t="s">
        <v>156</v>
      </c>
      <c r="J37" s="22" t="s">
        <v>22</v>
      </c>
      <c r="K37" s="21">
        <v>44944</v>
      </c>
      <c r="L37" s="18">
        <v>14</v>
      </c>
      <c r="M37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37" s="24">
        <v>0.32</v>
      </c>
      <c r="O37" s="32">
        <f>TabProjet[[#This Row],[Début]]+(TabProjet[[#This Row],[Deadline]]-TabProjet[[#This Row],[Début]])*TabProjet[[#This Row],[Progression]]</f>
        <v>44950.080000000002</v>
      </c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</row>
    <row r="38" spans="2:71" x14ac:dyDescent="0.3">
      <c r="B38" s="3" t="str">
        <f>TabProjet[[#This Row],[IDProj]] &amp; TabProjet[[#This Row],[Point]] &amp; TabProjet[[#This Row],[IDSubProj]]</f>
        <v>4.5</v>
      </c>
      <c r="C38" s="81"/>
      <c r="D38" s="81">
        <f>IF(ISNUMBER($D37),IF(TabProjet[[#This Row],[Is Project]] &lt;&gt;"",$D37+1,$D37),1)</f>
        <v>4</v>
      </c>
      <c r="E38" s="81" t="str">
        <f>IF(TabProjet[[#This Row],[Is Project]] &lt;&gt; "","",".")</f>
        <v>.</v>
      </c>
      <c r="F38" s="81">
        <f>IFERROR(IF(TabProjet[[#This Row],[Is Project]]= "",$F37+1,""),1)</f>
        <v>5</v>
      </c>
      <c r="G38" s="19" t="s">
        <v>132</v>
      </c>
      <c r="H38" s="20" t="s">
        <v>493</v>
      </c>
      <c r="I38" s="18" t="s">
        <v>157</v>
      </c>
      <c r="J38" s="22" t="s">
        <v>11</v>
      </c>
      <c r="K38" s="21">
        <v>44958</v>
      </c>
      <c r="L38" s="18">
        <v>27</v>
      </c>
      <c r="M38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44994</v>
      </c>
      <c r="N38" s="24">
        <v>0</v>
      </c>
      <c r="O38" s="32">
        <f>TabProjet[[#This Row],[Début]]+(TabProjet[[#This Row],[Deadline]]-TabProjet[[#This Row],[Début]])*TabProjet[[#This Row],[Progression]]</f>
        <v>44958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</row>
    <row r="39" spans="2:71" x14ac:dyDescent="0.3">
      <c r="B39" s="3" t="str">
        <f>TabProjet[[#This Row],[IDProj]] &amp; TabProjet[[#This Row],[Point]] &amp; TabProjet[[#This Row],[IDSubProj]]</f>
        <v>4.6</v>
      </c>
      <c r="C39" s="81"/>
      <c r="D39" s="81">
        <f>IF(ISNUMBER($D38),IF(TabProjet[[#This Row],[Is Project]] &lt;&gt;"",$D38+1,$D38),1)</f>
        <v>4</v>
      </c>
      <c r="E39" s="81" t="str">
        <f>IF(TabProjet[[#This Row],[Is Project]] &lt;&gt; "","",".")</f>
        <v>.</v>
      </c>
      <c r="F39" s="81">
        <f>IFERROR(IF(TabProjet[[#This Row],[Is Project]]= "",$F38+1,""),1)</f>
        <v>6</v>
      </c>
      <c r="G39" s="19" t="s">
        <v>133</v>
      </c>
      <c r="H39" s="20" t="s">
        <v>493</v>
      </c>
      <c r="I39" s="18" t="s">
        <v>158</v>
      </c>
      <c r="J39" s="22" t="s">
        <v>17</v>
      </c>
      <c r="K39" s="21">
        <v>44985</v>
      </c>
      <c r="L39" s="18">
        <v>2</v>
      </c>
      <c r="M39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44986</v>
      </c>
      <c r="N39" s="24">
        <v>0</v>
      </c>
      <c r="O39" s="32">
        <f>TabProjet[[#This Row],[Début]]+(TabProjet[[#This Row],[Deadline]]-TabProjet[[#This Row],[Début]])*TabProjet[[#This Row],[Progression]]</f>
        <v>44985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</row>
    <row r="40" spans="2:71" x14ac:dyDescent="0.3">
      <c r="B40" s="3" t="str">
        <f>TabProjet[[#This Row],[IDProj]] &amp; TabProjet[[#This Row],[Point]] &amp; TabProjet[[#This Row],[IDSubProj]]</f>
        <v>4.7</v>
      </c>
      <c r="C40" s="81"/>
      <c r="D40" s="81">
        <f>IF(ISNUMBER($D39),IF(TabProjet[[#This Row],[Is Project]] &lt;&gt;"",$D39+1,$D39),1)</f>
        <v>4</v>
      </c>
      <c r="E40" s="81" t="str">
        <f>IF(TabProjet[[#This Row],[Is Project]] &lt;&gt; "","",".")</f>
        <v>.</v>
      </c>
      <c r="F40" s="81">
        <f>IFERROR(IF(TabProjet[[#This Row],[Is Project]]= "",$F39+1,""),1)</f>
        <v>7</v>
      </c>
      <c r="G40" s="19" t="s">
        <v>134</v>
      </c>
      <c r="H40" s="20" t="s">
        <v>493</v>
      </c>
      <c r="I40" s="18" t="s">
        <v>159</v>
      </c>
      <c r="J40" s="22" t="s">
        <v>17</v>
      </c>
      <c r="K40" s="21">
        <v>44982</v>
      </c>
      <c r="L40" s="18">
        <v>123</v>
      </c>
      <c r="M40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45163</v>
      </c>
      <c r="N40" s="24">
        <v>1</v>
      </c>
      <c r="O40" s="32">
        <f>TabProjet[[#This Row],[Début]]+(TabProjet[[#This Row],[Deadline]]-TabProjet[[#This Row],[Début]])*TabProjet[[#This Row],[Progression]]</f>
        <v>45163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</row>
    <row r="41" spans="2:71" x14ac:dyDescent="0.3">
      <c r="B41" s="3" t="str">
        <f>TabProjet[[#This Row],[IDProj]] &amp; TabProjet[[#This Row],[Point]] &amp; TabProjet[[#This Row],[IDSubProj]]</f>
        <v>4.8</v>
      </c>
      <c r="C41" s="81"/>
      <c r="D41" s="81">
        <f>IF(ISNUMBER($D40),IF(TabProjet[[#This Row],[Is Project]] &lt;&gt;"",$D40+1,$D40),1)</f>
        <v>4</v>
      </c>
      <c r="E41" s="81" t="str">
        <f>IF(TabProjet[[#This Row],[Is Project]] &lt;&gt; "","",".")</f>
        <v>.</v>
      </c>
      <c r="F41" s="81">
        <f>IFERROR(IF(TabProjet[[#This Row],[Is Project]]= "",$F40+1,""),1)</f>
        <v>8</v>
      </c>
      <c r="G41" s="19" t="s">
        <v>135</v>
      </c>
      <c r="H41" s="20" t="s">
        <v>493</v>
      </c>
      <c r="I41" s="18" t="s">
        <v>160</v>
      </c>
      <c r="J41" s="22" t="s">
        <v>17</v>
      </c>
      <c r="K41" s="21">
        <v>44981</v>
      </c>
      <c r="L41" s="18">
        <v>58</v>
      </c>
      <c r="M41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45068</v>
      </c>
      <c r="N41" s="24">
        <v>0.1</v>
      </c>
      <c r="O41" s="32">
        <f>TabProjet[[#This Row],[Début]]+(TabProjet[[#This Row],[Deadline]]-TabProjet[[#This Row],[Début]])*TabProjet[[#This Row],[Progression]]</f>
        <v>44989.7</v>
      </c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</row>
    <row r="42" spans="2:71" x14ac:dyDescent="0.3">
      <c r="B42" s="3" t="str">
        <f>TabProjet[[#This Row],[IDProj]] &amp; TabProjet[[#This Row],[Point]] &amp; TabProjet[[#This Row],[IDSubProj]]</f>
        <v>4.9</v>
      </c>
      <c r="C42" s="81"/>
      <c r="D42" s="81">
        <f>IF(ISNUMBER($D41),IF(TabProjet[[#This Row],[Is Project]] &lt;&gt;"",$D41+1,$D41),1)</f>
        <v>4</v>
      </c>
      <c r="E42" s="81" t="str">
        <f>IF(TabProjet[[#This Row],[Is Project]] &lt;&gt; "","",".")</f>
        <v>.</v>
      </c>
      <c r="F42" s="81">
        <f>IFERROR(IF(TabProjet[[#This Row],[Is Project]]= "",$F41+1,""),1)</f>
        <v>9</v>
      </c>
      <c r="G42" s="19" t="s">
        <v>136</v>
      </c>
      <c r="H42" s="20" t="s">
        <v>493</v>
      </c>
      <c r="I42" s="18" t="s">
        <v>161</v>
      </c>
      <c r="J42" s="22" t="s">
        <v>19</v>
      </c>
      <c r="K42" s="21">
        <v>44980</v>
      </c>
      <c r="L42" s="18">
        <v>27</v>
      </c>
      <c r="M42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45016</v>
      </c>
      <c r="N42" s="24">
        <v>0</v>
      </c>
      <c r="O42" s="32">
        <f>TabProjet[[#This Row],[Début]]+(TabProjet[[#This Row],[Deadline]]-TabProjet[[#This Row],[Début]])*TabProjet[[#This Row],[Progression]]</f>
        <v>44980</v>
      </c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</row>
    <row r="43" spans="2:71" x14ac:dyDescent="0.3">
      <c r="B43" s="3" t="str">
        <f>TabProjet[[#This Row],[IDProj]] &amp; TabProjet[[#This Row],[Point]] &amp; TabProjet[[#This Row],[IDSubProj]]</f>
        <v>4.10</v>
      </c>
      <c r="C43" s="81"/>
      <c r="D43" s="81">
        <f>IF(ISNUMBER($D42),IF(TabProjet[[#This Row],[Is Project]] &lt;&gt;"",$D42+1,$D42),1)</f>
        <v>4</v>
      </c>
      <c r="E43" s="81" t="str">
        <f>IF(TabProjet[[#This Row],[Is Project]] &lt;&gt; "","",".")</f>
        <v>.</v>
      </c>
      <c r="F43" s="81">
        <f>IFERROR(IF(TabProjet[[#This Row],[Is Project]]= "",$F42+1,""),1)</f>
        <v>10</v>
      </c>
      <c r="G43" s="19" t="s">
        <v>137</v>
      </c>
      <c r="H43" s="20" t="s">
        <v>493</v>
      </c>
      <c r="I43" s="18" t="s">
        <v>162</v>
      </c>
      <c r="J43" s="22" t="s">
        <v>17</v>
      </c>
      <c r="K43" s="21">
        <v>44959</v>
      </c>
      <c r="L43" s="18">
        <v>3</v>
      </c>
      <c r="M43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44963</v>
      </c>
      <c r="N43" s="24">
        <v>0</v>
      </c>
      <c r="O43" s="32">
        <f>TabProjet[[#This Row],[Début]]+(TabProjet[[#This Row],[Deadline]]-TabProjet[[#This Row],[Début]])*TabProjet[[#This Row],[Progression]]</f>
        <v>44959</v>
      </c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</row>
    <row r="44" spans="2:71" x14ac:dyDescent="0.3">
      <c r="B44" s="3" t="str">
        <f>TabProjet[[#This Row],[IDProj]] &amp; TabProjet[[#This Row],[Point]] &amp; TabProjet[[#This Row],[IDSubProj]]</f>
        <v>4.11</v>
      </c>
      <c r="C44" s="81"/>
      <c r="D44" s="81">
        <f>IF(ISNUMBER($D43),IF(TabProjet[[#This Row],[Is Project]] &lt;&gt;"",$D43+1,$D43),1)</f>
        <v>4</v>
      </c>
      <c r="E44" s="81" t="str">
        <f>IF(TabProjet[[#This Row],[Is Project]] &lt;&gt; "","",".")</f>
        <v>.</v>
      </c>
      <c r="F44" s="81">
        <f>IFERROR(IF(TabProjet[[#This Row],[Is Project]]= "",$F43+1,""),1)</f>
        <v>11</v>
      </c>
      <c r="G44" s="19" t="s">
        <v>138</v>
      </c>
      <c r="H44" s="20" t="s">
        <v>493</v>
      </c>
      <c r="I44" s="18" t="s">
        <v>163</v>
      </c>
      <c r="J44" s="22" t="s">
        <v>23</v>
      </c>
      <c r="K44" s="21">
        <v>44978</v>
      </c>
      <c r="L44" s="18">
        <v>1</v>
      </c>
      <c r="M44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44978</v>
      </c>
      <c r="N44" s="24">
        <v>0</v>
      </c>
      <c r="O44" s="32">
        <f>TabProjet[[#This Row],[Début]]+(TabProjet[[#This Row],[Deadline]]-TabProjet[[#This Row],[Début]])*TabProjet[[#This Row],[Progression]]</f>
        <v>44978</v>
      </c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</row>
    <row r="45" spans="2:71" x14ac:dyDescent="0.3">
      <c r="B45" s="3" t="str">
        <f>TabProjet[[#This Row],[IDProj]] &amp; TabProjet[[#This Row],[Point]] &amp; TabProjet[[#This Row],[IDSubProj]]</f>
        <v>4.12</v>
      </c>
      <c r="C45" s="81"/>
      <c r="D45" s="81">
        <f>IF(ISNUMBER($D44),IF(TabProjet[[#This Row],[Is Project]] &lt;&gt;"",$D44+1,$D44),1)</f>
        <v>4</v>
      </c>
      <c r="E45" s="81" t="str">
        <f>IF(TabProjet[[#This Row],[Is Project]] &lt;&gt; "","",".")</f>
        <v>.</v>
      </c>
      <c r="F45" s="81">
        <f>IFERROR(IF(TabProjet[[#This Row],[Is Project]]= "",$F44+1,""),1)</f>
        <v>12</v>
      </c>
      <c r="G45" s="19" t="s">
        <v>139</v>
      </c>
      <c r="H45" s="20" t="s">
        <v>493</v>
      </c>
      <c r="I45" s="18" t="s">
        <v>164</v>
      </c>
      <c r="J45" s="22" t="s">
        <v>24</v>
      </c>
      <c r="K45" s="21">
        <v>44975</v>
      </c>
      <c r="L45" s="18">
        <v>53</v>
      </c>
      <c r="M45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45051</v>
      </c>
      <c r="N45" s="24">
        <v>1</v>
      </c>
      <c r="O45" s="32">
        <f>TabProjet[[#This Row],[Début]]+(TabProjet[[#This Row],[Deadline]]-TabProjet[[#This Row],[Début]])*TabProjet[[#This Row],[Progression]]</f>
        <v>45051</v>
      </c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</row>
    <row r="46" spans="2:71" x14ac:dyDescent="0.3">
      <c r="B46" s="3" t="str">
        <f>TabProjet[[#This Row],[IDProj]] &amp; TabProjet[[#This Row],[Point]] &amp; TabProjet[[#This Row],[IDSubProj]]</f>
        <v>4.13</v>
      </c>
      <c r="C46" s="81"/>
      <c r="D46" s="81">
        <f>IF(ISNUMBER($D45),IF(TabProjet[[#This Row],[Is Project]] &lt;&gt;"",$D45+1,$D45),1)</f>
        <v>4</v>
      </c>
      <c r="E46" s="81" t="str">
        <f>IF(TabProjet[[#This Row],[Is Project]] &lt;&gt; "","",".")</f>
        <v>.</v>
      </c>
      <c r="F46" s="81">
        <f>IFERROR(IF(TabProjet[[#This Row],[Is Project]]= "",$F45+1,""),1)</f>
        <v>13</v>
      </c>
      <c r="G46" s="19" t="s">
        <v>140</v>
      </c>
      <c r="H46" s="20" t="s">
        <v>493</v>
      </c>
      <c r="I46" s="18" t="s">
        <v>165</v>
      </c>
      <c r="J46" s="22" t="s">
        <v>25</v>
      </c>
      <c r="K46" s="21">
        <v>45028</v>
      </c>
      <c r="L46" s="18">
        <v>51</v>
      </c>
      <c r="M46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45104</v>
      </c>
      <c r="N46" s="24">
        <v>1</v>
      </c>
      <c r="O46" s="32">
        <f>TabProjet[[#This Row],[Début]]+(TabProjet[[#This Row],[Deadline]]-TabProjet[[#This Row],[Début]])*TabProjet[[#This Row],[Progression]]</f>
        <v>45104</v>
      </c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</row>
    <row r="47" spans="2:71" x14ac:dyDescent="0.3">
      <c r="B47" s="3" t="str">
        <f>TabProjet[[#This Row],[IDProj]] &amp; TabProjet[[#This Row],[Point]] &amp; TabProjet[[#This Row],[IDSubProj]]</f>
        <v>4.14</v>
      </c>
      <c r="C47" s="81"/>
      <c r="D47" s="81">
        <f>IF(ISNUMBER($D46),IF(TabProjet[[#This Row],[Is Project]] &lt;&gt;"",$D46+1,$D46),1)</f>
        <v>4</v>
      </c>
      <c r="E47" s="81" t="str">
        <f>IF(TabProjet[[#This Row],[Is Project]] &lt;&gt; "","",".")</f>
        <v>.</v>
      </c>
      <c r="F47" s="81">
        <f>IFERROR(IF(TabProjet[[#This Row],[Is Project]]= "",$F46+1,""),1)</f>
        <v>14</v>
      </c>
      <c r="G47" s="19" t="s">
        <v>141</v>
      </c>
      <c r="H47" s="20" t="s">
        <v>493</v>
      </c>
      <c r="I47" s="18" t="s">
        <v>166</v>
      </c>
      <c r="J47" s="22" t="s">
        <v>11</v>
      </c>
      <c r="K47" s="21">
        <v>45079</v>
      </c>
      <c r="L47" s="18">
        <v>53</v>
      </c>
      <c r="M47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45155</v>
      </c>
      <c r="N47" s="24">
        <v>0.15</v>
      </c>
      <c r="O47" s="32">
        <f>TabProjet[[#This Row],[Début]]+(TabProjet[[#This Row],[Deadline]]-TabProjet[[#This Row],[Début]])*TabProjet[[#This Row],[Progression]]</f>
        <v>45090.400000000001</v>
      </c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</row>
    <row r="48" spans="2:71" x14ac:dyDescent="0.3">
      <c r="B48" s="3" t="str">
        <f>TabProjet[[#This Row],[IDProj]] &amp; TabProjet[[#This Row],[Point]] &amp; TabProjet[[#This Row],[IDSubProj]]</f>
        <v>4.15</v>
      </c>
      <c r="C48" s="81"/>
      <c r="D48" s="81">
        <f>IF(ISNUMBER($D47),IF(TabProjet[[#This Row],[Is Project]] &lt;&gt;"",$D47+1,$D47),1)</f>
        <v>4</v>
      </c>
      <c r="E48" s="81" t="str">
        <f>IF(TabProjet[[#This Row],[Is Project]] &lt;&gt; "","",".")</f>
        <v>.</v>
      </c>
      <c r="F48" s="81">
        <f>IFERROR(IF(TabProjet[[#This Row],[Is Project]]= "",$F47+1,""),1)</f>
        <v>15</v>
      </c>
      <c r="G48" s="19" t="s">
        <v>142</v>
      </c>
      <c r="H48" s="20" t="s">
        <v>493</v>
      </c>
      <c r="I48" s="18" t="s">
        <v>167</v>
      </c>
      <c r="J48" s="22" t="s">
        <v>18</v>
      </c>
      <c r="K48" s="21">
        <v>45132</v>
      </c>
      <c r="L48" s="18">
        <v>3</v>
      </c>
      <c r="M48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45134</v>
      </c>
      <c r="N48" s="24">
        <v>0.5</v>
      </c>
      <c r="O48" s="32">
        <f>TabProjet[[#This Row],[Début]]+(TabProjet[[#This Row],[Deadline]]-TabProjet[[#This Row],[Début]])*TabProjet[[#This Row],[Progression]]</f>
        <v>45133</v>
      </c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</row>
    <row r="49" spans="2:71" x14ac:dyDescent="0.3">
      <c r="B49" s="3" t="str">
        <f>TabProjet[[#This Row],[IDProj]] &amp; TabProjet[[#This Row],[Point]] &amp; TabProjet[[#This Row],[IDSubProj]]</f>
        <v>5</v>
      </c>
      <c r="C49" s="81" t="s">
        <v>27</v>
      </c>
      <c r="D49" s="81">
        <f>IF(ISNUMBER($D48),IF(TabProjet[[#This Row],[Is Project]] &lt;&gt;"",$D48+1,$D48),1)</f>
        <v>5</v>
      </c>
      <c r="E49" s="81" t="str">
        <f>IF(TabProjet[[#This Row],[Is Project]] &lt;&gt; "","",".")</f>
        <v/>
      </c>
      <c r="F49" s="81" t="str">
        <f>IFERROR(IF(TabProjet[[#This Row],[Is Project]]= "",$F48+1,""),1)</f>
        <v/>
      </c>
      <c r="G49" s="19" t="s">
        <v>143</v>
      </c>
      <c r="H49" s="20"/>
      <c r="I49" s="18" t="s">
        <v>168</v>
      </c>
      <c r="J49" s="22" t="s">
        <v>14</v>
      </c>
      <c r="K49" s="21">
        <f ca="1">IFERROR(MinStartDate(TabProjet[[#This Row],[ID]]), "")</f>
        <v>45109</v>
      </c>
      <c r="L49" s="18">
        <f>IFERROR(SUMIFS(TabProjet[Charge en J],TabProjet[Is Project],"",TabProjet[IDProj],TabProjet[[#This Row],[IDProj]]), "")</f>
        <v>126</v>
      </c>
      <c r="M49" s="15">
        <f ca="1">IFERROR(MaxDeadlineDate(TabProjet[[#This Row],[ID]]), "")</f>
        <v>45203</v>
      </c>
      <c r="N49" s="24">
        <f>IFERROR(AVERAGEIFS(TabProjet[Progression],TabProjet[Is Project],"",TabProjet[IDProj],TabProjet[[#This Row],[IDProj]]), 0)</f>
        <v>0.35500000000000004</v>
      </c>
      <c r="O49" s="32">
        <f ca="1">TabProjet[[#This Row],[Début]]+(TabProjet[[#This Row],[Deadline]]-TabProjet[[#This Row],[Début]])*TabProjet[[#This Row],[Progression]]</f>
        <v>45142.37</v>
      </c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</row>
    <row r="50" spans="2:71" x14ac:dyDescent="0.3">
      <c r="B50" s="3" t="str">
        <f>TabProjet[[#This Row],[IDProj]] &amp; TabProjet[[#This Row],[Point]] &amp; TabProjet[[#This Row],[IDSubProj]]</f>
        <v>5.1</v>
      </c>
      <c r="C50" s="81"/>
      <c r="D50" s="81">
        <f>IF(ISNUMBER($D49),IF(TabProjet[[#This Row],[Is Project]] &lt;&gt;"",$D49+1,$D49),1)</f>
        <v>5</v>
      </c>
      <c r="E50" s="81" t="str">
        <f>IF(TabProjet[[#This Row],[Is Project]] &lt;&gt; "","",".")</f>
        <v>.</v>
      </c>
      <c r="F50" s="81">
        <f>IFERROR(IF(TabProjet[[#This Row],[Is Project]]= "",$F49+1,""),1)</f>
        <v>1</v>
      </c>
      <c r="G50" s="19" t="s">
        <v>144</v>
      </c>
      <c r="H50" s="20" t="s">
        <v>493</v>
      </c>
      <c r="I50" s="18" t="s">
        <v>169</v>
      </c>
      <c r="J50" s="22" t="s">
        <v>14</v>
      </c>
      <c r="K50" s="21">
        <v>45109</v>
      </c>
      <c r="L50" s="18">
        <v>15</v>
      </c>
      <c r="M50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45131</v>
      </c>
      <c r="N50" s="24">
        <v>0.02</v>
      </c>
      <c r="O50" s="32">
        <f>TabProjet[[#This Row],[Début]]+(TabProjet[[#This Row],[Deadline]]-TabProjet[[#This Row],[Début]])*TabProjet[[#This Row],[Progression]]</f>
        <v>45109.440000000002</v>
      </c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</row>
    <row r="51" spans="2:71" x14ac:dyDescent="0.3">
      <c r="B51" s="3" t="str">
        <f>TabProjet[[#This Row],[IDProj]] &amp; TabProjet[[#This Row],[Point]] &amp; TabProjet[[#This Row],[IDSubProj]]</f>
        <v>5.2</v>
      </c>
      <c r="C51" s="81"/>
      <c r="D51" s="81">
        <f>IF(ISNUMBER($D50),IF(TabProjet[[#This Row],[Is Project]] &lt;&gt;"",$D50+1,$D50),1)</f>
        <v>5</v>
      </c>
      <c r="E51" s="81" t="str">
        <f>IF(TabProjet[[#This Row],[Is Project]] &lt;&gt; "","",".")</f>
        <v>.</v>
      </c>
      <c r="F51" s="81">
        <f>IFERROR(IF(TabProjet[[#This Row],[Is Project]]= "",$F50+1,""),1)</f>
        <v>2</v>
      </c>
      <c r="G51" s="19" t="s">
        <v>145</v>
      </c>
      <c r="H51" s="20" t="s">
        <v>493</v>
      </c>
      <c r="I51" s="18">
        <v>4</v>
      </c>
      <c r="J51" s="22" t="s">
        <v>16</v>
      </c>
      <c r="K51" s="21">
        <v>45140</v>
      </c>
      <c r="L51" s="18">
        <v>45</v>
      </c>
      <c r="M51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45203</v>
      </c>
      <c r="N51" s="24">
        <v>0.3</v>
      </c>
      <c r="O51" s="32">
        <f>TabProjet[[#This Row],[Début]]+(TabProjet[[#This Row],[Deadline]]-TabProjet[[#This Row],[Début]])*TabProjet[[#This Row],[Progression]]</f>
        <v>45158.9</v>
      </c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</row>
    <row r="52" spans="2:71" x14ac:dyDescent="0.3">
      <c r="B52" s="3" t="str">
        <f>TabProjet[[#This Row],[IDProj]] &amp; TabProjet[[#This Row],[Point]] &amp; TabProjet[[#This Row],[IDSubProj]]</f>
        <v>5.3</v>
      </c>
      <c r="C52" s="81"/>
      <c r="D52" s="81">
        <f>IF(ISNUMBER($D51),IF(TabProjet[[#This Row],[Is Project]] &lt;&gt;"",$D51+1,$D51),1)</f>
        <v>5</v>
      </c>
      <c r="E52" s="81" t="str">
        <f>IF(TabProjet[[#This Row],[Is Project]] &lt;&gt; "","",".")</f>
        <v>.</v>
      </c>
      <c r="F52" s="81">
        <f>IFERROR(IF(TabProjet[[#This Row],[Is Project]]= "",$F51+1,""),1)</f>
        <v>3</v>
      </c>
      <c r="G52" s="19" t="s">
        <v>146</v>
      </c>
      <c r="H52" s="20" t="s">
        <v>493</v>
      </c>
      <c r="I52" s="18">
        <v>4</v>
      </c>
      <c r="J52" s="22" t="s">
        <v>26</v>
      </c>
      <c r="K52" s="21">
        <v>45140</v>
      </c>
      <c r="L52" s="18">
        <v>41</v>
      </c>
      <c r="M52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45197</v>
      </c>
      <c r="N52" s="24">
        <v>1</v>
      </c>
      <c r="O52" s="32">
        <f>TabProjet[[#This Row],[Début]]+(TabProjet[[#This Row],[Deadline]]-TabProjet[[#This Row],[Début]])*TabProjet[[#This Row],[Progression]]</f>
        <v>45197</v>
      </c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</row>
    <row r="53" spans="2:71" x14ac:dyDescent="0.3">
      <c r="B53" s="3" t="str">
        <f>TabProjet[[#This Row],[IDProj]] &amp; TabProjet[[#This Row],[Point]] &amp; TabProjet[[#This Row],[IDSubProj]]</f>
        <v>5.4</v>
      </c>
      <c r="C53" s="81"/>
      <c r="D53" s="81">
        <f>IF(ISNUMBER($D52),IF(TabProjet[[#This Row],[Is Project]] &lt;&gt;"",$D52+1,$D52),1)</f>
        <v>5</v>
      </c>
      <c r="E53" s="81" t="str">
        <f>IF(TabProjet[[#This Row],[Is Project]] &lt;&gt; "","",".")</f>
        <v>.</v>
      </c>
      <c r="F53" s="81">
        <f>IFERROR(IF(TabProjet[[#This Row],[Is Project]]= "",$F52+1,""),1)</f>
        <v>4</v>
      </c>
      <c r="G53" s="19" t="s">
        <v>147</v>
      </c>
      <c r="H53" s="20" t="s">
        <v>493</v>
      </c>
      <c r="I53" s="18">
        <v>4</v>
      </c>
      <c r="J53" s="22" t="s">
        <v>15</v>
      </c>
      <c r="K53" s="21">
        <v>45140</v>
      </c>
      <c r="L53" s="18">
        <v>25</v>
      </c>
      <c r="M53" s="15">
        <f>IF(TabProjet[[#This Row],[Début]]="","",WORKDAY(IF(WEEKDAY(TabProjet[[#This Row],[Début]],1)=7,TabProjet[[#This Row],[Début]]+2,IF(WEEKDAY(TabProjet[[#This Row],[Début]],1)=1,TabProjet[[#This Row],[Début]]+1,TabProjet[[#This Row],[Début]])),ROUNDUP(TabProjet[[#This Row],[Charge en J]],0)-IF(TabProjet[[#This Row],[Charge en J]] &gt; 0, 1, 0),TabOffDays[Date]))</f>
        <v>45175</v>
      </c>
      <c r="N53" s="24">
        <v>0.1</v>
      </c>
      <c r="O53" s="32">
        <f>TabProjet[[#This Row],[Début]]+(TabProjet[[#This Row],[Deadline]]-TabProjet[[#This Row],[Début]])*TabProjet[[#This Row],[Progression]]</f>
        <v>45143.5</v>
      </c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</row>
    <row r="57" spans="2:71" x14ac:dyDescent="0.3">
      <c r="N57" s="90"/>
    </row>
    <row r="69" ht="16.95" customHeight="1" x14ac:dyDescent="0.3"/>
    <row r="70" ht="16.95" customHeight="1" x14ac:dyDescent="0.3"/>
    <row r="71" ht="16.95" customHeight="1" x14ac:dyDescent="0.3"/>
    <row r="72" ht="16.95" customHeight="1" x14ac:dyDescent="0.3"/>
    <row r="73" ht="16.95" customHeight="1" x14ac:dyDescent="0.3"/>
    <row r="74" ht="16.95" customHeight="1" x14ac:dyDescent="0.3"/>
    <row r="75" ht="16.95" customHeight="1" x14ac:dyDescent="0.3"/>
    <row r="76" ht="16.95" customHeight="1" x14ac:dyDescent="0.3"/>
    <row r="77" ht="16.95" customHeight="1" x14ac:dyDescent="0.3"/>
    <row r="78" ht="16.95" customHeight="1" x14ac:dyDescent="0.3"/>
    <row r="79" ht="16.95" customHeight="1" x14ac:dyDescent="0.3"/>
    <row r="80" ht="16.95" customHeight="1" x14ac:dyDescent="0.3"/>
    <row r="81" ht="16.95" customHeight="1" x14ac:dyDescent="0.3"/>
    <row r="82" ht="16.95" customHeight="1" x14ac:dyDescent="0.3"/>
    <row r="83" ht="16.95" customHeight="1" x14ac:dyDescent="0.3"/>
    <row r="84" ht="16.95" customHeight="1" x14ac:dyDescent="0.3"/>
    <row r="85" ht="16.95" customHeight="1" x14ac:dyDescent="0.3"/>
    <row r="86" ht="16.95" customHeight="1" x14ac:dyDescent="0.3"/>
    <row r="87" ht="16.95" customHeight="1" x14ac:dyDescent="0.3"/>
    <row r="88" ht="16.95" customHeight="1" x14ac:dyDescent="0.3"/>
    <row r="89" ht="16.95" customHeight="1" x14ac:dyDescent="0.3"/>
    <row r="90" ht="16.95" customHeight="1" x14ac:dyDescent="0.3"/>
    <row r="91" ht="16.95" customHeight="1" x14ac:dyDescent="0.3"/>
    <row r="92" ht="16.95" customHeight="1" x14ac:dyDescent="0.3"/>
    <row r="93" ht="16.95" customHeight="1" x14ac:dyDescent="0.3"/>
    <row r="94" ht="16.95" customHeight="1" x14ac:dyDescent="0.3"/>
    <row r="95" ht="16.95" customHeight="1" x14ac:dyDescent="0.3"/>
    <row r="96" ht="16.95" customHeight="1" x14ac:dyDescent="0.3"/>
    <row r="97" ht="16.95" customHeight="1" x14ac:dyDescent="0.3"/>
    <row r="98" ht="16.95" customHeight="1" x14ac:dyDescent="0.3"/>
    <row r="99" ht="16.95" customHeight="1" x14ac:dyDescent="0.3"/>
    <row r="100" ht="16.95" customHeight="1" x14ac:dyDescent="0.3"/>
    <row r="101" ht="16.95" customHeight="1" x14ac:dyDescent="0.3"/>
    <row r="102" ht="16.95" customHeight="1" x14ac:dyDescent="0.3"/>
    <row r="103" ht="16.95" customHeight="1" x14ac:dyDescent="0.3"/>
    <row r="104" ht="16.95" customHeight="1" x14ac:dyDescent="0.3"/>
    <row r="105" ht="16.95" customHeight="1" x14ac:dyDescent="0.3"/>
    <row r="106" ht="16.95" customHeight="1" x14ac:dyDescent="0.3"/>
    <row r="107" ht="16.95" customHeight="1" x14ac:dyDescent="0.3"/>
    <row r="108" ht="16.95" customHeight="1" x14ac:dyDescent="0.3"/>
    <row r="109" ht="16.95" customHeight="1" x14ac:dyDescent="0.3"/>
    <row r="110" ht="16.95" customHeight="1" x14ac:dyDescent="0.3"/>
    <row r="111" ht="16.95" customHeight="1" x14ac:dyDescent="0.3"/>
    <row r="112" ht="16.95" customHeight="1" x14ac:dyDescent="0.3"/>
    <row r="113" ht="16.95" customHeight="1" x14ac:dyDescent="0.3"/>
    <row r="114" ht="16.95" customHeight="1" x14ac:dyDescent="0.3"/>
    <row r="115" ht="16.95" customHeight="1" x14ac:dyDescent="0.3"/>
    <row r="116" ht="16.95" customHeight="1" x14ac:dyDescent="0.3"/>
    <row r="117" ht="16.95" customHeight="1" x14ac:dyDescent="0.3"/>
    <row r="118" ht="16.95" customHeight="1" x14ac:dyDescent="0.3"/>
    <row r="119" ht="16.95" customHeight="1" x14ac:dyDescent="0.3"/>
    <row r="120" ht="16.95" customHeight="1" x14ac:dyDescent="0.3"/>
    <row r="121" ht="16.95" customHeight="1" x14ac:dyDescent="0.3"/>
    <row r="122" ht="16.95" customHeight="1" x14ac:dyDescent="0.3"/>
    <row r="123" ht="16.95" customHeight="1" x14ac:dyDescent="0.3"/>
    <row r="124" ht="16.95" customHeight="1" x14ac:dyDescent="0.3"/>
    <row r="125" ht="16.95" customHeight="1" x14ac:dyDescent="0.3"/>
    <row r="126" ht="16.95" customHeight="1" x14ac:dyDescent="0.3"/>
    <row r="127" ht="16.95" customHeight="1" x14ac:dyDescent="0.3"/>
    <row r="128" ht="16.95" customHeight="1" x14ac:dyDescent="0.3"/>
    <row r="129" ht="16.95" customHeight="1" x14ac:dyDescent="0.3"/>
  </sheetData>
  <sheetProtection sheet="1" formatCells="0" formatColumns="0" formatRows="0" insertRows="0" insertHyperlinks="0" deleteRows="0" sort="0" autoFilter="0" pivotTables="0"/>
  <mergeCells count="15">
    <mergeCell ref="AB2:AG2"/>
    <mergeCell ref="AB3:AG3"/>
    <mergeCell ref="AH4:AL4"/>
    <mergeCell ref="H1:I1"/>
    <mergeCell ref="H2:I2"/>
    <mergeCell ref="AH1:AL1"/>
    <mergeCell ref="AH2:AL2"/>
    <mergeCell ref="AH3:AL3"/>
    <mergeCell ref="K1:L1"/>
    <mergeCell ref="K2:L2"/>
    <mergeCell ref="M1:N1"/>
    <mergeCell ref="M2:N2"/>
    <mergeCell ref="P1:V1"/>
    <mergeCell ref="P2:V2"/>
    <mergeCell ref="AB1:AG1"/>
  </mergeCells>
  <phoneticPr fontId="1" type="noConversion"/>
  <conditionalFormatting sqref="B14:N53">
    <cfRule type="expression" dxfId="13" priority="15" stopIfTrue="1">
      <formula>$C14&lt;&gt;""</formula>
    </cfRule>
  </conditionalFormatting>
  <conditionalFormatting sqref="P14:BS53">
    <cfRule type="expression" dxfId="8" priority="14" stopIfTrue="1">
      <formula>AND(P$9&gt;=$K14, $K14 &lt;&gt; "", P$9&lt;=$O14, $N14 &lt;&gt; 0, $H14 ="TODO")</formula>
    </cfRule>
    <cfRule type="expression" dxfId="7" priority="16" stopIfTrue="1">
      <formula>AND(P$9&gt;=$K14, $K14 &lt;&gt; "", P$9 &lt;= $M14, $M14 &lt;&gt; "", $H14 ="TODO")</formula>
    </cfRule>
    <cfRule type="expression" dxfId="6" priority="12" stopIfTrue="1">
      <formula>AND(P$9&gt;=$K14, $K14 &lt;&gt; "", P$9&lt;=$O14, $N14 &lt;&gt; 0, $H14 ="In progress")</formula>
    </cfRule>
    <cfRule type="expression" dxfId="5" priority="17" stopIfTrue="1">
      <formula>AND(P$9&gt;=$K14, $K14 &lt;&gt; "", P$9 &lt;= $M14, $M14 &lt;&gt; "", $H14 ="In progress")</formula>
    </cfRule>
    <cfRule type="expression" dxfId="4" priority="10" stopIfTrue="1">
      <formula>AND(P$9&gt;=$K14, $K14 &lt;&gt; "", P$9&lt;=$O14, $N14 &lt;&gt; 0, $H14 ="In Hold")</formula>
    </cfRule>
    <cfRule type="expression" dxfId="3" priority="18" stopIfTrue="1">
      <formula>AND(P$9&gt;=$K14, $K14 &lt;&gt; "", P$9 &lt;= $M14, $M14 &lt;&gt; "", $H14 ="In Hold")</formula>
    </cfRule>
    <cfRule type="expression" dxfId="2" priority="8" stopIfTrue="1">
      <formula>AND(P$9&gt;=$K14, $K14 &lt;&gt; "", P$9&lt;=$O14, $N14 &lt;&gt; 0, $H14 ="Done")</formula>
    </cfRule>
    <cfRule type="expression" dxfId="1" priority="19" stopIfTrue="1">
      <formula>AND(P$9&gt;=$K14, $K14 &lt;&gt; "", P$9 &lt;= $M14, $M14 &lt;&gt; "", $H14 ="Done")</formula>
    </cfRule>
    <cfRule type="expression" dxfId="0" priority="2">
      <formula>AND(TODAY()&gt;=P$9,TODAY()&lt;Q$9)</formula>
    </cfRule>
  </conditionalFormatting>
  <conditionalFormatting sqref="H14:H53">
    <cfRule type="expression" dxfId="12" priority="6">
      <formula>$H14="TODO"</formula>
    </cfRule>
    <cfRule type="expression" dxfId="11" priority="5">
      <formula>$H14="In progress"</formula>
    </cfRule>
    <cfRule type="expression" dxfId="10" priority="4">
      <formula>$H14="In Hold"</formula>
    </cfRule>
    <cfRule type="expression" dxfId="9" priority="3">
      <formula>$H14="Done"</formula>
    </cfRule>
  </conditionalFormatting>
  <conditionalFormatting sqref="N14:N53">
    <cfRule type="dataBar" priority="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{8760A848-DF3E-4B7F-83E5-CEACAF488897}</x14:id>
        </ext>
      </extLst>
    </cfRule>
  </conditionalFormatting>
  <dataValidations count="1">
    <dataValidation type="list" allowBlank="1" showInputMessage="1" showErrorMessage="1" sqref="H14:H53" xr:uid="{5290CA30-152B-4D77-AAAC-DFF26CD2A56B}">
      <formula1>INDIRECT("Tabtheme[Libellé]")</formula1>
    </dataValidation>
  </dataValidations>
  <pageMargins left="0.7" right="0.7" top="0.75" bottom="0.75" header="0.3" footer="0.3"/>
  <pageSetup paperSize="9" orientation="portrait" r:id="rId1"/>
  <ignoredErrors>
    <ignoredError sqref="N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Option Button 3">
              <controlPr defaultSize="0" autoFill="0" autoLine="0" autoPict="0" macro="[0]!SwitchDaysWeeks">
                <anchor moveWithCells="1">
                  <from>
                    <xdr:col>44</xdr:col>
                    <xdr:colOff>60960</xdr:colOff>
                    <xdr:row>3</xdr:row>
                    <xdr:rowOff>106680</xdr:rowOff>
                  </from>
                  <to>
                    <xdr:col>46</xdr:col>
                    <xdr:colOff>114300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 macro="[0]!SwitchDaysWeeks">
                <anchor moveWithCells="1">
                  <from>
                    <xdr:col>47</xdr:col>
                    <xdr:colOff>0</xdr:colOff>
                    <xdr:row>3</xdr:row>
                    <xdr:rowOff>106680</xdr:rowOff>
                  </from>
                  <to>
                    <xdr:col>50</xdr:col>
                    <xdr:colOff>45720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 macro="[0]!SwitchDaysWeeks">
                <anchor moveWithCells="1">
                  <from>
                    <xdr:col>50</xdr:col>
                    <xdr:colOff>99060</xdr:colOff>
                    <xdr:row>3</xdr:row>
                    <xdr:rowOff>114300</xdr:rowOff>
                  </from>
                  <to>
                    <xdr:col>52</xdr:col>
                    <xdr:colOff>45720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60A848-DF3E-4B7F-83E5-CEACAF48889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N14:N53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A35A-8202-4DA2-B0FB-4E5A06E72958}">
  <sheetPr codeName="ShDashboard">
    <tabColor rgb="FF7030A0"/>
  </sheetPr>
  <dimension ref="A1:I98"/>
  <sheetViews>
    <sheetView showGridLines="0" workbookViewId="0">
      <selection activeCell="J23" sqref="J23"/>
    </sheetView>
  </sheetViews>
  <sheetFormatPr defaultColWidth="10" defaultRowHeight="14.4" x14ac:dyDescent="0.3"/>
  <cols>
    <col min="1" max="1" width="3.6640625" customWidth="1"/>
    <col min="2" max="2" width="11" customWidth="1"/>
    <col min="3" max="3" width="22" customWidth="1"/>
    <col min="4" max="4" width="39.5546875" customWidth="1"/>
    <col min="5" max="5" width="28.109375" customWidth="1"/>
    <col min="6" max="6" width="2" customWidth="1"/>
    <col min="7" max="7" width="34.6640625" customWidth="1"/>
    <col min="8" max="8" width="18.6640625" customWidth="1"/>
    <col min="9" max="9" width="14.6640625" customWidth="1"/>
  </cols>
  <sheetData>
    <row r="1" spans="1:9" ht="18" customHeight="1" x14ac:dyDescent="0.3">
      <c r="C1" s="1"/>
      <c r="D1" s="1"/>
      <c r="H1" s="13" t="s">
        <v>96</v>
      </c>
      <c r="I1" s="9">
        <v>44893</v>
      </c>
    </row>
    <row r="2" spans="1:9" ht="18" customHeight="1" x14ac:dyDescent="0.3">
      <c r="C2" s="1"/>
      <c r="D2" s="1"/>
      <c r="H2" s="13" t="s">
        <v>97</v>
      </c>
      <c r="I2" s="8"/>
    </row>
    <row r="3" spans="1:9" ht="18" customHeight="1" thickBot="1" x14ac:dyDescent="0.35">
      <c r="C3" s="1"/>
      <c r="D3" s="1"/>
      <c r="H3" s="12" t="s">
        <v>98</v>
      </c>
      <c r="I3" s="8" t="s">
        <v>99</v>
      </c>
    </row>
    <row r="4" spans="1:9" ht="28.95" customHeight="1" thickTop="1" thickBot="1" x14ac:dyDescent="0.35">
      <c r="A4" s="7"/>
      <c r="B4" s="7" t="s">
        <v>459</v>
      </c>
      <c r="C4" s="7"/>
      <c r="D4" s="7"/>
      <c r="E4" s="7"/>
      <c r="F4" s="7"/>
      <c r="G4" s="7"/>
      <c r="H4" s="7"/>
      <c r="I4" s="7"/>
    </row>
    <row r="5" spans="1:9" ht="15" thickTop="1" x14ac:dyDescent="0.3">
      <c r="C5" s="111"/>
      <c r="D5" s="111"/>
      <c r="E5" s="111"/>
    </row>
    <row r="6" spans="1:9" x14ac:dyDescent="0.3">
      <c r="C6" s="111"/>
      <c r="D6" s="111"/>
      <c r="E6" s="111"/>
    </row>
    <row r="7" spans="1:9" ht="19.95" customHeight="1" x14ac:dyDescent="0.3">
      <c r="C7" s="111"/>
      <c r="D7" s="111"/>
      <c r="E7" s="111"/>
    </row>
    <row r="8" spans="1:9" ht="18" customHeight="1" x14ac:dyDescent="0.3">
      <c r="C8" s="111"/>
      <c r="D8" s="111"/>
      <c r="E8" s="111"/>
    </row>
    <row r="9" spans="1:9" ht="18" customHeight="1" x14ac:dyDescent="0.3">
      <c r="C9" s="111"/>
      <c r="D9" s="111"/>
      <c r="E9" s="111"/>
    </row>
    <row r="10" spans="1:9" ht="18" customHeight="1" x14ac:dyDescent="0.3">
      <c r="C10" s="111"/>
      <c r="D10" s="111"/>
      <c r="E10" s="111"/>
    </row>
    <row r="11" spans="1:9" ht="18" customHeight="1" x14ac:dyDescent="0.3">
      <c r="C11" s="111"/>
      <c r="D11" s="111"/>
      <c r="E11" s="117"/>
    </row>
    <row r="12" spans="1:9" ht="18" customHeight="1" x14ac:dyDescent="0.3">
      <c r="C12" s="107"/>
      <c r="D12" s="111"/>
      <c r="E12" s="111"/>
    </row>
    <row r="13" spans="1:9" ht="18" customHeight="1" x14ac:dyDescent="0.3">
      <c r="C13" s="107"/>
      <c r="D13" s="111"/>
      <c r="E13" s="111"/>
    </row>
    <row r="14" spans="1:9" ht="18" customHeight="1" x14ac:dyDescent="0.3">
      <c r="C14" s="107"/>
      <c r="D14" s="111"/>
      <c r="E14" s="111"/>
    </row>
    <row r="15" spans="1:9" ht="19.95" customHeight="1" x14ac:dyDescent="0.3">
      <c r="C15" s="169"/>
      <c r="D15" s="169"/>
      <c r="E15" s="111"/>
    </row>
    <row r="16" spans="1:9" ht="7.2" customHeight="1" x14ac:dyDescent="0.3">
      <c r="E16" s="111"/>
    </row>
    <row r="17" spans="3:8" ht="17.399999999999999" customHeight="1" x14ac:dyDescent="0.3">
      <c r="C17" s="123" t="s">
        <v>278</v>
      </c>
      <c r="D17" s="125" t="str">
        <f>Backend!$B$28</f>
        <v>33% en retard par rapport au planning.</v>
      </c>
      <c r="E17" s="111"/>
      <c r="F17" s="143">
        <v>1</v>
      </c>
      <c r="G17" s="144" t="s">
        <v>109</v>
      </c>
      <c r="H17" s="145">
        <v>0.76</v>
      </c>
    </row>
    <row r="18" spans="3:8" ht="17.399999999999999" customHeight="1" x14ac:dyDescent="0.3">
      <c r="C18" s="124" t="s">
        <v>277</v>
      </c>
      <c r="D18" s="126" t="str">
        <f>Backend!$B$29</f>
        <v>33 activités non terminées.</v>
      </c>
      <c r="E18" s="111"/>
      <c r="F18" s="143">
        <v>2</v>
      </c>
      <c r="G18" s="144" t="s">
        <v>115</v>
      </c>
      <c r="H18" s="145">
        <v>0.6</v>
      </c>
    </row>
    <row r="19" spans="3:8" ht="17.399999999999999" customHeight="1" x14ac:dyDescent="0.3">
      <c r="C19" s="124" t="s">
        <v>6</v>
      </c>
      <c r="D19" s="126" t="str">
        <f>Backend!$B$30</f>
        <v>2 activités terminées."</v>
      </c>
      <c r="E19" s="111"/>
      <c r="F19" s="143">
        <v>3</v>
      </c>
      <c r="G19" s="144" t="s">
        <v>121</v>
      </c>
      <c r="H19" s="145">
        <v>0.30499999999999999</v>
      </c>
    </row>
    <row r="20" spans="3:8" ht="17.399999999999999" customHeight="1" x14ac:dyDescent="0.3">
      <c r="C20" s="124" t="s">
        <v>279</v>
      </c>
      <c r="D20" s="127" t="str">
        <f>Backend!$B$31</f>
        <v>26% en surconsommation.</v>
      </c>
      <c r="E20" s="111"/>
      <c r="F20" s="143">
        <v>4</v>
      </c>
      <c r="G20" s="144" t="s">
        <v>128</v>
      </c>
      <c r="H20" s="145">
        <v>0.32466666666666671</v>
      </c>
    </row>
    <row r="21" spans="3:8" ht="17.399999999999999" customHeight="1" x14ac:dyDescent="0.3">
      <c r="E21" s="111"/>
      <c r="F21" s="146">
        <v>5</v>
      </c>
      <c r="G21" s="147" t="s">
        <v>143</v>
      </c>
      <c r="H21" s="148">
        <v>0.35500000000000004</v>
      </c>
    </row>
    <row r="22" spans="3:8" ht="17.399999999999999" customHeight="1" x14ac:dyDescent="0.3">
      <c r="C22" s="107"/>
      <c r="D22" s="111"/>
      <c r="E22" s="111"/>
      <c r="F22" s="146"/>
      <c r="G22" s="148"/>
      <c r="H22" s="148"/>
    </row>
    <row r="23" spans="3:8" ht="18" customHeight="1" x14ac:dyDescent="0.3">
      <c r="D23" s="107"/>
      <c r="E23" s="10"/>
    </row>
    <row r="24" spans="3:8" ht="18" customHeight="1" x14ac:dyDescent="0.3">
      <c r="D24" s="107"/>
      <c r="E24" s="10"/>
    </row>
    <row r="25" spans="3:8" ht="18" customHeight="1" x14ac:dyDescent="0.3">
      <c r="D25" s="107"/>
      <c r="E25" s="10"/>
    </row>
    <row r="26" spans="3:8" ht="18" customHeight="1" x14ac:dyDescent="0.3">
      <c r="D26" s="107"/>
      <c r="E26" s="10"/>
    </row>
    <row r="27" spans="3:8" ht="18" customHeight="1" x14ac:dyDescent="0.3">
      <c r="D27" s="107"/>
      <c r="E27" s="10"/>
    </row>
    <row r="28" spans="3:8" ht="18" customHeight="1" x14ac:dyDescent="0.3">
      <c r="D28" s="107"/>
      <c r="E28" s="10"/>
    </row>
    <row r="29" spans="3:8" ht="18" customHeight="1" x14ac:dyDescent="0.3"/>
    <row r="30" spans="3:8" ht="18" customHeight="1" x14ac:dyDescent="0.3"/>
    <row r="31" spans="3:8" ht="18" customHeight="1" x14ac:dyDescent="0.3"/>
    <row r="32" spans="3:8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</sheetData>
  <mergeCells count="1">
    <mergeCell ref="C15:D15"/>
  </mergeCells>
  <conditionalFormatting sqref="H17:H22">
    <cfRule type="dataBar" priority="2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{F8B29020-42F7-4312-9F70-0797857FEC6F}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B29020-42F7-4312-9F70-0797857FEC6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H17:H22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7C7A0-268A-4D97-9BFF-85A28C4AC968}">
  <sheetPr codeName="ShSuiviCouts">
    <tabColor theme="9" tint="0.39997558519241921"/>
  </sheetPr>
  <dimension ref="A1:H98"/>
  <sheetViews>
    <sheetView showGridLines="0" workbookViewId="0">
      <selection activeCell="D21" sqref="D21"/>
    </sheetView>
  </sheetViews>
  <sheetFormatPr defaultColWidth="8.88671875" defaultRowHeight="14.4" x14ac:dyDescent="0.3"/>
  <cols>
    <col min="1" max="1" width="2.33203125" customWidth="1"/>
    <col min="2" max="2" width="18.109375" customWidth="1"/>
    <col min="3" max="3" width="31.88671875" customWidth="1"/>
    <col min="4" max="4" width="28.88671875" customWidth="1"/>
    <col min="5" max="5" width="17.5546875" customWidth="1"/>
    <col min="6" max="6" width="37.6640625" customWidth="1"/>
    <col min="7" max="7" width="21.6640625" customWidth="1"/>
    <col min="8" max="8" width="15" customWidth="1"/>
  </cols>
  <sheetData>
    <row r="1" spans="1:8" ht="18" customHeight="1" x14ac:dyDescent="0.3">
      <c r="C1" s="1"/>
      <c r="D1" s="1"/>
      <c r="G1" s="13" t="s">
        <v>96</v>
      </c>
      <c r="H1" s="112">
        <v>44893</v>
      </c>
    </row>
    <row r="2" spans="1:8" ht="18" customHeight="1" x14ac:dyDescent="0.3">
      <c r="C2" s="1"/>
      <c r="D2" s="1"/>
      <c r="G2" s="13" t="s">
        <v>97</v>
      </c>
      <c r="H2" s="113"/>
    </row>
    <row r="3" spans="1:8" ht="18" customHeight="1" thickBot="1" x14ac:dyDescent="0.35">
      <c r="C3" s="1"/>
      <c r="D3" s="1"/>
      <c r="G3" s="12" t="s">
        <v>98</v>
      </c>
      <c r="H3" s="113" t="s">
        <v>99</v>
      </c>
    </row>
    <row r="4" spans="1:8" ht="28.95" customHeight="1" thickTop="1" thickBot="1" x14ac:dyDescent="0.35">
      <c r="A4" s="7"/>
      <c r="B4" s="7" t="s">
        <v>447</v>
      </c>
      <c r="C4" s="7"/>
      <c r="D4" s="7"/>
      <c r="E4" s="7"/>
      <c r="F4" s="7"/>
      <c r="G4" s="7"/>
      <c r="H4" s="7"/>
    </row>
    <row r="5" spans="1:8" ht="15" thickTop="1" x14ac:dyDescent="0.3"/>
    <row r="7" spans="1:8" ht="19.95" customHeight="1" x14ac:dyDescent="0.3">
      <c r="C7" s="137" t="s">
        <v>252</v>
      </c>
      <c r="D7" s="138" t="s">
        <v>251</v>
      </c>
    </row>
    <row r="8" spans="1:8" hidden="1" x14ac:dyDescent="0.3">
      <c r="C8" s="11" t="s">
        <v>252</v>
      </c>
      <c r="D8" s="11" t="s">
        <v>251</v>
      </c>
    </row>
    <row r="9" spans="1:8" ht="18" customHeight="1" x14ac:dyDescent="0.3">
      <c r="C9" s="107">
        <v>45017</v>
      </c>
      <c r="D9" s="108">
        <v>82000</v>
      </c>
      <c r="F9" s="109" t="s">
        <v>455</v>
      </c>
    </row>
    <row r="10" spans="1:8" ht="18" customHeight="1" x14ac:dyDescent="0.3">
      <c r="C10" s="107">
        <v>45047</v>
      </c>
      <c r="D10" s="108">
        <v>82000</v>
      </c>
      <c r="F10" s="110">
        <f>SUM(TabCoûts[Coûts consomés par mois])</f>
        <v>590115</v>
      </c>
    </row>
    <row r="11" spans="1:8" ht="18" customHeight="1" x14ac:dyDescent="0.3">
      <c r="C11" s="107">
        <v>45078</v>
      </c>
      <c r="D11" s="108">
        <v>82000</v>
      </c>
    </row>
    <row r="12" spans="1:8" ht="18" customHeight="1" x14ac:dyDescent="0.3">
      <c r="C12" s="107">
        <v>45108</v>
      </c>
      <c r="D12" s="108">
        <v>82000</v>
      </c>
    </row>
    <row r="13" spans="1:8" ht="18" customHeight="1" x14ac:dyDescent="0.3">
      <c r="C13" s="107">
        <v>45139</v>
      </c>
      <c r="D13" s="108">
        <v>82000</v>
      </c>
    </row>
    <row r="14" spans="1:8" ht="18" customHeight="1" x14ac:dyDescent="0.3">
      <c r="C14" s="107">
        <v>45170</v>
      </c>
      <c r="D14" s="108">
        <v>20</v>
      </c>
    </row>
    <row r="15" spans="1:8" ht="18" customHeight="1" x14ac:dyDescent="0.3">
      <c r="C15" s="107">
        <v>45200</v>
      </c>
      <c r="D15" s="108">
        <v>90000</v>
      </c>
    </row>
    <row r="16" spans="1:8" ht="18" customHeight="1" x14ac:dyDescent="0.3">
      <c r="C16" s="107">
        <v>45231</v>
      </c>
      <c r="D16" s="108">
        <v>90000</v>
      </c>
    </row>
    <row r="17" spans="3:5" ht="18" customHeight="1" x14ac:dyDescent="0.3">
      <c r="C17" s="107">
        <v>45261</v>
      </c>
      <c r="D17" s="108">
        <v>50</v>
      </c>
    </row>
    <row r="18" spans="3:5" ht="18" customHeight="1" x14ac:dyDescent="0.3">
      <c r="C18" s="107">
        <v>45292</v>
      </c>
      <c r="D18" s="108">
        <v>10</v>
      </c>
    </row>
    <row r="19" spans="3:5" ht="18" customHeight="1" x14ac:dyDescent="0.3">
      <c r="C19" s="107">
        <v>45323</v>
      </c>
      <c r="D19" s="149">
        <v>15</v>
      </c>
      <c r="E19" s="10"/>
    </row>
    <row r="20" spans="3:5" ht="18" customHeight="1" x14ac:dyDescent="0.3">
      <c r="C20" s="107">
        <v>45352</v>
      </c>
      <c r="D20" s="149">
        <v>20</v>
      </c>
      <c r="E20" s="10"/>
    </row>
    <row r="21" spans="3:5" ht="18" customHeight="1" x14ac:dyDescent="0.3">
      <c r="D21" s="107"/>
      <c r="E21" s="10"/>
    </row>
    <row r="22" spans="3:5" ht="18" customHeight="1" x14ac:dyDescent="0.3">
      <c r="D22" s="107"/>
      <c r="E22" s="10"/>
    </row>
    <row r="23" spans="3:5" ht="18" customHeight="1" x14ac:dyDescent="0.3">
      <c r="D23" s="107"/>
      <c r="E23" s="10"/>
    </row>
    <row r="24" spans="3:5" ht="18" customHeight="1" x14ac:dyDescent="0.3">
      <c r="E24" s="10"/>
    </row>
    <row r="25" spans="3:5" ht="18" customHeight="1" x14ac:dyDescent="0.3">
      <c r="E25" s="10"/>
    </row>
    <row r="26" spans="3:5" ht="18" customHeight="1" x14ac:dyDescent="0.3">
      <c r="E26" s="10"/>
    </row>
    <row r="27" spans="3:5" ht="18" customHeight="1" x14ac:dyDescent="0.3">
      <c r="E27" s="10"/>
    </row>
    <row r="28" spans="3:5" ht="18" customHeight="1" x14ac:dyDescent="0.3">
      <c r="E28" s="10"/>
    </row>
    <row r="29" spans="3:5" ht="18" customHeight="1" x14ac:dyDescent="0.3"/>
    <row r="30" spans="3:5" ht="18" customHeight="1" x14ac:dyDescent="0.3"/>
    <row r="31" spans="3:5" ht="18" customHeight="1" x14ac:dyDescent="0.3"/>
    <row r="32" spans="3:5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10981-B4B2-461D-BFC0-165047A7E9D1}">
  <sheetPr codeName="ShHistorique">
    <tabColor theme="7"/>
  </sheetPr>
  <dimension ref="A1:J98"/>
  <sheetViews>
    <sheetView showGridLines="0" topLeftCell="A7" workbookViewId="0">
      <selection activeCell="C25" sqref="C25"/>
    </sheetView>
  </sheetViews>
  <sheetFormatPr defaultColWidth="8.88671875" defaultRowHeight="14.4" x14ac:dyDescent="0.3"/>
  <cols>
    <col min="1" max="1" width="2.33203125" customWidth="1"/>
    <col min="2" max="2" width="30" customWidth="1"/>
    <col min="3" max="3" width="28.109375" customWidth="1"/>
    <col min="4" max="4" width="23.6640625" customWidth="1"/>
    <col min="5" max="5" width="25.6640625" customWidth="1"/>
    <col min="6" max="6" width="9.88671875" customWidth="1"/>
    <col min="7" max="7" width="6.6640625" customWidth="1"/>
    <col min="9" max="9" width="18.44140625" customWidth="1"/>
    <col min="10" max="10" width="18.6640625" customWidth="1"/>
  </cols>
  <sheetData>
    <row r="1" spans="1:10" ht="18" customHeight="1" x14ac:dyDescent="0.3">
      <c r="C1" s="1"/>
      <c r="D1" s="1"/>
      <c r="I1" s="13" t="s">
        <v>96</v>
      </c>
      <c r="J1" s="9">
        <v>44893</v>
      </c>
    </row>
    <row r="2" spans="1:10" ht="18" customHeight="1" x14ac:dyDescent="0.3">
      <c r="C2" s="1"/>
      <c r="D2" s="1"/>
      <c r="I2" s="13" t="s">
        <v>97</v>
      </c>
      <c r="J2" s="8"/>
    </row>
    <row r="3" spans="1:10" ht="18" customHeight="1" thickBot="1" x14ac:dyDescent="0.35">
      <c r="C3" s="1"/>
      <c r="D3" s="1"/>
      <c r="I3" s="12" t="s">
        <v>98</v>
      </c>
      <c r="J3" s="8" t="s">
        <v>99</v>
      </c>
    </row>
    <row r="4" spans="1:10" ht="28.95" customHeight="1" thickTop="1" thickBot="1" x14ac:dyDescent="0.35">
      <c r="A4" s="7"/>
      <c r="B4" s="7" t="s">
        <v>451</v>
      </c>
      <c r="C4" s="7"/>
      <c r="D4" s="7"/>
      <c r="E4" s="7"/>
      <c r="F4" s="7"/>
      <c r="G4" s="7"/>
      <c r="H4" s="7"/>
      <c r="I4" s="7"/>
      <c r="J4" s="7"/>
    </row>
    <row r="5" spans="1:10" ht="15" thickTop="1" x14ac:dyDescent="0.3"/>
    <row r="7" spans="1:10" ht="19.95" customHeight="1" x14ac:dyDescent="0.3"/>
    <row r="8" spans="1:10" ht="19.95" customHeight="1" x14ac:dyDescent="0.3">
      <c r="C8" s="137" t="s">
        <v>252</v>
      </c>
      <c r="D8" s="137" t="s">
        <v>278</v>
      </c>
      <c r="E8" s="140" t="s">
        <v>255</v>
      </c>
    </row>
    <row r="9" spans="1:10" ht="18" hidden="1" customHeight="1" x14ac:dyDescent="0.3">
      <c r="C9" s="11" t="s">
        <v>252</v>
      </c>
      <c r="D9" s="11" t="s">
        <v>254</v>
      </c>
      <c r="E9" s="62" t="s">
        <v>255</v>
      </c>
    </row>
    <row r="10" spans="1:10" ht="18" customHeight="1" x14ac:dyDescent="0.3">
      <c r="C10" s="107">
        <v>45017</v>
      </c>
      <c r="D10" s="111">
        <v>1.6155088852988699E-3</v>
      </c>
      <c r="E10" s="111">
        <v>0.02</v>
      </c>
    </row>
    <row r="11" spans="1:10" ht="18" customHeight="1" x14ac:dyDescent="0.3">
      <c r="C11" s="107">
        <v>45047</v>
      </c>
      <c r="D11" s="111">
        <v>0.05</v>
      </c>
      <c r="E11" s="111">
        <v>0.05</v>
      </c>
    </row>
    <row r="12" spans="1:10" ht="18" customHeight="1" x14ac:dyDescent="0.3">
      <c r="C12" s="107">
        <v>45078</v>
      </c>
      <c r="D12" s="111">
        <v>0.08</v>
      </c>
      <c r="E12" s="111">
        <v>0.09</v>
      </c>
    </row>
    <row r="13" spans="1:10" ht="18" customHeight="1" x14ac:dyDescent="0.3">
      <c r="C13" s="107">
        <v>45108</v>
      </c>
      <c r="D13" s="111">
        <v>0.122256327409801</v>
      </c>
      <c r="E13" s="111">
        <v>0.123333333333333</v>
      </c>
    </row>
    <row r="14" spans="1:10" ht="18" customHeight="1" x14ac:dyDescent="0.3">
      <c r="C14" s="107">
        <v>45139</v>
      </c>
      <c r="D14" s="111">
        <v>0.16144857296715101</v>
      </c>
      <c r="E14" s="111">
        <v>-0.15</v>
      </c>
    </row>
    <row r="15" spans="1:10" ht="18" customHeight="1" x14ac:dyDescent="0.3">
      <c r="C15" s="107">
        <v>45170</v>
      </c>
      <c r="D15" s="111">
        <v>0.200640818524502</v>
      </c>
      <c r="E15" s="111">
        <v>0.193333333333333</v>
      </c>
    </row>
    <row r="16" spans="1:10" ht="18" customHeight="1" x14ac:dyDescent="0.3">
      <c r="C16" s="107">
        <v>45200</v>
      </c>
      <c r="D16" s="111">
        <v>0.23983306408185201</v>
      </c>
      <c r="E16" s="111">
        <v>0.228333333333333</v>
      </c>
    </row>
    <row r="17" spans="3:5" ht="18" customHeight="1" x14ac:dyDescent="0.3">
      <c r="C17" s="107">
        <v>45231</v>
      </c>
      <c r="D17" s="111">
        <v>-0.4</v>
      </c>
      <c r="E17" s="111">
        <v>0.1</v>
      </c>
    </row>
    <row r="18" spans="3:5" ht="18" customHeight="1" x14ac:dyDescent="0.3">
      <c r="C18" s="107">
        <v>45261</v>
      </c>
      <c r="D18" s="111">
        <v>0.200640818524502</v>
      </c>
      <c r="E18" s="111">
        <v>0.193333333333333</v>
      </c>
    </row>
    <row r="19" spans="3:5" ht="18" customHeight="1" x14ac:dyDescent="0.3">
      <c r="C19" s="107">
        <v>45292</v>
      </c>
      <c r="D19" s="111">
        <v>0.35740980075390399</v>
      </c>
      <c r="E19" s="111">
        <v>0.5</v>
      </c>
    </row>
    <row r="20" spans="3:5" ht="18" customHeight="1" x14ac:dyDescent="0.3">
      <c r="C20" s="107">
        <v>45323</v>
      </c>
      <c r="D20" s="111">
        <v>0.39660204631125501</v>
      </c>
      <c r="E20" s="111">
        <v>0.1</v>
      </c>
    </row>
    <row r="21" spans="3:5" ht="18" customHeight="1" x14ac:dyDescent="0.3">
      <c r="C21" s="107">
        <v>45352</v>
      </c>
      <c r="D21" s="111">
        <v>0.43579429186860502</v>
      </c>
      <c r="E21" s="111">
        <v>0.40333333333333299</v>
      </c>
    </row>
    <row r="22" spans="3:5" ht="18" customHeight="1" x14ac:dyDescent="0.3">
      <c r="C22" s="107">
        <v>45383</v>
      </c>
      <c r="D22" s="111">
        <v>0.47498653742595598</v>
      </c>
      <c r="E22" s="111">
        <v>0.43833333333333302</v>
      </c>
    </row>
    <row r="23" spans="3:5" ht="18" customHeight="1" x14ac:dyDescent="0.3">
      <c r="C23" s="107">
        <v>45413</v>
      </c>
      <c r="D23" s="111">
        <v>0.51417878298330599</v>
      </c>
      <c r="E23" s="111">
        <v>0.473333333333333</v>
      </c>
    </row>
    <row r="24" spans="3:5" x14ac:dyDescent="0.3">
      <c r="C24" s="107">
        <v>45444</v>
      </c>
      <c r="D24" s="150">
        <v>0.5</v>
      </c>
      <c r="E24" s="150">
        <v>0.6</v>
      </c>
    </row>
    <row r="25" spans="3:5" ht="18" customHeight="1" x14ac:dyDescent="0.3">
      <c r="C25" s="3"/>
      <c r="D25" s="150"/>
      <c r="E25" s="150"/>
    </row>
    <row r="26" spans="3:5" ht="18" customHeight="1" x14ac:dyDescent="0.3">
      <c r="D26" s="107"/>
      <c r="E26" s="10"/>
    </row>
    <row r="27" spans="3:5" ht="18" customHeight="1" x14ac:dyDescent="0.3">
      <c r="D27" s="107"/>
      <c r="E27" s="10"/>
    </row>
    <row r="28" spans="3:5" ht="18" customHeight="1" x14ac:dyDescent="0.3">
      <c r="D28" s="107"/>
      <c r="E28" s="10"/>
    </row>
    <row r="29" spans="3:5" ht="18" customHeight="1" x14ac:dyDescent="0.3"/>
    <row r="30" spans="3:5" ht="18" customHeight="1" x14ac:dyDescent="0.3"/>
    <row r="31" spans="3:5" ht="18" customHeight="1" x14ac:dyDescent="0.3"/>
    <row r="32" spans="3:5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8DBDC-446C-445C-92DB-CD270F969EF7}">
  <sheetPr codeName="ShSettings">
    <tabColor rgb="FF0070C0"/>
  </sheetPr>
  <dimension ref="A1:AL24"/>
  <sheetViews>
    <sheetView showGridLines="0" workbookViewId="0">
      <selection activeCell="B10" sqref="B10"/>
    </sheetView>
  </sheetViews>
  <sheetFormatPr defaultColWidth="8.88671875" defaultRowHeight="14.4" x14ac:dyDescent="0.3"/>
  <cols>
    <col min="1" max="1" width="2.6640625" customWidth="1"/>
    <col min="2" max="2" width="17.44140625" customWidth="1"/>
    <col min="3" max="3" width="19.6640625" customWidth="1"/>
    <col min="4" max="4" width="20.33203125" customWidth="1"/>
    <col min="5" max="5" width="4.33203125" customWidth="1"/>
    <col min="6" max="6" width="25.6640625" customWidth="1"/>
    <col min="7" max="7" width="17.88671875" bestFit="1" customWidth="1"/>
    <col min="8" max="8" width="4.6640625" customWidth="1"/>
    <col min="9" max="9" width="36" bestFit="1" customWidth="1"/>
    <col min="10" max="10" width="14" customWidth="1"/>
    <col min="11" max="11" width="14.6640625" customWidth="1"/>
    <col min="12" max="12" width="15.33203125" customWidth="1"/>
    <col min="13" max="13" width="3.6640625" customWidth="1"/>
    <col min="14" max="14" width="8.88671875" customWidth="1"/>
    <col min="15" max="15" width="15.33203125" customWidth="1"/>
    <col min="29" max="38" width="0" hidden="1" customWidth="1"/>
  </cols>
  <sheetData>
    <row r="1" spans="1:38" ht="18" customHeight="1" x14ac:dyDescent="0.3">
      <c r="C1" s="1"/>
      <c r="D1" s="1"/>
      <c r="E1" s="1"/>
      <c r="F1" s="1"/>
      <c r="G1" s="1"/>
      <c r="H1" s="1"/>
      <c r="J1" s="160" t="s">
        <v>96</v>
      </c>
      <c r="K1" s="160"/>
      <c r="L1" s="9">
        <v>44893</v>
      </c>
    </row>
    <row r="2" spans="1:38" ht="18" customHeight="1" x14ac:dyDescent="0.3">
      <c r="C2" s="1"/>
      <c r="D2" s="1"/>
      <c r="E2" s="1"/>
      <c r="F2" s="1"/>
      <c r="G2" s="1"/>
      <c r="H2" s="1"/>
      <c r="J2" s="160" t="s">
        <v>97</v>
      </c>
      <c r="K2" s="160"/>
      <c r="L2" s="8"/>
    </row>
    <row r="3" spans="1:38" ht="18" customHeight="1" thickBot="1" x14ac:dyDescent="0.35">
      <c r="C3" s="1"/>
      <c r="D3" s="1"/>
      <c r="E3" s="1"/>
      <c r="F3" s="1"/>
      <c r="G3" s="1"/>
      <c r="H3" s="1"/>
      <c r="J3" s="161" t="s">
        <v>98</v>
      </c>
      <c r="K3" s="161"/>
      <c r="L3" s="8" t="s">
        <v>99</v>
      </c>
      <c r="AK3" t="s">
        <v>83</v>
      </c>
      <c r="AL3" s="4">
        <v>54</v>
      </c>
    </row>
    <row r="4" spans="1:38" ht="28.95" customHeight="1" thickTop="1" thickBot="1" x14ac:dyDescent="0.35">
      <c r="A4" s="7"/>
      <c r="B4" s="7" t="s">
        <v>293</v>
      </c>
      <c r="C4" s="7"/>
      <c r="D4" s="7"/>
      <c r="E4" s="7"/>
      <c r="F4" s="7"/>
      <c r="G4" s="7"/>
      <c r="H4" s="7"/>
      <c r="I4" s="7"/>
      <c r="J4" s="7"/>
      <c r="K4" s="132" t="s">
        <v>284</v>
      </c>
      <c r="L4" s="135">
        <v>2</v>
      </c>
    </row>
    <row r="5" spans="1:38" ht="15" thickTop="1" x14ac:dyDescent="0.3">
      <c r="AD5" s="170" t="s">
        <v>179</v>
      </c>
      <c r="AE5" s="171"/>
      <c r="AF5" s="172"/>
      <c r="AH5" s="170" t="s">
        <v>177</v>
      </c>
      <c r="AI5" s="171"/>
      <c r="AJ5" s="171"/>
      <c r="AK5" s="171"/>
      <c r="AL5" s="172"/>
    </row>
    <row r="6" spans="1:38" x14ac:dyDescent="0.3">
      <c r="B6" s="170" t="s">
        <v>295</v>
      </c>
      <c r="C6" s="171"/>
      <c r="D6" s="172"/>
      <c r="F6" s="170" t="s">
        <v>230</v>
      </c>
      <c r="G6" s="172"/>
      <c r="I6" s="170" t="s">
        <v>258</v>
      </c>
      <c r="J6" s="172"/>
    </row>
    <row r="7" spans="1:38" ht="9" customHeight="1" x14ac:dyDescent="0.3"/>
    <row r="8" spans="1:38" x14ac:dyDescent="0.3">
      <c r="A8" s="75"/>
      <c r="B8" s="133" t="s">
        <v>232</v>
      </c>
      <c r="C8" s="133" t="s">
        <v>233</v>
      </c>
      <c r="D8" s="133" t="s">
        <v>234</v>
      </c>
      <c r="F8" s="98" t="s">
        <v>228</v>
      </c>
      <c r="G8" s="134" t="s">
        <v>229</v>
      </c>
      <c r="I8" s="98" t="s">
        <v>245</v>
      </c>
      <c r="J8" s="98" t="s">
        <v>256</v>
      </c>
      <c r="AE8" s="142" t="s">
        <v>492</v>
      </c>
      <c r="AF8" s="4"/>
      <c r="AI8" s="51" t="s">
        <v>176</v>
      </c>
      <c r="AL8" s="52" t="s">
        <v>434</v>
      </c>
    </row>
    <row r="9" spans="1:38" hidden="1" x14ac:dyDescent="0.3">
      <c r="A9" s="75"/>
      <c r="B9" s="73" t="s">
        <v>232</v>
      </c>
      <c r="C9" s="73" t="s">
        <v>233</v>
      </c>
      <c r="D9" s="73" t="s">
        <v>234</v>
      </c>
      <c r="F9" s="62" t="s">
        <v>228</v>
      </c>
      <c r="G9" s="62" t="s">
        <v>229</v>
      </c>
      <c r="I9" s="98" t="s">
        <v>245</v>
      </c>
      <c r="J9" s="98" t="s">
        <v>256</v>
      </c>
      <c r="AE9" s="4"/>
      <c r="AF9" s="4"/>
      <c r="AI9" s="51" t="s">
        <v>176</v>
      </c>
      <c r="AL9" s="52">
        <v>2</v>
      </c>
    </row>
    <row r="10" spans="1:38" x14ac:dyDescent="0.3">
      <c r="A10" s="74"/>
      <c r="B10" s="72" t="s">
        <v>493</v>
      </c>
      <c r="C10" s="94"/>
      <c r="D10" s="91"/>
      <c r="F10" s="63" t="s">
        <v>218</v>
      </c>
      <c r="G10" s="64">
        <v>44927</v>
      </c>
      <c r="I10" s="97" t="s">
        <v>236</v>
      </c>
      <c r="J10" s="105" t="s">
        <v>246</v>
      </c>
      <c r="AG10" s="14"/>
      <c r="AH10" s="14"/>
      <c r="AL10" s="53">
        <v>1</v>
      </c>
    </row>
    <row r="11" spans="1:38" ht="16.95" customHeight="1" x14ac:dyDescent="0.3">
      <c r="A11" s="74"/>
      <c r="B11" s="72" t="s">
        <v>495</v>
      </c>
      <c r="C11" s="95"/>
      <c r="D11" s="92"/>
      <c r="F11" s="63" t="s">
        <v>219</v>
      </c>
      <c r="G11" s="64">
        <v>45026</v>
      </c>
      <c r="I11" s="97" t="s">
        <v>237</v>
      </c>
      <c r="J11" s="105" t="s">
        <v>247</v>
      </c>
    </row>
    <row r="12" spans="1:38" ht="16.95" customHeight="1" x14ac:dyDescent="0.3">
      <c r="A12" s="74"/>
      <c r="B12" s="72" t="s">
        <v>494</v>
      </c>
      <c r="C12" s="96"/>
      <c r="D12" s="93"/>
      <c r="F12" s="63" t="s">
        <v>220</v>
      </c>
      <c r="G12" s="64">
        <v>45047</v>
      </c>
      <c r="I12" s="97" t="s">
        <v>249</v>
      </c>
      <c r="J12" s="101">
        <f>NETWORKDAYS(J10,J11,TabOffDays[Date])</f>
        <v>62</v>
      </c>
    </row>
    <row r="13" spans="1:38" ht="16.95" customHeight="1" x14ac:dyDescent="0.3">
      <c r="A13" s="74"/>
      <c r="B13" s="72" t="s">
        <v>280</v>
      </c>
      <c r="C13" s="128"/>
      <c r="D13" s="151"/>
      <c r="F13" s="65">
        <v>16565</v>
      </c>
      <c r="G13" s="64">
        <v>45054</v>
      </c>
      <c r="I13" s="97" t="s">
        <v>238</v>
      </c>
      <c r="J13" s="105" t="s">
        <v>246</v>
      </c>
    </row>
    <row r="14" spans="1:38" x14ac:dyDescent="0.3">
      <c r="C14" s="129"/>
      <c r="D14" s="129"/>
      <c r="F14" s="63" t="s">
        <v>221</v>
      </c>
      <c r="G14" s="64">
        <v>45064</v>
      </c>
      <c r="I14" s="97" t="s">
        <v>239</v>
      </c>
      <c r="J14" s="105" t="s">
        <v>248</v>
      </c>
    </row>
    <row r="15" spans="1:38" x14ac:dyDescent="0.3">
      <c r="C15" s="129"/>
      <c r="D15" s="129"/>
      <c r="F15" s="63" t="s">
        <v>222</v>
      </c>
      <c r="G15" s="64">
        <v>45075</v>
      </c>
      <c r="I15" s="97" t="s">
        <v>257</v>
      </c>
      <c r="J15" s="101">
        <f>NETWORKDAYS(J13,J14,TabOffDays[Date])</f>
        <v>82</v>
      </c>
    </row>
    <row r="16" spans="1:38" x14ac:dyDescent="0.3">
      <c r="C16" s="129"/>
      <c r="D16" s="129"/>
      <c r="F16" s="63" t="s">
        <v>223</v>
      </c>
      <c r="G16" s="64">
        <v>45121</v>
      </c>
      <c r="I16" s="97" t="s">
        <v>240</v>
      </c>
      <c r="J16" s="102">
        <f>(J15-J12)/J12</f>
        <v>0.32258064516129031</v>
      </c>
    </row>
    <row r="17" spans="3:10" x14ac:dyDescent="0.3">
      <c r="C17" s="129"/>
      <c r="D17" s="129"/>
      <c r="F17" s="63" t="s">
        <v>224</v>
      </c>
      <c r="G17" s="64">
        <v>45153</v>
      </c>
      <c r="I17" s="97" t="s">
        <v>241</v>
      </c>
      <c r="J17" s="100">
        <v>1000000</v>
      </c>
    </row>
    <row r="18" spans="3:10" x14ac:dyDescent="0.3">
      <c r="C18" s="129"/>
      <c r="D18" s="129"/>
      <c r="F18" s="63" t="s">
        <v>225</v>
      </c>
      <c r="G18" s="64">
        <v>45231</v>
      </c>
      <c r="I18" s="97" t="s">
        <v>242</v>
      </c>
      <c r="J18" s="106">
        <f>'Diagramme de Gantt'!N12</f>
        <v>0.46893333333333331</v>
      </c>
    </row>
    <row r="19" spans="3:10" x14ac:dyDescent="0.3">
      <c r="C19" s="129"/>
      <c r="D19" s="129"/>
      <c r="F19" s="63" t="s">
        <v>226</v>
      </c>
      <c r="G19" s="64">
        <v>45241</v>
      </c>
      <c r="H19" s="41"/>
      <c r="I19" s="97" t="s">
        <v>243</v>
      </c>
      <c r="J19" s="101">
        <f>'Suivi des coûts'!F10</f>
        <v>590115</v>
      </c>
    </row>
    <row r="20" spans="3:10" x14ac:dyDescent="0.3">
      <c r="C20" s="129"/>
      <c r="D20" s="129"/>
      <c r="F20" s="63" t="s">
        <v>227</v>
      </c>
      <c r="G20" s="64">
        <v>45285</v>
      </c>
      <c r="I20" s="97" t="s">
        <v>250</v>
      </c>
      <c r="J20" s="103">
        <f>J19/J18</f>
        <v>1258419.8180267273</v>
      </c>
    </row>
    <row r="21" spans="3:10" x14ac:dyDescent="0.3">
      <c r="C21" s="129"/>
      <c r="D21" s="129"/>
      <c r="H21" s="42"/>
      <c r="I21" s="99" t="s">
        <v>244</v>
      </c>
      <c r="J21" s="104">
        <f>(J20-J17)/J17</f>
        <v>0.25841981802672731</v>
      </c>
    </row>
    <row r="22" spans="3:10" x14ac:dyDescent="0.3">
      <c r="C22" s="129"/>
      <c r="D22" s="129"/>
    </row>
    <row r="23" spans="3:10" x14ac:dyDescent="0.3">
      <c r="C23" s="129"/>
      <c r="D23" s="129"/>
    </row>
    <row r="24" spans="3:10" x14ac:dyDescent="0.3">
      <c r="C24" s="129"/>
      <c r="D24" s="129"/>
    </row>
  </sheetData>
  <mergeCells count="8">
    <mergeCell ref="J3:K3"/>
    <mergeCell ref="J2:K2"/>
    <mergeCell ref="J1:K1"/>
    <mergeCell ref="B6:D6"/>
    <mergeCell ref="AH5:AL5"/>
    <mergeCell ref="AD5:AF5"/>
    <mergeCell ref="F6:G6"/>
    <mergeCell ref="I6:J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Drop Down 8">
              <controlPr defaultSize="0" autoLine="0" autoPict="0" macro="[0]!change_langue">
                <anchor moveWithCells="1">
                  <from>
                    <xdr:col>10</xdr:col>
                    <xdr:colOff>784860</xdr:colOff>
                    <xdr:row>3</xdr:row>
                    <xdr:rowOff>99060</xdr:rowOff>
                  </from>
                  <to>
                    <xdr:col>11</xdr:col>
                    <xdr:colOff>1013460</xdr:colOff>
                    <xdr:row>3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2A2DA-8C4C-452C-9C71-7B8473D9CF17}">
  <sheetPr codeName="ShBackend">
    <tabColor rgb="FFC00000"/>
  </sheetPr>
  <dimension ref="A1:F42"/>
  <sheetViews>
    <sheetView showGridLines="0" topLeftCell="A18" workbookViewId="0">
      <selection activeCell="E40" sqref="E40"/>
    </sheetView>
  </sheetViews>
  <sheetFormatPr defaultColWidth="8.88671875" defaultRowHeight="14.4" x14ac:dyDescent="0.3"/>
  <cols>
    <col min="1" max="1" width="9.88671875" bestFit="1" customWidth="1"/>
    <col min="2" max="2" width="8.44140625" bestFit="1" customWidth="1"/>
    <col min="3" max="3" width="13" customWidth="1"/>
    <col min="4" max="4" width="12.33203125" customWidth="1"/>
    <col min="5" max="5" width="30.6640625" bestFit="1" customWidth="1"/>
    <col min="6" max="6" width="31.5546875" bestFit="1" customWidth="1"/>
  </cols>
  <sheetData>
    <row r="1" spans="1:3" x14ac:dyDescent="0.3">
      <c r="A1" s="27" t="s">
        <v>86</v>
      </c>
      <c r="B1" s="1" cm="1">
        <f t="array" ref="B1">_xlfn.IFS(IsDaysGantt,1,IsWeeksGant,7,IsMonthsGantt,30)</f>
        <v>1</v>
      </c>
      <c r="C1" s="1">
        <v>1</v>
      </c>
    </row>
    <row r="2" spans="1:3" x14ac:dyDescent="0.3">
      <c r="A2" s="27" t="s">
        <v>100</v>
      </c>
      <c r="B2" t="b">
        <v>0</v>
      </c>
    </row>
    <row r="3" spans="1:3" x14ac:dyDescent="0.3">
      <c r="A3" s="27" t="s">
        <v>172</v>
      </c>
      <c r="B3" t="b">
        <f>RadioBtnResult=1</f>
        <v>1</v>
      </c>
    </row>
    <row r="4" spans="1:3" x14ac:dyDescent="0.3">
      <c r="A4" s="27" t="s">
        <v>170</v>
      </c>
      <c r="B4" s="4" t="b">
        <f>RadioBtnResult=2</f>
        <v>0</v>
      </c>
    </row>
    <row r="5" spans="1:3" x14ac:dyDescent="0.3">
      <c r="A5" s="27" t="s">
        <v>171</v>
      </c>
      <c r="B5" t="b">
        <f>RadioBtnResult=3</f>
        <v>0</v>
      </c>
    </row>
    <row r="9" spans="1:3" x14ac:dyDescent="0.3">
      <c r="A9" t="s">
        <v>268</v>
      </c>
    </row>
    <row r="11" spans="1:3" x14ac:dyDescent="0.3">
      <c r="B11" s="114" t="s">
        <v>263</v>
      </c>
      <c r="C11" s="114" t="s">
        <v>264</v>
      </c>
    </row>
    <row r="12" spans="1:3" x14ac:dyDescent="0.3">
      <c r="A12" t="s">
        <v>259</v>
      </c>
      <c r="B12" s="41" t="str">
        <f>Paramétrage!J14</f>
        <v>15/07/2023</v>
      </c>
      <c r="C12" s="41" t="str">
        <f>Paramétrage!J11</f>
        <v>15/06/2023</v>
      </c>
    </row>
    <row r="14" spans="1:3" x14ac:dyDescent="0.3">
      <c r="A14" t="s">
        <v>261</v>
      </c>
      <c r="B14" s="118">
        <f>ROUNDUP(Paramétrage!J20,0)</f>
        <v>1258420</v>
      </c>
      <c r="C14" s="119">
        <f>Paramétrage!J17</f>
        <v>1000000</v>
      </c>
    </row>
    <row r="15" spans="1:3" x14ac:dyDescent="0.3">
      <c r="A15" t="s">
        <v>262</v>
      </c>
      <c r="B15" s="119">
        <f>Paramétrage!J19</f>
        <v>590115</v>
      </c>
      <c r="C15" s="119">
        <f>Paramétrage!J17</f>
        <v>1000000</v>
      </c>
    </row>
    <row r="18" spans="1:6" x14ac:dyDescent="0.3">
      <c r="B18" s="4"/>
    </row>
    <row r="19" spans="1:6" x14ac:dyDescent="0.3">
      <c r="A19" t="s">
        <v>260</v>
      </c>
    </row>
    <row r="20" spans="1:6" x14ac:dyDescent="0.3">
      <c r="A20" s="1" t="s">
        <v>265</v>
      </c>
      <c r="B20" s="115">
        <v>1</v>
      </c>
    </row>
    <row r="21" spans="1:6" x14ac:dyDescent="0.3">
      <c r="A21" s="1" t="s">
        <v>266</v>
      </c>
      <c r="B21" s="116">
        <f>Paramétrage!$J$18</f>
        <v>0.46893333333333331</v>
      </c>
      <c r="C21" s="116"/>
    </row>
    <row r="22" spans="1:6" x14ac:dyDescent="0.3">
      <c r="A22" s="1" t="s">
        <v>267</v>
      </c>
      <c r="B22" s="116">
        <f>B20-B21</f>
        <v>0.53106666666666669</v>
      </c>
    </row>
    <row r="26" spans="1:6" x14ac:dyDescent="0.3">
      <c r="A26" t="s">
        <v>269</v>
      </c>
    </row>
    <row r="27" spans="1:6" x14ac:dyDescent="0.3">
      <c r="A27" s="120" t="s">
        <v>270</v>
      </c>
    </row>
    <row r="28" spans="1:6" x14ac:dyDescent="0.3">
      <c r="A28" s="121" t="s">
        <v>271</v>
      </c>
      <c r="B28" t="str">
        <f>ROUNDUP(Paramétrage!$J$16 * 100, 0) &amp; IF(Paramétrage!$J$16&gt;0,E28, F28)</f>
        <v>33% en retard par rapport au planning.</v>
      </c>
      <c r="E28" t="s">
        <v>479</v>
      </c>
      <c r="F28" t="s">
        <v>480</v>
      </c>
    </row>
    <row r="29" spans="1:6" x14ac:dyDescent="0.3">
      <c r="A29" s="75" t="s">
        <v>272</v>
      </c>
      <c r="B29" s="122" t="str">
        <f>COUNTIF(TabProjet[Point], ".") - COUNTIF(TabProjet[Thème], "Done") &amp; E29</f>
        <v>33 activités non terminées.</v>
      </c>
      <c r="E29" t="s">
        <v>481</v>
      </c>
    </row>
    <row r="30" spans="1:6" x14ac:dyDescent="0.3">
      <c r="A30" s="75" t="s">
        <v>273</v>
      </c>
      <c r="B30" s="122" t="str">
        <f>COUNTIF(TabProjet[Thème], "Done") &amp; E30</f>
        <v>2 activités terminées."</v>
      </c>
      <c r="E30" t="s">
        <v>482</v>
      </c>
    </row>
    <row r="31" spans="1:6" x14ac:dyDescent="0.3">
      <c r="A31" s="75" t="s">
        <v>274</v>
      </c>
      <c r="B31" t="str">
        <f>ROUNDUP(Paramétrage!$J$21 * 100, 0) &amp; IF(Paramétrage!$J$21&gt;0,E31, F31)</f>
        <v>26% en surconsommation.</v>
      </c>
      <c r="E31" t="s">
        <v>483</v>
      </c>
      <c r="F31" t="s">
        <v>484</v>
      </c>
    </row>
    <row r="33" spans="1:2" x14ac:dyDescent="0.3">
      <c r="A33" s="120" t="s">
        <v>273</v>
      </c>
    </row>
    <row r="34" spans="1:2" x14ac:dyDescent="0.3">
      <c r="A34" s="75" t="s">
        <v>275</v>
      </c>
    </row>
    <row r="35" spans="1:2" x14ac:dyDescent="0.3">
      <c r="A35" s="75" t="s">
        <v>276</v>
      </c>
    </row>
    <row r="38" spans="1:2" x14ac:dyDescent="0.3">
      <c r="A38" t="s">
        <v>7</v>
      </c>
      <c r="B38" t="s">
        <v>281</v>
      </c>
    </row>
    <row r="39" spans="1:2" x14ac:dyDescent="0.3">
      <c r="A39" t="s">
        <v>495</v>
      </c>
      <c r="B39">
        <v>9</v>
      </c>
    </row>
    <row r="40" spans="1:2" x14ac:dyDescent="0.3">
      <c r="A40" t="s">
        <v>280</v>
      </c>
      <c r="B40">
        <v>2</v>
      </c>
    </row>
    <row r="41" spans="1:2" x14ac:dyDescent="0.3">
      <c r="A41" t="s">
        <v>494</v>
      </c>
      <c r="B41">
        <v>5</v>
      </c>
    </row>
    <row r="42" spans="1:2" x14ac:dyDescent="0.3">
      <c r="A42" t="s">
        <v>493</v>
      </c>
      <c r="B42">
        <v>19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F7D83-F16D-4C45-81C0-60D6ABCCE745}">
  <sheetPr codeName="ShLangue"/>
  <dimension ref="A1:F174"/>
  <sheetViews>
    <sheetView showGridLines="0" topLeftCell="A115" workbookViewId="0">
      <selection activeCell="B130" sqref="B130"/>
    </sheetView>
  </sheetViews>
  <sheetFormatPr defaultColWidth="9.109375" defaultRowHeight="14.4" x14ac:dyDescent="0.3"/>
  <cols>
    <col min="1" max="1" width="57.33203125" customWidth="1"/>
    <col min="2" max="2" width="57.33203125" style="75" bestFit="1" customWidth="1"/>
    <col min="6" max="6" width="15" customWidth="1"/>
  </cols>
  <sheetData>
    <row r="1" spans="1:6" x14ac:dyDescent="0.3">
      <c r="A1" s="1" t="s">
        <v>282</v>
      </c>
      <c r="B1" s="121" t="s">
        <v>283</v>
      </c>
      <c r="F1" t="s">
        <v>284</v>
      </c>
    </row>
    <row r="2" spans="1:6" x14ac:dyDescent="0.3">
      <c r="A2" s="121" t="s">
        <v>96</v>
      </c>
      <c r="B2" s="121" t="s">
        <v>285</v>
      </c>
      <c r="F2" t="s">
        <v>283</v>
      </c>
    </row>
    <row r="3" spans="1:6" x14ac:dyDescent="0.3">
      <c r="A3" s="130" t="s">
        <v>97</v>
      </c>
      <c r="B3" s="121" t="s">
        <v>286</v>
      </c>
      <c r="F3" t="s">
        <v>282</v>
      </c>
    </row>
    <row r="4" spans="1:6" x14ac:dyDescent="0.3">
      <c r="A4" s="121" t="s">
        <v>98</v>
      </c>
      <c r="B4" s="121" t="s">
        <v>287</v>
      </c>
    </row>
    <row r="5" spans="1:6" x14ac:dyDescent="0.3">
      <c r="A5" s="121" t="s">
        <v>107</v>
      </c>
      <c r="B5" s="121" t="s">
        <v>288</v>
      </c>
    </row>
    <row r="6" spans="1:6" x14ac:dyDescent="0.3">
      <c r="A6" s="121" t="s">
        <v>289</v>
      </c>
      <c r="B6" s="121" t="s">
        <v>290</v>
      </c>
    </row>
    <row r="7" spans="1:6" x14ac:dyDescent="0.3">
      <c r="A7" s="121" t="s">
        <v>291</v>
      </c>
      <c r="B7" s="121" t="s">
        <v>292</v>
      </c>
    </row>
    <row r="8" spans="1:6" x14ac:dyDescent="0.3">
      <c r="A8" s="121" t="s">
        <v>293</v>
      </c>
      <c r="B8" s="121" t="s">
        <v>294</v>
      </c>
    </row>
    <row r="9" spans="1:6" x14ac:dyDescent="0.3">
      <c r="A9" s="121" t="s">
        <v>295</v>
      </c>
      <c r="B9" s="121" t="s">
        <v>296</v>
      </c>
    </row>
    <row r="10" spans="1:6" x14ac:dyDescent="0.3">
      <c r="A10" s="121" t="s">
        <v>232</v>
      </c>
      <c r="B10" s="121" t="s">
        <v>297</v>
      </c>
    </row>
    <row r="11" spans="1:6" x14ac:dyDescent="0.3">
      <c r="A11" s="121" t="s">
        <v>233</v>
      </c>
      <c r="B11" s="121" t="s">
        <v>298</v>
      </c>
    </row>
    <row r="12" spans="1:6" x14ac:dyDescent="0.3">
      <c r="A12" s="121" t="s">
        <v>234</v>
      </c>
      <c r="B12" s="121" t="s">
        <v>299</v>
      </c>
    </row>
    <row r="13" spans="1:6" x14ac:dyDescent="0.3">
      <c r="A13" s="121" t="s">
        <v>102</v>
      </c>
      <c r="B13" s="121" t="s">
        <v>102</v>
      </c>
    </row>
    <row r="14" spans="1:6" x14ac:dyDescent="0.3">
      <c r="A14" s="121" t="s">
        <v>103</v>
      </c>
      <c r="B14" s="121" t="s">
        <v>300</v>
      </c>
    </row>
    <row r="15" spans="1:6" x14ac:dyDescent="0.3">
      <c r="A15" s="121" t="s">
        <v>104</v>
      </c>
      <c r="B15" s="121" t="s">
        <v>301</v>
      </c>
    </row>
    <row r="16" spans="1:6" x14ac:dyDescent="0.3">
      <c r="A16" s="121" t="s">
        <v>108</v>
      </c>
      <c r="B16" s="121" t="s">
        <v>302</v>
      </c>
    </row>
    <row r="17" spans="1:2" x14ac:dyDescent="0.3">
      <c r="A17" s="121" t="s">
        <v>230</v>
      </c>
      <c r="B17" s="121" t="s">
        <v>303</v>
      </c>
    </row>
    <row r="18" spans="1:2" x14ac:dyDescent="0.3">
      <c r="A18" s="121" t="s">
        <v>228</v>
      </c>
      <c r="B18" s="121" t="s">
        <v>304</v>
      </c>
    </row>
    <row r="19" spans="1:2" x14ac:dyDescent="0.3">
      <c r="A19" s="121" t="s">
        <v>229</v>
      </c>
      <c r="B19" s="121" t="s">
        <v>229</v>
      </c>
    </row>
    <row r="20" spans="1:2" x14ac:dyDescent="0.3">
      <c r="A20" s="121" t="s">
        <v>218</v>
      </c>
      <c r="B20" s="121" t="s">
        <v>305</v>
      </c>
    </row>
    <row r="21" spans="1:2" x14ac:dyDescent="0.3">
      <c r="A21" s="121" t="s">
        <v>219</v>
      </c>
      <c r="B21" s="121" t="s">
        <v>306</v>
      </c>
    </row>
    <row r="22" spans="1:2" x14ac:dyDescent="0.3">
      <c r="A22" s="121" t="s">
        <v>220</v>
      </c>
      <c r="B22" s="121" t="s">
        <v>307</v>
      </c>
    </row>
    <row r="23" spans="1:2" x14ac:dyDescent="0.3">
      <c r="A23" s="131">
        <v>16565</v>
      </c>
      <c r="B23" s="121" t="s">
        <v>308</v>
      </c>
    </row>
    <row r="24" spans="1:2" x14ac:dyDescent="0.3">
      <c r="A24" s="121" t="s">
        <v>221</v>
      </c>
      <c r="B24" s="121" t="s">
        <v>309</v>
      </c>
    </row>
    <row r="25" spans="1:2" x14ac:dyDescent="0.3">
      <c r="A25" s="121" t="s">
        <v>222</v>
      </c>
      <c r="B25" s="121" t="s">
        <v>310</v>
      </c>
    </row>
    <row r="26" spans="1:2" x14ac:dyDescent="0.3">
      <c r="A26" s="121" t="s">
        <v>223</v>
      </c>
      <c r="B26" s="121" t="s">
        <v>311</v>
      </c>
    </row>
    <row r="27" spans="1:2" x14ac:dyDescent="0.3">
      <c r="A27" s="121" t="s">
        <v>224</v>
      </c>
      <c r="B27" s="121" t="s">
        <v>312</v>
      </c>
    </row>
    <row r="28" spans="1:2" x14ac:dyDescent="0.3">
      <c r="A28" s="121" t="s">
        <v>225</v>
      </c>
      <c r="B28" s="121" t="s">
        <v>313</v>
      </c>
    </row>
    <row r="29" spans="1:2" x14ac:dyDescent="0.3">
      <c r="A29" s="121" t="s">
        <v>226</v>
      </c>
      <c r="B29" s="121" t="s">
        <v>314</v>
      </c>
    </row>
    <row r="30" spans="1:2" x14ac:dyDescent="0.3">
      <c r="A30" s="121" t="s">
        <v>227</v>
      </c>
      <c r="B30" s="121" t="s">
        <v>315</v>
      </c>
    </row>
    <row r="31" spans="1:2" x14ac:dyDescent="0.3">
      <c r="A31" s="121" t="s">
        <v>316</v>
      </c>
      <c r="B31" s="121" t="s">
        <v>316</v>
      </c>
    </row>
    <row r="32" spans="1:2" x14ac:dyDescent="0.3">
      <c r="A32" s="121" t="s">
        <v>317</v>
      </c>
      <c r="B32" s="121" t="s">
        <v>318</v>
      </c>
    </row>
    <row r="33" spans="1:2" x14ac:dyDescent="0.3">
      <c r="A33" s="130" t="s">
        <v>319</v>
      </c>
      <c r="B33" s="121" t="s">
        <v>320</v>
      </c>
    </row>
    <row r="34" spans="1:2" x14ac:dyDescent="0.3">
      <c r="A34" s="121" t="s">
        <v>321</v>
      </c>
      <c r="B34" s="121" t="s">
        <v>322</v>
      </c>
    </row>
    <row r="35" spans="1:2" x14ac:dyDescent="0.3">
      <c r="A35" s="130" t="s">
        <v>323</v>
      </c>
      <c r="B35" s="121" t="s">
        <v>324</v>
      </c>
    </row>
    <row r="36" spans="1:2" x14ac:dyDescent="0.3">
      <c r="A36" s="121" t="s">
        <v>325</v>
      </c>
      <c r="B36" s="121" t="s">
        <v>326</v>
      </c>
    </row>
    <row r="37" spans="1:2" x14ac:dyDescent="0.3">
      <c r="A37" s="121" t="s">
        <v>327</v>
      </c>
      <c r="B37" s="121" t="s">
        <v>327</v>
      </c>
    </row>
    <row r="38" spans="1:2" x14ac:dyDescent="0.3">
      <c r="A38" s="121" t="s">
        <v>328</v>
      </c>
      <c r="B38" s="121" t="s">
        <v>329</v>
      </c>
    </row>
    <row r="39" spans="1:2" x14ac:dyDescent="0.3">
      <c r="A39" s="121" t="s">
        <v>330</v>
      </c>
      <c r="B39" s="121" t="s">
        <v>331</v>
      </c>
    </row>
    <row r="40" spans="1:2" x14ac:dyDescent="0.3">
      <c r="A40" s="121" t="s">
        <v>332</v>
      </c>
      <c r="B40" s="121" t="s">
        <v>333</v>
      </c>
    </row>
    <row r="41" spans="1:2" x14ac:dyDescent="0.3">
      <c r="A41" s="121" t="s">
        <v>334</v>
      </c>
      <c r="B41" s="121" t="s">
        <v>335</v>
      </c>
    </row>
    <row r="42" spans="1:2" x14ac:dyDescent="0.3">
      <c r="A42" s="130" t="s">
        <v>336</v>
      </c>
      <c r="B42" s="121" t="s">
        <v>337</v>
      </c>
    </row>
    <row r="43" spans="1:2" x14ac:dyDescent="0.3">
      <c r="A43" s="121" t="s">
        <v>338</v>
      </c>
      <c r="B43" s="121" t="s">
        <v>339</v>
      </c>
    </row>
    <row r="44" spans="1:2" x14ac:dyDescent="0.3">
      <c r="A44" s="121" t="s">
        <v>340</v>
      </c>
      <c r="B44" s="121" t="s">
        <v>341</v>
      </c>
    </row>
    <row r="45" spans="1:2" x14ac:dyDescent="0.3">
      <c r="A45" s="130" t="s">
        <v>342</v>
      </c>
      <c r="B45" s="121" t="s">
        <v>343</v>
      </c>
    </row>
    <row r="46" spans="1:2" x14ac:dyDescent="0.3">
      <c r="A46" s="121" t="s">
        <v>344</v>
      </c>
      <c r="B46" s="121" t="s">
        <v>345</v>
      </c>
    </row>
    <row r="47" spans="1:2" x14ac:dyDescent="0.3">
      <c r="A47" s="130" t="s">
        <v>346</v>
      </c>
      <c r="B47" s="121" t="s">
        <v>347</v>
      </c>
    </row>
    <row r="48" spans="1:2" x14ac:dyDescent="0.3">
      <c r="A48" s="121" t="s">
        <v>348</v>
      </c>
      <c r="B48" s="121" t="s">
        <v>349</v>
      </c>
    </row>
    <row r="49" spans="1:2" x14ac:dyDescent="0.3">
      <c r="A49" s="121" t="s">
        <v>350</v>
      </c>
      <c r="B49" s="121" t="s">
        <v>351</v>
      </c>
    </row>
    <row r="50" spans="1:2" x14ac:dyDescent="0.3">
      <c r="A50" s="121" t="s">
        <v>352</v>
      </c>
      <c r="B50" s="121" t="s">
        <v>353</v>
      </c>
    </row>
    <row r="51" spans="1:2" x14ac:dyDescent="0.3">
      <c r="A51" s="121" t="s">
        <v>354</v>
      </c>
      <c r="B51" s="121" t="s">
        <v>353</v>
      </c>
    </row>
    <row r="52" spans="1:2" x14ac:dyDescent="0.3">
      <c r="A52" s="130" t="s">
        <v>355</v>
      </c>
      <c r="B52" s="121" t="s">
        <v>356</v>
      </c>
    </row>
    <row r="53" spans="1:2" x14ac:dyDescent="0.3">
      <c r="A53" s="121" t="s">
        <v>357</v>
      </c>
      <c r="B53" s="121" t="s">
        <v>358</v>
      </c>
    </row>
    <row r="54" spans="1:2" x14ac:dyDescent="0.3">
      <c r="A54" s="130" t="s">
        <v>0</v>
      </c>
      <c r="B54" s="121" t="s">
        <v>0</v>
      </c>
    </row>
    <row r="55" spans="1:2" x14ac:dyDescent="0.3">
      <c r="A55" s="121" t="s">
        <v>359</v>
      </c>
      <c r="B55" s="121" t="s">
        <v>360</v>
      </c>
    </row>
    <row r="56" spans="1:2" x14ac:dyDescent="0.3">
      <c r="A56" s="121" t="s">
        <v>361</v>
      </c>
      <c r="B56" s="121" t="s">
        <v>362</v>
      </c>
    </row>
    <row r="57" spans="1:2" x14ac:dyDescent="0.3">
      <c r="A57" s="121" t="s">
        <v>363</v>
      </c>
      <c r="B57" s="121" t="s">
        <v>364</v>
      </c>
    </row>
    <row r="58" spans="1:2" x14ac:dyDescent="0.3">
      <c r="A58" s="121" t="s">
        <v>365</v>
      </c>
      <c r="B58" s="121" t="s">
        <v>366</v>
      </c>
    </row>
    <row r="59" spans="1:2" x14ac:dyDescent="0.3">
      <c r="A59" s="121" t="s">
        <v>284</v>
      </c>
      <c r="B59" s="121" t="s">
        <v>367</v>
      </c>
    </row>
    <row r="60" spans="1:2" x14ac:dyDescent="0.3">
      <c r="A60" s="19" t="s">
        <v>109</v>
      </c>
      <c r="B60" s="121" t="s">
        <v>368</v>
      </c>
    </row>
    <row r="61" spans="1:2" x14ac:dyDescent="0.3">
      <c r="A61" s="19" t="s">
        <v>110</v>
      </c>
      <c r="B61" s="121" t="s">
        <v>369</v>
      </c>
    </row>
    <row r="62" spans="1:2" x14ac:dyDescent="0.3">
      <c r="A62" s="19" t="s">
        <v>111</v>
      </c>
      <c r="B62" s="121" t="s">
        <v>370</v>
      </c>
    </row>
    <row r="63" spans="1:2" x14ac:dyDescent="0.3">
      <c r="A63" s="19" t="s">
        <v>112</v>
      </c>
      <c r="B63" s="121" t="s">
        <v>371</v>
      </c>
    </row>
    <row r="64" spans="1:2" x14ac:dyDescent="0.3">
      <c r="A64" s="19" t="s">
        <v>113</v>
      </c>
      <c r="B64" s="121" t="s">
        <v>372</v>
      </c>
    </row>
    <row r="65" spans="1:2" x14ac:dyDescent="0.3">
      <c r="A65" s="19" t="s">
        <v>114</v>
      </c>
      <c r="B65" s="121" t="s">
        <v>373</v>
      </c>
    </row>
    <row r="66" spans="1:2" x14ac:dyDescent="0.3">
      <c r="A66" s="19" t="s">
        <v>115</v>
      </c>
      <c r="B66" s="121" t="s">
        <v>374</v>
      </c>
    </row>
    <row r="67" spans="1:2" x14ac:dyDescent="0.3">
      <c r="A67" s="19" t="s">
        <v>116</v>
      </c>
      <c r="B67" s="121" t="s">
        <v>375</v>
      </c>
    </row>
    <row r="68" spans="1:2" x14ac:dyDescent="0.3">
      <c r="A68" s="19" t="s">
        <v>117</v>
      </c>
      <c r="B68" s="121" t="s">
        <v>376</v>
      </c>
    </row>
    <row r="69" spans="1:2" x14ac:dyDescent="0.3">
      <c r="A69" s="19" t="s">
        <v>118</v>
      </c>
      <c r="B69" s="121" t="s">
        <v>377</v>
      </c>
    </row>
    <row r="70" spans="1:2" x14ac:dyDescent="0.3">
      <c r="A70" s="19" t="s">
        <v>119</v>
      </c>
      <c r="B70" s="121" t="s">
        <v>378</v>
      </c>
    </row>
    <row r="71" spans="1:2" ht="28.8" x14ac:dyDescent="0.3">
      <c r="A71" s="19" t="s">
        <v>120</v>
      </c>
      <c r="B71" s="121" t="s">
        <v>379</v>
      </c>
    </row>
    <row r="72" spans="1:2" x14ac:dyDescent="0.3">
      <c r="A72" s="19" t="s">
        <v>121</v>
      </c>
      <c r="B72" s="121" t="s">
        <v>380</v>
      </c>
    </row>
    <row r="73" spans="1:2" x14ac:dyDescent="0.3">
      <c r="A73" s="19" t="s">
        <v>122</v>
      </c>
      <c r="B73" s="121" t="s">
        <v>381</v>
      </c>
    </row>
    <row r="74" spans="1:2" x14ac:dyDescent="0.3">
      <c r="A74" s="19" t="s">
        <v>123</v>
      </c>
      <c r="B74" s="121" t="s">
        <v>382</v>
      </c>
    </row>
    <row r="75" spans="1:2" x14ac:dyDescent="0.3">
      <c r="A75" s="19" t="s">
        <v>124</v>
      </c>
      <c r="B75" s="121" t="s">
        <v>383</v>
      </c>
    </row>
    <row r="76" spans="1:2" x14ac:dyDescent="0.3">
      <c r="A76" s="19" t="s">
        <v>125</v>
      </c>
      <c r="B76" s="121" t="s">
        <v>384</v>
      </c>
    </row>
    <row r="77" spans="1:2" x14ac:dyDescent="0.3">
      <c r="A77" s="19" t="s">
        <v>126</v>
      </c>
      <c r="B77" s="121" t="s">
        <v>385</v>
      </c>
    </row>
    <row r="78" spans="1:2" x14ac:dyDescent="0.3">
      <c r="A78" s="19" t="s">
        <v>127</v>
      </c>
      <c r="B78" s="121" t="s">
        <v>386</v>
      </c>
    </row>
    <row r="79" spans="1:2" x14ac:dyDescent="0.3">
      <c r="A79" s="19" t="s">
        <v>128</v>
      </c>
      <c r="B79" s="121" t="s">
        <v>387</v>
      </c>
    </row>
    <row r="80" spans="1:2" x14ac:dyDescent="0.3">
      <c r="A80" s="19" t="s">
        <v>129</v>
      </c>
      <c r="B80" s="121" t="s">
        <v>388</v>
      </c>
    </row>
    <row r="81" spans="1:2" x14ac:dyDescent="0.3">
      <c r="A81" s="22" t="s">
        <v>178</v>
      </c>
      <c r="B81" s="121" t="s">
        <v>389</v>
      </c>
    </row>
    <row r="82" spans="1:2" x14ac:dyDescent="0.3">
      <c r="A82" s="19" t="s">
        <v>130</v>
      </c>
      <c r="B82" s="121" t="s">
        <v>390</v>
      </c>
    </row>
    <row r="83" spans="1:2" x14ac:dyDescent="0.3">
      <c r="A83" s="19" t="s">
        <v>131</v>
      </c>
      <c r="B83" s="121" t="s">
        <v>391</v>
      </c>
    </row>
    <row r="84" spans="1:2" x14ac:dyDescent="0.3">
      <c r="A84" s="19" t="s">
        <v>132</v>
      </c>
      <c r="B84" s="121" t="s">
        <v>392</v>
      </c>
    </row>
    <row r="85" spans="1:2" x14ac:dyDescent="0.3">
      <c r="A85" s="19" t="s">
        <v>133</v>
      </c>
      <c r="B85" s="121" t="s">
        <v>393</v>
      </c>
    </row>
    <row r="86" spans="1:2" x14ac:dyDescent="0.3">
      <c r="A86" s="19" t="s">
        <v>134</v>
      </c>
      <c r="B86" s="121" t="s">
        <v>394</v>
      </c>
    </row>
    <row r="87" spans="1:2" x14ac:dyDescent="0.3">
      <c r="A87" s="19" t="s">
        <v>135</v>
      </c>
      <c r="B87" s="121" t="s">
        <v>395</v>
      </c>
    </row>
    <row r="88" spans="1:2" x14ac:dyDescent="0.3">
      <c r="A88" s="19" t="s">
        <v>136</v>
      </c>
      <c r="B88" s="121" t="s">
        <v>396</v>
      </c>
    </row>
    <row r="89" spans="1:2" x14ac:dyDescent="0.3">
      <c r="A89" s="19" t="s">
        <v>137</v>
      </c>
      <c r="B89" s="121" t="s">
        <v>397</v>
      </c>
    </row>
    <row r="90" spans="1:2" x14ac:dyDescent="0.3">
      <c r="A90" s="19" t="s">
        <v>138</v>
      </c>
      <c r="B90" s="121" t="s">
        <v>398</v>
      </c>
    </row>
    <row r="91" spans="1:2" x14ac:dyDescent="0.3">
      <c r="A91" s="19" t="s">
        <v>139</v>
      </c>
      <c r="B91" s="121" t="s">
        <v>399</v>
      </c>
    </row>
    <row r="92" spans="1:2" x14ac:dyDescent="0.3">
      <c r="A92" s="19" t="s">
        <v>140</v>
      </c>
      <c r="B92" s="121" t="s">
        <v>400</v>
      </c>
    </row>
    <row r="93" spans="1:2" x14ac:dyDescent="0.3">
      <c r="A93" s="19" t="s">
        <v>141</v>
      </c>
      <c r="B93" s="121" t="s">
        <v>401</v>
      </c>
    </row>
    <row r="94" spans="1:2" x14ac:dyDescent="0.3">
      <c r="A94" s="19" t="s">
        <v>142</v>
      </c>
      <c r="B94" s="121" t="s">
        <v>402</v>
      </c>
    </row>
    <row r="95" spans="1:2" x14ac:dyDescent="0.3">
      <c r="A95" s="19" t="s">
        <v>143</v>
      </c>
      <c r="B95" s="121" t="s">
        <v>403</v>
      </c>
    </row>
    <row r="96" spans="1:2" x14ac:dyDescent="0.3">
      <c r="A96" s="19" t="s">
        <v>144</v>
      </c>
      <c r="B96" s="121" t="s">
        <v>404</v>
      </c>
    </row>
    <row r="97" spans="1:2" x14ac:dyDescent="0.3">
      <c r="A97" s="19" t="s">
        <v>145</v>
      </c>
      <c r="B97" s="121" t="s">
        <v>405</v>
      </c>
    </row>
    <row r="98" spans="1:2" x14ac:dyDescent="0.3">
      <c r="A98" s="19" t="s">
        <v>146</v>
      </c>
      <c r="B98" s="121" t="s">
        <v>406</v>
      </c>
    </row>
    <row r="99" spans="1:2" x14ac:dyDescent="0.3">
      <c r="A99" s="19" t="s">
        <v>147</v>
      </c>
      <c r="B99" s="121" t="s">
        <v>407</v>
      </c>
    </row>
    <row r="100" spans="1:2" x14ac:dyDescent="0.3">
      <c r="A100" s="121" t="s">
        <v>408</v>
      </c>
      <c r="B100" s="121" t="s">
        <v>409</v>
      </c>
    </row>
    <row r="101" spans="1:2" x14ac:dyDescent="0.3">
      <c r="A101" s="121" t="s">
        <v>410</v>
      </c>
      <c r="B101" s="121" t="s">
        <v>411</v>
      </c>
    </row>
    <row r="102" spans="1:2" x14ac:dyDescent="0.3">
      <c r="A102" s="121" t="s">
        <v>252</v>
      </c>
      <c r="B102" s="121" t="s">
        <v>412</v>
      </c>
    </row>
    <row r="103" spans="1:2" x14ac:dyDescent="0.3">
      <c r="A103" s="121" t="s">
        <v>413</v>
      </c>
      <c r="B103" s="121" t="s">
        <v>176</v>
      </c>
    </row>
    <row r="104" spans="1:2" x14ac:dyDescent="0.3">
      <c r="A104" s="121" t="s">
        <v>414</v>
      </c>
      <c r="B104" s="121" t="s">
        <v>415</v>
      </c>
    </row>
    <row r="105" spans="1:2" x14ac:dyDescent="0.3">
      <c r="A105" s="121" t="s">
        <v>416</v>
      </c>
      <c r="B105" s="121" t="s">
        <v>417</v>
      </c>
    </row>
    <row r="106" spans="1:2" x14ac:dyDescent="0.3">
      <c r="A106" s="121" t="s">
        <v>418</v>
      </c>
      <c r="B106" s="121" t="s">
        <v>419</v>
      </c>
    </row>
    <row r="107" spans="1:2" x14ac:dyDescent="0.3">
      <c r="A107" s="121" t="s">
        <v>420</v>
      </c>
      <c r="B107" s="121" t="s">
        <v>421</v>
      </c>
    </row>
    <row r="108" spans="1:2" x14ac:dyDescent="0.3">
      <c r="A108" s="121" t="s">
        <v>88</v>
      </c>
      <c r="B108" s="121" t="s">
        <v>422</v>
      </c>
    </row>
    <row r="109" spans="1:2" x14ac:dyDescent="0.3">
      <c r="A109" s="121" t="s">
        <v>89</v>
      </c>
      <c r="B109" s="121" t="s">
        <v>423</v>
      </c>
    </row>
    <row r="110" spans="1:2" x14ac:dyDescent="0.3">
      <c r="A110" s="121" t="s">
        <v>90</v>
      </c>
      <c r="B110" s="121" t="s">
        <v>424</v>
      </c>
    </row>
    <row r="111" spans="1:2" x14ac:dyDescent="0.3">
      <c r="A111" s="121" t="s">
        <v>235</v>
      </c>
      <c r="B111" s="121" t="s">
        <v>425</v>
      </c>
    </row>
    <row r="112" spans="1:2" x14ac:dyDescent="0.3">
      <c r="A112" s="121" t="s">
        <v>1</v>
      </c>
      <c r="B112" s="121" t="s">
        <v>426</v>
      </c>
    </row>
    <row r="113" spans="1:2" x14ac:dyDescent="0.3">
      <c r="A113" s="121" t="s">
        <v>101</v>
      </c>
      <c r="B113" s="121" t="s">
        <v>281</v>
      </c>
    </row>
    <row r="114" spans="1:2" x14ac:dyDescent="0.3">
      <c r="A114" s="121" t="s">
        <v>173</v>
      </c>
      <c r="B114" s="121" t="s">
        <v>427</v>
      </c>
    </row>
    <row r="115" spans="1:2" x14ac:dyDescent="0.3">
      <c r="A115" s="121" t="s">
        <v>3</v>
      </c>
      <c r="B115" s="121" t="s">
        <v>428</v>
      </c>
    </row>
    <row r="116" spans="1:2" x14ac:dyDescent="0.3">
      <c r="A116" s="121" t="s">
        <v>429</v>
      </c>
      <c r="B116" s="121" t="s">
        <v>430</v>
      </c>
    </row>
    <row r="117" spans="1:2" x14ac:dyDescent="0.3">
      <c r="A117" s="121" t="s">
        <v>4</v>
      </c>
      <c r="B117" s="121" t="s">
        <v>431</v>
      </c>
    </row>
    <row r="118" spans="1:2" x14ac:dyDescent="0.3">
      <c r="A118" s="121" t="s">
        <v>231</v>
      </c>
      <c r="B118" s="121" t="s">
        <v>432</v>
      </c>
    </row>
    <row r="119" spans="1:2" x14ac:dyDescent="0.3">
      <c r="A119" s="121" t="s">
        <v>5</v>
      </c>
      <c r="B119" s="121" t="s">
        <v>5</v>
      </c>
    </row>
    <row r="120" spans="1:2" x14ac:dyDescent="0.3">
      <c r="A120" s="121" t="s">
        <v>6</v>
      </c>
      <c r="B120" s="121" t="s">
        <v>6</v>
      </c>
    </row>
    <row r="121" spans="1:2" x14ac:dyDescent="0.3">
      <c r="A121" s="121" t="s">
        <v>87</v>
      </c>
      <c r="B121" s="121" t="s">
        <v>433</v>
      </c>
    </row>
    <row r="122" spans="1:2" x14ac:dyDescent="0.3">
      <c r="A122" s="121" t="s">
        <v>236</v>
      </c>
      <c r="B122" s="121" t="s">
        <v>435</v>
      </c>
    </row>
    <row r="123" spans="1:2" x14ac:dyDescent="0.3">
      <c r="A123" s="121" t="s">
        <v>237</v>
      </c>
      <c r="B123" s="121" t="s">
        <v>436</v>
      </c>
    </row>
    <row r="124" spans="1:2" x14ac:dyDescent="0.3">
      <c r="A124" s="121" t="s">
        <v>249</v>
      </c>
      <c r="B124" s="121" t="s">
        <v>437</v>
      </c>
    </row>
    <row r="125" spans="1:2" x14ac:dyDescent="0.3">
      <c r="A125" s="121" t="s">
        <v>238</v>
      </c>
      <c r="B125" s="121" t="s">
        <v>438</v>
      </c>
    </row>
    <row r="126" spans="1:2" x14ac:dyDescent="0.3">
      <c r="A126" s="121" t="s">
        <v>239</v>
      </c>
      <c r="B126" s="121" t="s">
        <v>439</v>
      </c>
    </row>
    <row r="127" spans="1:2" x14ac:dyDescent="0.3">
      <c r="A127" s="121" t="s">
        <v>257</v>
      </c>
      <c r="B127" s="121" t="s">
        <v>440</v>
      </c>
    </row>
    <row r="128" spans="1:2" x14ac:dyDescent="0.3">
      <c r="A128" s="121" t="s">
        <v>240</v>
      </c>
      <c r="B128" s="121" t="s">
        <v>496</v>
      </c>
    </row>
    <row r="129" spans="1:2" x14ac:dyDescent="0.3">
      <c r="A129" s="121" t="s">
        <v>241</v>
      </c>
      <c r="B129" s="121" t="s">
        <v>441</v>
      </c>
    </row>
    <row r="130" spans="1:2" x14ac:dyDescent="0.3">
      <c r="A130" s="121" t="s">
        <v>242</v>
      </c>
      <c r="B130" s="121" t="s">
        <v>442</v>
      </c>
    </row>
    <row r="131" spans="1:2" x14ac:dyDescent="0.3">
      <c r="A131" s="121" t="s">
        <v>243</v>
      </c>
      <c r="B131" s="121" t="s">
        <v>443</v>
      </c>
    </row>
    <row r="132" spans="1:2" x14ac:dyDescent="0.3">
      <c r="A132" s="121" t="s">
        <v>250</v>
      </c>
      <c r="B132" s="121" t="s">
        <v>444</v>
      </c>
    </row>
    <row r="133" spans="1:2" x14ac:dyDescent="0.3">
      <c r="A133" s="121" t="s">
        <v>244</v>
      </c>
      <c r="B133" s="121" t="s">
        <v>445</v>
      </c>
    </row>
    <row r="134" spans="1:2" x14ac:dyDescent="0.3">
      <c r="A134" s="121" t="s">
        <v>258</v>
      </c>
      <c r="B134" s="121" t="s">
        <v>446</v>
      </c>
    </row>
    <row r="135" spans="1:2" x14ac:dyDescent="0.3">
      <c r="A135" s="121" t="s">
        <v>447</v>
      </c>
      <c r="B135" s="121" t="s">
        <v>449</v>
      </c>
    </row>
    <row r="136" spans="1:2" x14ac:dyDescent="0.3">
      <c r="A136" s="121" t="s">
        <v>448</v>
      </c>
      <c r="B136" s="121" t="s">
        <v>450</v>
      </c>
    </row>
    <row r="137" spans="1:2" x14ac:dyDescent="0.3">
      <c r="A137" s="121" t="s">
        <v>451</v>
      </c>
      <c r="B137" s="121" t="s">
        <v>452</v>
      </c>
    </row>
    <row r="138" spans="1:2" x14ac:dyDescent="0.3">
      <c r="A138" s="121" t="s">
        <v>252</v>
      </c>
      <c r="B138" s="121" t="s">
        <v>412</v>
      </c>
    </row>
    <row r="139" spans="1:2" x14ac:dyDescent="0.3">
      <c r="A139" s="121" t="s">
        <v>251</v>
      </c>
      <c r="B139" s="121" t="s">
        <v>454</v>
      </c>
    </row>
    <row r="140" spans="1:2" x14ac:dyDescent="0.3">
      <c r="A140" s="121" t="s">
        <v>253</v>
      </c>
      <c r="B140" s="121" t="s">
        <v>455</v>
      </c>
    </row>
    <row r="141" spans="1:2" ht="43.2" x14ac:dyDescent="0.3">
      <c r="A141" s="139" t="s">
        <v>453</v>
      </c>
      <c r="B141" s="139" t="s">
        <v>456</v>
      </c>
    </row>
    <row r="142" spans="1:2" x14ac:dyDescent="0.3">
      <c r="A142" s="121" t="s">
        <v>254</v>
      </c>
      <c r="B142" s="121" t="s">
        <v>457</v>
      </c>
    </row>
    <row r="143" spans="1:2" x14ac:dyDescent="0.3">
      <c r="A143" s="121" t="s">
        <v>255</v>
      </c>
      <c r="B143" s="121" t="s">
        <v>458</v>
      </c>
    </row>
    <row r="144" spans="1:2" ht="28.8" x14ac:dyDescent="0.3">
      <c r="A144" s="139" t="s">
        <v>468</v>
      </c>
      <c r="B144" s="139" t="s">
        <v>467</v>
      </c>
    </row>
    <row r="145" spans="1:2" ht="28.8" x14ac:dyDescent="0.3">
      <c r="A145" s="139" t="s">
        <v>465</v>
      </c>
      <c r="B145" s="139" t="s">
        <v>466</v>
      </c>
    </row>
    <row r="146" spans="1:2" ht="28.8" x14ac:dyDescent="0.3">
      <c r="A146" s="139" t="s">
        <v>461</v>
      </c>
      <c r="B146" s="139" t="s">
        <v>462</v>
      </c>
    </row>
    <row r="147" spans="1:2" x14ac:dyDescent="0.3">
      <c r="A147" s="123" t="s">
        <v>278</v>
      </c>
      <c r="B147" s="121" t="s">
        <v>457</v>
      </c>
    </row>
    <row r="148" spans="1:2" x14ac:dyDescent="0.3">
      <c r="A148" s="124" t="s">
        <v>277</v>
      </c>
      <c r="B148" s="121" t="s">
        <v>460</v>
      </c>
    </row>
    <row r="149" spans="1:2" x14ac:dyDescent="0.3">
      <c r="A149" s="124" t="s">
        <v>6</v>
      </c>
      <c r="B149" s="121" t="s">
        <v>6</v>
      </c>
    </row>
    <row r="150" spans="1:2" x14ac:dyDescent="0.3">
      <c r="A150" s="141" t="s">
        <v>279</v>
      </c>
      <c r="B150" s="121" t="s">
        <v>274</v>
      </c>
    </row>
    <row r="151" spans="1:2" ht="28.8" x14ac:dyDescent="0.3">
      <c r="A151" s="139" t="s">
        <v>463</v>
      </c>
      <c r="B151" s="139" t="s">
        <v>464</v>
      </c>
    </row>
    <row r="152" spans="1:2" x14ac:dyDescent="0.3">
      <c r="A152" s="121" t="s">
        <v>469</v>
      </c>
      <c r="B152" s="121" t="s">
        <v>470</v>
      </c>
    </row>
    <row r="153" spans="1:2" x14ac:dyDescent="0.3">
      <c r="A153" s="121" t="s">
        <v>472</v>
      </c>
      <c r="B153" s="121" t="s">
        <v>475</v>
      </c>
    </row>
    <row r="154" spans="1:2" x14ac:dyDescent="0.3">
      <c r="A154" s="121" t="s">
        <v>471</v>
      </c>
      <c r="B154" s="121" t="s">
        <v>476</v>
      </c>
    </row>
    <row r="155" spans="1:2" x14ac:dyDescent="0.3">
      <c r="A155" s="121" t="s">
        <v>474</v>
      </c>
      <c r="B155" s="121" t="s">
        <v>477</v>
      </c>
    </row>
    <row r="156" spans="1:2" x14ac:dyDescent="0.3">
      <c r="A156" s="121" t="s">
        <v>473</v>
      </c>
      <c r="B156" s="121" t="s">
        <v>478</v>
      </c>
    </row>
    <row r="157" spans="1:2" x14ac:dyDescent="0.3">
      <c r="A157" s="121" t="s">
        <v>479</v>
      </c>
      <c r="B157" s="121" t="s">
        <v>485</v>
      </c>
    </row>
    <row r="158" spans="1:2" x14ac:dyDescent="0.3">
      <c r="A158" s="121" t="s">
        <v>481</v>
      </c>
      <c r="B158" s="121" t="s">
        <v>489</v>
      </c>
    </row>
    <row r="159" spans="1:2" x14ac:dyDescent="0.3">
      <c r="A159" s="121" t="s">
        <v>482</v>
      </c>
      <c r="B159" s="121" t="s">
        <v>490</v>
      </c>
    </row>
    <row r="160" spans="1:2" x14ac:dyDescent="0.3">
      <c r="A160" s="121" t="s">
        <v>483</v>
      </c>
      <c r="B160" s="121" t="s">
        <v>486</v>
      </c>
    </row>
    <row r="161" spans="1:2" x14ac:dyDescent="0.3">
      <c r="A161" s="121" t="s">
        <v>480</v>
      </c>
      <c r="B161" s="121" t="s">
        <v>487</v>
      </c>
    </row>
    <row r="162" spans="1:2" x14ac:dyDescent="0.3">
      <c r="A162" s="121" t="s">
        <v>484</v>
      </c>
      <c r="B162" s="121" t="s">
        <v>488</v>
      </c>
    </row>
    <row r="163" spans="1:2" x14ac:dyDescent="0.3">
      <c r="A163" s="121" t="s">
        <v>260</v>
      </c>
      <c r="B163" s="139" t="s">
        <v>491</v>
      </c>
    </row>
    <row r="164" spans="1:2" x14ac:dyDescent="0.3">
      <c r="A164" s="121"/>
      <c r="B164" s="121"/>
    </row>
    <row r="165" spans="1:2" x14ac:dyDescent="0.3">
      <c r="A165" s="121"/>
      <c r="B165" s="121"/>
    </row>
    <row r="166" spans="1:2" x14ac:dyDescent="0.3">
      <c r="A166" s="121"/>
      <c r="B166" s="121"/>
    </row>
    <row r="167" spans="1:2" x14ac:dyDescent="0.3">
      <c r="A167" s="121"/>
      <c r="B167" s="121"/>
    </row>
    <row r="168" spans="1:2" x14ac:dyDescent="0.3">
      <c r="A168" s="121"/>
      <c r="B168" s="121"/>
    </row>
    <row r="169" spans="1:2" x14ac:dyDescent="0.3">
      <c r="A169" s="121"/>
      <c r="B169" s="121"/>
    </row>
    <row r="170" spans="1:2" x14ac:dyDescent="0.3">
      <c r="A170" s="121"/>
      <c r="B170" s="121"/>
    </row>
    <row r="171" spans="1:2" x14ac:dyDescent="0.3">
      <c r="A171" s="121"/>
      <c r="B171" s="121"/>
    </row>
    <row r="172" spans="1:2" x14ac:dyDescent="0.3">
      <c r="A172" s="121"/>
      <c r="B172" s="121"/>
    </row>
    <row r="173" spans="1:2" x14ac:dyDescent="0.3">
      <c r="A173" s="121"/>
      <c r="B173" s="121"/>
    </row>
    <row r="174" spans="1:2" x14ac:dyDescent="0.3">
      <c r="A174" s="121"/>
      <c r="B174" s="121"/>
    </row>
  </sheetData>
  <conditionalFormatting sqref="A2:A59">
    <cfRule type="duplicateValues" dxfId="85" priority="11"/>
  </conditionalFormatting>
  <conditionalFormatting sqref="B2:B59">
    <cfRule type="duplicateValues" dxfId="84" priority="12"/>
  </conditionalFormatting>
  <conditionalFormatting sqref="A60:A99">
    <cfRule type="expression" dxfId="83" priority="8" stopIfTrue="1">
      <formula>$C60&lt;&gt;""</formula>
    </cfRule>
  </conditionalFormatting>
  <conditionalFormatting sqref="A100:A103">
    <cfRule type="duplicateValues" dxfId="82" priority="6"/>
  </conditionalFormatting>
  <conditionalFormatting sqref="B100:B103">
    <cfRule type="duplicateValues" dxfId="81" priority="7"/>
  </conditionalFormatting>
  <conditionalFormatting sqref="A112:A120">
    <cfRule type="duplicateValues" dxfId="80" priority="2"/>
  </conditionalFormatting>
  <conditionalFormatting sqref="B112:B120">
    <cfRule type="duplicateValues" dxfId="79" priority="3"/>
  </conditionalFormatting>
  <conditionalFormatting sqref="B121">
    <cfRule type="duplicateValues" dxfId="78" priority="1"/>
  </conditionalFormatting>
  <conditionalFormatting sqref="A151:A174 A121:A146">
    <cfRule type="duplicateValues" dxfId="77" priority="29"/>
  </conditionalFormatting>
  <conditionalFormatting sqref="B122:B174 B60:B99">
    <cfRule type="duplicateValues" dxfId="76" priority="33"/>
  </conditionalFormatting>
  <conditionalFormatting sqref="A104:A111">
    <cfRule type="duplicateValues" dxfId="75" priority="34"/>
  </conditionalFormatting>
  <conditionalFormatting sqref="B104:B111">
    <cfRule type="duplicateValues" dxfId="74" priority="36"/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071FE6-E760-4034-AC0D-A72B296A77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Diagramme de Gantt</vt:lpstr>
      <vt:lpstr>Dashboard</vt:lpstr>
      <vt:lpstr>Suivi des coûts</vt:lpstr>
      <vt:lpstr>Historique écarts délais budget</vt:lpstr>
      <vt:lpstr>Paramétrage</vt:lpstr>
      <vt:lpstr>DaysToIncrement</vt:lpstr>
      <vt:lpstr>FirstMonthTheme</vt:lpstr>
      <vt:lpstr>GanttHeader</vt:lpstr>
      <vt:lpstr>GanttHeaderAll</vt:lpstr>
      <vt:lpstr>GanttHeaderDateWeeks</vt:lpstr>
      <vt:lpstr>GanttHeaderMonthsWeeks</vt:lpstr>
      <vt:lpstr>GanttHeaderYears</vt:lpstr>
      <vt:lpstr>IsDaysGantt</vt:lpstr>
      <vt:lpstr>IsMaximize</vt:lpstr>
      <vt:lpstr>IsMonthsGantt</vt:lpstr>
      <vt:lpstr>IsProject</vt:lpstr>
      <vt:lpstr>IsWeeksGant</vt:lpstr>
      <vt:lpstr>Langue</vt:lpstr>
      <vt:lpstr>ProgressionFormat</vt:lpstr>
      <vt:lpstr>ProjectStart</vt:lpstr>
      <vt:lpstr>RadioBtnResult</vt:lpstr>
      <vt:lpstr>ScrollingIncrement</vt:lpstr>
      <vt:lpstr>SecondMonthTheme</vt:lpstr>
      <vt:lpstr>TodayFormat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Samir Samir</cp:lastModifiedBy>
  <cp:lastPrinted>2023-04-05T10:50:05Z</cp:lastPrinted>
  <dcterms:created xsi:type="dcterms:W3CDTF">2023-04-01T16:52:07Z</dcterms:created>
  <dcterms:modified xsi:type="dcterms:W3CDTF">2023-10-29T21:30:20Z</dcterms:modified>
</cp:coreProperties>
</file>