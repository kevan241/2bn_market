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498aca8db8a6ff/Upwork/Sara Ait taleb/Templates Kit améliorés 040923/excel/"/>
    </mc:Choice>
  </mc:AlternateContent>
  <xr:revisionPtr revIDLastSave="28" documentId="13_ncr:1_{630C94BD-F66E-4E18-8950-E91A95413CE5}" xr6:coauthVersionLast="47" xr6:coauthVersionMax="47" xr10:uidLastSave="{ED5AB7FB-C5D8-4CD1-A114-2891289E8AE1}"/>
  <bookViews>
    <workbookView xWindow="-108" yWindow="-108" windowWidth="23256" windowHeight="12456" tabRatio="735" xr2:uid="{312AEEF3-C092-4114-821D-2DAFA8A18414}"/>
  </bookViews>
  <sheets>
    <sheet name="Parties prenantes clés" sheetId="2" r:id="rId1"/>
    <sheet name="Cartographie" sheetId="4" r:id="rId2"/>
    <sheet name="Paramétrage" sheetId="3" state="veryHidden" r:id="rId3"/>
    <sheet name="Backend" sheetId="6" state="very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2" l="1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B25" i="2"/>
  <c r="B28" i="2" l="1"/>
  <c r="B29" i="2"/>
  <c r="B30" i="2"/>
  <c r="C34" i="6"/>
  <c r="C35" i="6"/>
  <c r="C36" i="6"/>
  <c r="C37" i="6"/>
  <c r="C30" i="6"/>
  <c r="C31" i="6"/>
  <c r="C32" i="6"/>
  <c r="C33" i="6"/>
  <c r="C29" i="6"/>
  <c r="C28" i="6"/>
  <c r="C27" i="6"/>
  <c r="C26" i="6"/>
  <c r="C22" i="6"/>
  <c r="C23" i="6"/>
  <c r="C24" i="6"/>
  <c r="C25" i="6"/>
  <c r="C18" i="6"/>
  <c r="C19" i="6"/>
  <c r="C20" i="6"/>
  <c r="C21" i="6"/>
  <c r="C17" i="6"/>
  <c r="C2" i="6"/>
  <c r="C3" i="6"/>
  <c r="C4" i="6"/>
  <c r="C6" i="6"/>
  <c r="C7" i="6"/>
  <c r="C8" i="6"/>
  <c r="C10" i="6"/>
  <c r="C11" i="6"/>
  <c r="C12" i="6"/>
  <c r="C9" i="6"/>
  <c r="C13" i="6"/>
  <c r="C5" i="6"/>
  <c r="C14" i="6"/>
  <c r="C15" i="6"/>
  <c r="C16" i="6"/>
  <c r="B19" i="2"/>
  <c r="B20" i="2"/>
  <c r="B21" i="2"/>
  <c r="B22" i="2"/>
  <c r="B23" i="2"/>
  <c r="B24" i="2"/>
  <c r="B26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<sst xmlns="http://schemas.openxmlformats.org/spreadsheetml/2006/main" count="156" uniqueCount="71">
  <si>
    <t>Date de création</t>
  </si>
  <si>
    <t>Date de la version</t>
  </si>
  <si>
    <t>Numéro de version</t>
  </si>
  <si>
    <t>V2.3</t>
  </si>
  <si>
    <t>Nom / Code projet</t>
  </si>
  <si>
    <t>Project X</t>
  </si>
  <si>
    <t>Non/code du portefeuille</t>
  </si>
  <si>
    <t>Portefeuille X</t>
  </si>
  <si>
    <t>Référence</t>
  </si>
  <si>
    <t>R47P58X</t>
  </si>
  <si>
    <t>PMO</t>
  </si>
  <si>
    <t>Alain DURAND</t>
  </si>
  <si>
    <t>ID</t>
  </si>
  <si>
    <t>Paramétrages</t>
  </si>
  <si>
    <t>Pouvoir</t>
  </si>
  <si>
    <t>Stratégie</t>
  </si>
  <si>
    <t>Acteur Clé</t>
  </si>
  <si>
    <t>Garder Informé</t>
  </si>
  <si>
    <t>Effort Minimal</t>
  </si>
  <si>
    <t>Garder Satisfait</t>
  </si>
  <si>
    <t>Directeur Financier CMRL</t>
  </si>
  <si>
    <t>Responsable du Changement</t>
  </si>
  <si>
    <t>Coordinatrice SAP Ventes</t>
  </si>
  <si>
    <t>Coordinateur SAP Achats</t>
  </si>
  <si>
    <t>Coordinateur SAP Logistique</t>
  </si>
  <si>
    <t>Futurs utilisateurs SAP</t>
  </si>
  <si>
    <t>Acteur</t>
  </si>
  <si>
    <t>Rôle/fonction</t>
  </si>
  <si>
    <t>Soutien au projet</t>
  </si>
  <si>
    <t>Catégorie</t>
  </si>
  <si>
    <t>Pouvoir d'influence</t>
  </si>
  <si>
    <t>Score</t>
  </si>
  <si>
    <t>Soutien</t>
  </si>
  <si>
    <t>Leaders du projet</t>
  </si>
  <si>
    <t>Supporteurs passifs</t>
  </si>
  <si>
    <t>Opposants influents</t>
  </si>
  <si>
    <t>Spectateurs</t>
  </si>
  <si>
    <t>Opposants mineurs</t>
  </si>
  <si>
    <t>Supporteurs actifs</t>
  </si>
  <si>
    <t>Non-acteurs</t>
  </si>
  <si>
    <t>Pouvoir d’influence (Notation 1 à 5)</t>
  </si>
  <si>
    <t>Soutien au projet (Notation 1 à 5)</t>
  </si>
  <si>
    <t>Sponsor projet</t>
  </si>
  <si>
    <t>Directeur finance</t>
  </si>
  <si>
    <t>Position X</t>
  </si>
  <si>
    <t>Position Y</t>
  </si>
  <si>
    <t>Notation</t>
  </si>
  <si>
    <t>Fort</t>
  </si>
  <si>
    <t>Modéré</t>
  </si>
  <si>
    <t>Faible</t>
  </si>
  <si>
    <t>Maintien</t>
  </si>
  <si>
    <t>Communication</t>
  </si>
  <si>
    <t>Cartographie des décideurs</t>
  </si>
  <si>
    <t>Catégorie
(Ne pas modifier les données de  cette colonne)</t>
  </si>
  <si>
    <t>1. Renseignez ici la liste des parties prenantes ainsi que leurs rôles/fonction</t>
  </si>
  <si>
    <t>2. Sur une échelle de 1 à 5, attribuez une note pour chaque décideur en fonction de son pouvoir d'influence d'une part, et de son appui au projet d'autre part.</t>
  </si>
  <si>
    <t>3. Selon votre sélection, vous verrez automatiquement la catégorie de décideur correspondant à cette note en termes de pouvoir d'influence et de soutien au projet.</t>
  </si>
  <si>
    <t>4. Pour chaque catégorie, il vous appartient de prévoir la bonne stratégie à adopter (maintien, communication, renforcement du soutien, inclusion, implication, négociation, persuasion, activation, respect)
Retrouvez dans l'article plus de détails sur les stratégies à adopter en fonction des différentes catégories de décideurs.</t>
  </si>
  <si>
    <t>Observez sur le graphique le placement de chaque intervenant en fonction de leur pouvoir d'influence et de leur soutien au projet.
Ainsi, les parties prenantes situées sur l'axe des abscisses à gauche sont considérées comme opposants.
Ceux qui se trouvent à droite sont favorables au projet. Ceux-ci sont vos alliés.</t>
  </si>
  <si>
    <t>Untel 1</t>
  </si>
  <si>
    <t>Untel 2</t>
  </si>
  <si>
    <t>Untel 3</t>
  </si>
  <si>
    <t>Untel 4</t>
  </si>
  <si>
    <t>Untel 5</t>
  </si>
  <si>
    <t>Untel 7</t>
  </si>
  <si>
    <t>Untel 8</t>
  </si>
  <si>
    <t>Untel 9</t>
  </si>
  <si>
    <t>Untel 10</t>
  </si>
  <si>
    <t>Untel 11</t>
  </si>
  <si>
    <t>Untel 12</t>
  </si>
  <si>
    <t>Untel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</si>
</sst>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/>
      <name val="Candara"/>
      <family val="2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sz val="12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439B6B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auto="1"/>
      </patternFill>
    </fill>
    <fill>
      <patternFill patternType="solid">
        <fgColor theme="9"/>
        <bgColor theme="9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ck">
        <color theme="0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2">
    <xf numFmtId="0" fontId="0" fillId="0" borderId="0"/>
    <xf numFmtId="0" fontId="10" fillId="0" borderId="0"/>
  </cellStyleXfs>
  <cellXfs count="63">
    <xf numFmtId="0" fontId="0" fillId="0" borderId="0" xfId="0"/>
    <xf numFmtId="0" fontId="1" fillId="2" borderId="1" xfId="0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3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8" fillId="6" borderId="5" xfId="0" applyFont="1" applyFill="1" applyBorder="1" applyAlignment="1">
      <alignment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3" fillId="0" borderId="0" xfId="0" applyFont="1"/>
    <xf numFmtId="0" fontId="13" fillId="0" borderId="0" xfId="0" applyFont="1" applyAlignment="1" applyProtection="1">
      <alignment horizontal="center" vertical="center"/>
      <protection locked="0"/>
    </xf>
    <xf numFmtId="0" fontId="14" fillId="0" borderId="0" xfId="0" applyFont="1"/>
    <xf numFmtId="0" fontId="14" fillId="0" borderId="0" xfId="0" applyFont="1" applyProtection="1">
      <protection locked="0"/>
    </xf>
    <xf numFmtId="0" fontId="16" fillId="8" borderId="0" xfId="0" applyFont="1" applyFill="1"/>
    <xf numFmtId="0" fontId="17" fillId="9" borderId="0" xfId="1" applyFont="1" applyFill="1" applyAlignment="1">
      <alignment horizontal="left" vertical="center"/>
    </xf>
    <xf numFmtId="0" fontId="15" fillId="10" borderId="0" xfId="0" applyFont="1" applyFill="1"/>
    <xf numFmtId="0" fontId="18" fillId="7" borderId="0" xfId="0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5" fillId="4" borderId="3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12" fillId="0" borderId="0" xfId="0" applyFont="1"/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1" fillId="11" borderId="0" xfId="0" applyFont="1" applyFill="1" applyAlignment="1">
      <alignment horizontal="center" vertical="center" wrapText="1"/>
    </xf>
    <xf numFmtId="0" fontId="0" fillId="3" borderId="0" xfId="0" applyFill="1"/>
    <xf numFmtId="0" fontId="13" fillId="0" borderId="0" xfId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9" fillId="0" borderId="0" xfId="0" applyFont="1"/>
    <xf numFmtId="0" fontId="20" fillId="0" borderId="0" xfId="0" applyFont="1" applyAlignment="1">
      <alignment horizontal="left" vertical="center" readingOrder="1"/>
    </xf>
    <xf numFmtId="0" fontId="21" fillId="0" borderId="0" xfId="0" applyFont="1" applyAlignment="1">
      <alignment horizontal="left" vertical="center" readingOrder="1"/>
    </xf>
    <xf numFmtId="0" fontId="19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horizontal="center" vertical="center" wrapText="1"/>
    </xf>
    <xf numFmtId="0" fontId="23" fillId="12" borderId="6" xfId="0" applyFont="1" applyFill="1" applyBorder="1" applyAlignment="1">
      <alignment horizontal="center" vertical="center"/>
    </xf>
    <xf numFmtId="0" fontId="23" fillId="12" borderId="7" xfId="0" applyFont="1" applyFill="1" applyBorder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readingOrder="1"/>
    </xf>
    <xf numFmtId="0" fontId="2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13" borderId="0" xfId="0" applyFont="1" applyFill="1" applyAlignment="1">
      <alignment vertical="center"/>
    </xf>
    <xf numFmtId="0" fontId="5" fillId="13" borderId="0" xfId="0" applyFont="1" applyFill="1" applyAlignment="1">
      <alignment horizontal="left" vertical="center"/>
    </xf>
    <xf numFmtId="0" fontId="4" fillId="13" borderId="0" xfId="0" applyFont="1" applyFill="1" applyAlignment="1">
      <alignment horizontal="left" vertical="center"/>
    </xf>
    <xf numFmtId="0" fontId="0" fillId="0" borderId="0" xfId="0" applyAlignment="1">
      <alignment horizontal="left" vertical="top" wrapText="1"/>
    </xf>
    <xf numFmtId="0" fontId="11" fillId="11" borderId="9" xfId="0" applyFont="1" applyFill="1" applyBorder="1" applyAlignment="1">
      <alignment horizontal="center" vertical="center" wrapText="1"/>
    </xf>
    <xf numFmtId="0" fontId="11" fillId="11" borderId="10" xfId="0" applyFont="1" applyFill="1" applyBorder="1" applyAlignment="1">
      <alignment horizontal="center" vertical="center" wrapText="1"/>
    </xf>
    <xf numFmtId="0" fontId="11" fillId="11" borderId="11" xfId="0" applyFont="1" applyFill="1" applyBorder="1" applyAlignment="1">
      <alignment horizontal="center" vertical="center" wrapText="1"/>
    </xf>
    <xf numFmtId="0" fontId="11" fillId="14" borderId="12" xfId="0" applyFont="1" applyFill="1" applyBorder="1" applyAlignment="1">
      <alignment horizontal="center" vertical="center"/>
    </xf>
    <xf numFmtId="0" fontId="11" fillId="14" borderId="13" xfId="0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6" fillId="13" borderId="8" xfId="0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</cellXfs>
  <cellStyles count="2">
    <cellStyle name="Normal" xfId="0" builtinId="0"/>
    <cellStyle name="Normal 3" xfId="1" xr:uid="{0633CEA9-FD2C-469B-AB41-AC2C9274CBC2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39B6B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39B6B"/>
      <color rgb="FFEFF6FB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initialisation/registre-des-parties-prenantes-v2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initialisation/registre-des-parties-prenantes-v2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440055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862477-1766-463C-94FB-3EB54A317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34696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1905</xdr:colOff>
      <xdr:row>11</xdr:row>
      <xdr:rowOff>17145</xdr:rowOff>
    </xdr:from>
    <xdr:to>
      <xdr:col>2</xdr:col>
      <xdr:colOff>876300</xdr:colOff>
      <xdr:row>11</xdr:row>
      <xdr:rowOff>335280</xdr:rowOff>
    </xdr:to>
    <xdr:sp macro="[0]!AddR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13EF0A4-D0E6-473D-B18E-C72B75A04EB2}"/>
            </a:ext>
          </a:extLst>
        </xdr:cNvPr>
        <xdr:cNvSpPr/>
      </xdr:nvSpPr>
      <xdr:spPr>
        <a:xfrm>
          <a:off x="207645" y="1876425"/>
          <a:ext cx="1268730" cy="31623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Ajouter une</a:t>
          </a:r>
          <a:r>
            <a:rPr lang="en-US" sz="1100" baseline="0"/>
            <a:t> PP</a:t>
          </a:r>
          <a:endParaRPr lang="en-US" sz="1100"/>
        </a:p>
      </xdr:txBody>
    </xdr:sp>
    <xdr:clientData/>
  </xdr:twoCellAnchor>
  <xdr:twoCellAnchor editAs="absolute">
    <xdr:from>
      <xdr:col>2</xdr:col>
      <xdr:colOff>990600</xdr:colOff>
      <xdr:row>11</xdr:row>
      <xdr:rowOff>17145</xdr:rowOff>
    </xdr:from>
    <xdr:to>
      <xdr:col>3</xdr:col>
      <xdr:colOff>876300</xdr:colOff>
      <xdr:row>11</xdr:row>
      <xdr:rowOff>335280</xdr:rowOff>
    </xdr:to>
    <xdr:sp macro="[0]!DeleteR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8AE90D9-19A4-4164-B6F0-CF1B44B7DB9D}"/>
            </a:ext>
          </a:extLst>
        </xdr:cNvPr>
        <xdr:cNvSpPr/>
      </xdr:nvSpPr>
      <xdr:spPr>
        <a:xfrm>
          <a:off x="1590675" y="1876425"/>
          <a:ext cx="1390650" cy="31623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Supprimer une PP</a:t>
          </a:r>
        </a:p>
      </xdr:txBody>
    </xdr:sp>
    <xdr:clientData/>
  </xdr:twoCellAnchor>
  <xdr:twoCellAnchor editAs="absolute">
    <xdr:from>
      <xdr:col>3</xdr:col>
      <xdr:colOff>952499</xdr:colOff>
      <xdr:row>10</xdr:row>
      <xdr:rowOff>76200</xdr:rowOff>
    </xdr:from>
    <xdr:to>
      <xdr:col>4</xdr:col>
      <xdr:colOff>171449</xdr:colOff>
      <xdr:row>10</xdr:row>
      <xdr:rowOff>337185</xdr:rowOff>
    </xdr:to>
    <xdr:sp macro="[0]!DeleteRow" textlink="">
      <xdr:nvSpPr>
        <xdr:cNvPr id="5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9135AB-E521-44F7-8F8E-77AA33BAE3F4}"/>
            </a:ext>
          </a:extLst>
        </xdr:cNvPr>
        <xdr:cNvSpPr/>
      </xdr:nvSpPr>
      <xdr:spPr>
        <a:xfrm>
          <a:off x="3009899" y="1543050"/>
          <a:ext cx="1400175" cy="26098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Guide d'utilisation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517697</xdr:colOff>
      <xdr:row>4</xdr:row>
      <xdr:rowOff>76200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995A1749-961E-427D-9B33-9E14A6350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065" y="152400"/>
          <a:ext cx="2105741" cy="431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783965</xdr:colOff>
      <xdr:row>8</xdr:row>
      <xdr:rowOff>1423</xdr:rowOff>
    </xdr:from>
    <xdr:to>
      <xdr:col>7</xdr:col>
      <xdr:colOff>956087</xdr:colOff>
      <xdr:row>15</xdr:row>
      <xdr:rowOff>96555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5E3AD77E-8BD6-135A-2A45-F03F9AB40040}"/>
            </a:ext>
          </a:extLst>
        </xdr:cNvPr>
        <xdr:cNvGrpSpPr/>
      </xdr:nvGrpSpPr>
      <xdr:grpSpPr>
        <a:xfrm>
          <a:off x="2536565" y="2043583"/>
          <a:ext cx="8150262" cy="3402212"/>
          <a:chOff x="2214243" y="1226820"/>
          <a:chExt cx="8783402" cy="2954483"/>
        </a:xfrm>
      </xdr:grpSpPr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9284599D-F68A-1B05-3A46-5C705E2BB684}"/>
              </a:ext>
            </a:extLst>
          </xdr:cNvPr>
          <xdr:cNvCxnSpPr/>
        </xdr:nvCxnSpPr>
        <xdr:spPr>
          <a:xfrm>
            <a:off x="3383280" y="4038600"/>
            <a:ext cx="6576060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2A9B9A7B-507E-F1E8-61A2-A2625B93BBB5}"/>
              </a:ext>
            </a:extLst>
          </xdr:cNvPr>
          <xdr:cNvCxnSpPr/>
        </xdr:nvCxnSpPr>
        <xdr:spPr>
          <a:xfrm flipV="1">
            <a:off x="6637020" y="1485900"/>
            <a:ext cx="0" cy="2552700"/>
          </a:xfrm>
          <a:prstGeom prst="straightConnector1">
            <a:avLst/>
          </a:prstGeom>
          <a:ln>
            <a:prstDash val="dash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ZoneTexte 7">
            <a:extLst>
              <a:ext uri="{FF2B5EF4-FFF2-40B4-BE49-F238E27FC236}">
                <a16:creationId xmlns:a16="http://schemas.microsoft.com/office/drawing/2014/main" id="{0DE0A5C0-5666-D182-40AD-BAB714370FC7}"/>
              </a:ext>
            </a:extLst>
          </xdr:cNvPr>
          <xdr:cNvSpPr txBox="1"/>
        </xdr:nvSpPr>
        <xdr:spPr>
          <a:xfrm>
            <a:off x="9898379" y="3877391"/>
            <a:ext cx="1099266" cy="27139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400" b="1"/>
              <a:t>Soutien ++</a:t>
            </a:r>
          </a:p>
        </xdr:txBody>
      </xdr:sp>
      <xdr:sp macro="" textlink="">
        <xdr:nvSpPr>
          <xdr:cNvPr id="29" name="ZoneTexte 8">
            <a:extLst>
              <a:ext uri="{FF2B5EF4-FFF2-40B4-BE49-F238E27FC236}">
                <a16:creationId xmlns:a16="http://schemas.microsoft.com/office/drawing/2014/main" id="{7FBE4B3B-710F-DB8B-51AA-1345BAE929F7}"/>
              </a:ext>
            </a:extLst>
          </xdr:cNvPr>
          <xdr:cNvSpPr txBox="1"/>
        </xdr:nvSpPr>
        <xdr:spPr>
          <a:xfrm>
            <a:off x="2214243" y="3909888"/>
            <a:ext cx="1223186" cy="2714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400" b="1"/>
              <a:t>Opposant --</a:t>
            </a:r>
          </a:p>
        </xdr:txBody>
      </xdr:sp>
      <xdr:sp macro="" textlink="">
        <xdr:nvSpPr>
          <xdr:cNvPr id="33" name="ZoneTexte 7">
            <a:extLst>
              <a:ext uri="{FF2B5EF4-FFF2-40B4-BE49-F238E27FC236}">
                <a16:creationId xmlns:a16="http://schemas.microsoft.com/office/drawing/2014/main" id="{81494D4E-B49E-49B5-81CA-EA23AE6F86A1}"/>
              </a:ext>
            </a:extLst>
          </xdr:cNvPr>
          <xdr:cNvSpPr txBox="1"/>
        </xdr:nvSpPr>
        <xdr:spPr>
          <a:xfrm>
            <a:off x="5981860" y="1226820"/>
            <a:ext cx="1294973" cy="3256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800" b="1"/>
              <a:t>Influence</a:t>
            </a:r>
          </a:p>
        </xdr:txBody>
      </xdr:sp>
    </xdr:grpSp>
    <xdr:clientData/>
  </xdr:twoCellAnchor>
  <xdr:twoCellAnchor editAs="absolute">
    <xdr:from>
      <xdr:col>3</xdr:col>
      <xdr:colOff>1476375</xdr:colOff>
      <xdr:row>5</xdr:row>
      <xdr:rowOff>76200</xdr:rowOff>
    </xdr:from>
    <xdr:to>
      <xdr:col>4</xdr:col>
      <xdr:colOff>1390650</xdr:colOff>
      <xdr:row>5</xdr:row>
      <xdr:rowOff>337185</xdr:rowOff>
    </xdr:to>
    <xdr:sp macro="[0]!DeleteRow" textlink="">
      <xdr:nvSpPr>
        <xdr:cNvPr id="3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3095AB-C63B-47C4-BDD5-C68704526F39}"/>
            </a:ext>
          </a:extLst>
        </xdr:cNvPr>
        <xdr:cNvSpPr/>
      </xdr:nvSpPr>
      <xdr:spPr>
        <a:xfrm>
          <a:off x="3181350" y="819150"/>
          <a:ext cx="1400175" cy="26098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Guide d'utilisation</a:t>
          </a:r>
        </a:p>
      </xdr:txBody>
    </xdr:sp>
    <xdr:clientData/>
  </xdr:twoCellAnchor>
  <xdr:twoCellAnchor>
    <xdr:from>
      <xdr:col>4</xdr:col>
      <xdr:colOff>932180</xdr:colOff>
      <xdr:row>12</xdr:row>
      <xdr:rowOff>139700</xdr:rowOff>
    </xdr:from>
    <xdr:to>
      <xdr:col>4</xdr:col>
      <xdr:colOff>1211580</xdr:colOff>
      <xdr:row>12</xdr:row>
      <xdr:rowOff>419100</xdr:rowOff>
    </xdr:to>
    <xdr:sp macro="" textlink="">
      <xdr:nvSpPr>
        <xdr:cNvPr id="4" name="MAT_1">
          <a:extLst>
            <a:ext uri="{FF2B5EF4-FFF2-40B4-BE49-F238E27FC236}">
              <a16:creationId xmlns:a16="http://schemas.microsoft.com/office/drawing/2014/main" id="{AACA1073-4029-FE57-6E23-31FC20759FE7}"/>
            </a:ext>
          </a:extLst>
        </xdr:cNvPr>
        <xdr:cNvSpPr/>
      </xdr:nvSpPr>
      <xdr:spPr>
        <a:xfrm>
          <a:off x="42164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1211580</xdr:colOff>
      <xdr:row>12</xdr:row>
      <xdr:rowOff>139700</xdr:rowOff>
    </xdr:from>
    <xdr:to>
      <xdr:col>4</xdr:col>
      <xdr:colOff>1490980</xdr:colOff>
      <xdr:row>12</xdr:row>
      <xdr:rowOff>419100</xdr:rowOff>
    </xdr:to>
    <xdr:sp macro="" textlink="">
      <xdr:nvSpPr>
        <xdr:cNvPr id="5" name="MAT_2">
          <a:extLst>
            <a:ext uri="{FF2B5EF4-FFF2-40B4-BE49-F238E27FC236}">
              <a16:creationId xmlns:a16="http://schemas.microsoft.com/office/drawing/2014/main" id="{9BF543E3-E88E-BD90-D7C3-7E8C13303CD5}"/>
            </a:ext>
          </a:extLst>
        </xdr:cNvPr>
        <xdr:cNvSpPr/>
      </xdr:nvSpPr>
      <xdr:spPr>
        <a:xfrm>
          <a:off x="44958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2</a:t>
          </a:r>
        </a:p>
      </xdr:txBody>
    </xdr:sp>
    <xdr:clientData/>
  </xdr:twoCellAnchor>
  <xdr:twoCellAnchor>
    <xdr:from>
      <xdr:col>4</xdr:col>
      <xdr:colOff>652780</xdr:colOff>
      <xdr:row>12</xdr:row>
      <xdr:rowOff>139700</xdr:rowOff>
    </xdr:from>
    <xdr:to>
      <xdr:col>4</xdr:col>
      <xdr:colOff>932180</xdr:colOff>
      <xdr:row>12</xdr:row>
      <xdr:rowOff>419100</xdr:rowOff>
    </xdr:to>
    <xdr:sp macro="" textlink="">
      <xdr:nvSpPr>
        <xdr:cNvPr id="6" name="MAT_3">
          <a:extLst>
            <a:ext uri="{FF2B5EF4-FFF2-40B4-BE49-F238E27FC236}">
              <a16:creationId xmlns:a16="http://schemas.microsoft.com/office/drawing/2014/main" id="{2C4C1F22-E25D-25E9-B3EF-5A6746484D84}"/>
            </a:ext>
          </a:extLst>
        </xdr:cNvPr>
        <xdr:cNvSpPr/>
      </xdr:nvSpPr>
      <xdr:spPr>
        <a:xfrm>
          <a:off x="39370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3</a:t>
          </a:r>
        </a:p>
      </xdr:txBody>
    </xdr:sp>
    <xdr:clientData/>
  </xdr:twoCellAnchor>
  <xdr:twoCellAnchor>
    <xdr:from>
      <xdr:col>5</xdr:col>
      <xdr:colOff>929640</xdr:colOff>
      <xdr:row>12</xdr:row>
      <xdr:rowOff>139700</xdr:rowOff>
    </xdr:from>
    <xdr:to>
      <xdr:col>5</xdr:col>
      <xdr:colOff>1209040</xdr:colOff>
      <xdr:row>12</xdr:row>
      <xdr:rowOff>419100</xdr:rowOff>
    </xdr:to>
    <xdr:sp macro="" textlink="">
      <xdr:nvSpPr>
        <xdr:cNvPr id="7" name="MAT_4">
          <a:extLst>
            <a:ext uri="{FF2B5EF4-FFF2-40B4-BE49-F238E27FC236}">
              <a16:creationId xmlns:a16="http://schemas.microsoft.com/office/drawing/2014/main" id="{B985DBF4-38AC-F09B-922B-A11071CF0EC0}"/>
            </a:ext>
          </a:extLst>
        </xdr:cNvPr>
        <xdr:cNvSpPr/>
      </xdr:nvSpPr>
      <xdr:spPr>
        <a:xfrm>
          <a:off x="63627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4</a:t>
          </a:r>
        </a:p>
      </xdr:txBody>
    </xdr:sp>
    <xdr:clientData/>
  </xdr:twoCellAnchor>
  <xdr:twoCellAnchor>
    <xdr:from>
      <xdr:col>5</xdr:col>
      <xdr:colOff>1209040</xdr:colOff>
      <xdr:row>12</xdr:row>
      <xdr:rowOff>139700</xdr:rowOff>
    </xdr:from>
    <xdr:to>
      <xdr:col>5</xdr:col>
      <xdr:colOff>1488440</xdr:colOff>
      <xdr:row>12</xdr:row>
      <xdr:rowOff>419100</xdr:rowOff>
    </xdr:to>
    <xdr:sp macro="" textlink="">
      <xdr:nvSpPr>
        <xdr:cNvPr id="8" name="MAT_5">
          <a:extLst>
            <a:ext uri="{FF2B5EF4-FFF2-40B4-BE49-F238E27FC236}">
              <a16:creationId xmlns:a16="http://schemas.microsoft.com/office/drawing/2014/main" id="{C6B6BBBC-0813-47B2-5DB5-9F60C8CFEF0A}"/>
            </a:ext>
          </a:extLst>
        </xdr:cNvPr>
        <xdr:cNvSpPr/>
      </xdr:nvSpPr>
      <xdr:spPr>
        <a:xfrm>
          <a:off x="66421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1490980</xdr:colOff>
      <xdr:row>12</xdr:row>
      <xdr:rowOff>139700</xdr:rowOff>
    </xdr:from>
    <xdr:to>
      <xdr:col>4</xdr:col>
      <xdr:colOff>1770380</xdr:colOff>
      <xdr:row>12</xdr:row>
      <xdr:rowOff>419100</xdr:rowOff>
    </xdr:to>
    <xdr:sp macro="" textlink="">
      <xdr:nvSpPr>
        <xdr:cNvPr id="10" name="MAT_6">
          <a:extLst>
            <a:ext uri="{FF2B5EF4-FFF2-40B4-BE49-F238E27FC236}">
              <a16:creationId xmlns:a16="http://schemas.microsoft.com/office/drawing/2014/main" id="{9DB42CAC-EB50-FCA6-DFAA-B0CA719473EC}"/>
            </a:ext>
          </a:extLst>
        </xdr:cNvPr>
        <xdr:cNvSpPr/>
      </xdr:nvSpPr>
      <xdr:spPr>
        <a:xfrm>
          <a:off x="47752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6</a:t>
          </a:r>
        </a:p>
      </xdr:txBody>
    </xdr:sp>
    <xdr:clientData/>
  </xdr:twoCellAnchor>
  <xdr:twoCellAnchor>
    <xdr:from>
      <xdr:col>6</xdr:col>
      <xdr:colOff>939800</xdr:colOff>
      <xdr:row>13</xdr:row>
      <xdr:rowOff>134620</xdr:rowOff>
    </xdr:from>
    <xdr:to>
      <xdr:col>6</xdr:col>
      <xdr:colOff>1219200</xdr:colOff>
      <xdr:row>13</xdr:row>
      <xdr:rowOff>414020</xdr:rowOff>
    </xdr:to>
    <xdr:sp macro="" textlink="">
      <xdr:nvSpPr>
        <xdr:cNvPr id="11" name="MAT_7">
          <a:extLst>
            <a:ext uri="{FF2B5EF4-FFF2-40B4-BE49-F238E27FC236}">
              <a16:creationId xmlns:a16="http://schemas.microsoft.com/office/drawing/2014/main" id="{A48C3045-2FA3-E12D-4EFF-20CEE24CFE86}"/>
            </a:ext>
          </a:extLst>
        </xdr:cNvPr>
        <xdr:cNvSpPr/>
      </xdr:nvSpPr>
      <xdr:spPr>
        <a:xfrm>
          <a:off x="8521700" y="38227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7</a:t>
          </a:r>
        </a:p>
      </xdr:txBody>
    </xdr:sp>
    <xdr:clientData/>
  </xdr:twoCellAnchor>
  <xdr:twoCellAnchor>
    <xdr:from>
      <xdr:col>6</xdr:col>
      <xdr:colOff>939800</xdr:colOff>
      <xdr:row>12</xdr:row>
      <xdr:rowOff>139700</xdr:rowOff>
    </xdr:from>
    <xdr:to>
      <xdr:col>6</xdr:col>
      <xdr:colOff>1219200</xdr:colOff>
      <xdr:row>12</xdr:row>
      <xdr:rowOff>419100</xdr:rowOff>
    </xdr:to>
    <xdr:sp macro="" textlink="">
      <xdr:nvSpPr>
        <xdr:cNvPr id="12" name="MAT_8">
          <a:extLst>
            <a:ext uri="{FF2B5EF4-FFF2-40B4-BE49-F238E27FC236}">
              <a16:creationId xmlns:a16="http://schemas.microsoft.com/office/drawing/2014/main" id="{926C8F04-AB68-B8F4-E594-66232D2B4104}"/>
            </a:ext>
          </a:extLst>
        </xdr:cNvPr>
        <xdr:cNvSpPr/>
      </xdr:nvSpPr>
      <xdr:spPr>
        <a:xfrm>
          <a:off x="85217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8</a:t>
          </a:r>
        </a:p>
      </xdr:txBody>
    </xdr:sp>
    <xdr:clientData/>
  </xdr:twoCellAnchor>
  <xdr:twoCellAnchor>
    <xdr:from>
      <xdr:col>6</xdr:col>
      <xdr:colOff>1219200</xdr:colOff>
      <xdr:row>12</xdr:row>
      <xdr:rowOff>139700</xdr:rowOff>
    </xdr:from>
    <xdr:to>
      <xdr:col>6</xdr:col>
      <xdr:colOff>1498600</xdr:colOff>
      <xdr:row>12</xdr:row>
      <xdr:rowOff>419100</xdr:rowOff>
    </xdr:to>
    <xdr:sp macro="" textlink="">
      <xdr:nvSpPr>
        <xdr:cNvPr id="13" name="MAT_9">
          <a:extLst>
            <a:ext uri="{FF2B5EF4-FFF2-40B4-BE49-F238E27FC236}">
              <a16:creationId xmlns:a16="http://schemas.microsoft.com/office/drawing/2014/main" id="{7C6FE1A2-076B-9B90-9717-B1E825519FC7}"/>
            </a:ext>
          </a:extLst>
        </xdr:cNvPr>
        <xdr:cNvSpPr/>
      </xdr:nvSpPr>
      <xdr:spPr>
        <a:xfrm>
          <a:off x="88011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9</a:t>
          </a:r>
        </a:p>
      </xdr:txBody>
    </xdr:sp>
    <xdr:clientData/>
  </xdr:twoCellAnchor>
  <xdr:twoCellAnchor>
    <xdr:from>
      <xdr:col>5</xdr:col>
      <xdr:colOff>650240</xdr:colOff>
      <xdr:row>12</xdr:row>
      <xdr:rowOff>139700</xdr:rowOff>
    </xdr:from>
    <xdr:to>
      <xdr:col>5</xdr:col>
      <xdr:colOff>929640</xdr:colOff>
      <xdr:row>12</xdr:row>
      <xdr:rowOff>419100</xdr:rowOff>
    </xdr:to>
    <xdr:sp macro="" textlink="">
      <xdr:nvSpPr>
        <xdr:cNvPr id="14" name="MAT_10">
          <a:extLst>
            <a:ext uri="{FF2B5EF4-FFF2-40B4-BE49-F238E27FC236}">
              <a16:creationId xmlns:a16="http://schemas.microsoft.com/office/drawing/2014/main" id="{BF69D794-7CD4-B182-400F-04D178ED57BC}"/>
            </a:ext>
          </a:extLst>
        </xdr:cNvPr>
        <xdr:cNvSpPr/>
      </xdr:nvSpPr>
      <xdr:spPr>
        <a:xfrm>
          <a:off x="60833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10</a:t>
          </a:r>
        </a:p>
      </xdr:txBody>
    </xdr:sp>
    <xdr:clientData/>
  </xdr:twoCellAnchor>
  <xdr:twoCellAnchor>
    <xdr:from>
      <xdr:col>6</xdr:col>
      <xdr:colOff>1219200</xdr:colOff>
      <xdr:row>13</xdr:row>
      <xdr:rowOff>134620</xdr:rowOff>
    </xdr:from>
    <xdr:to>
      <xdr:col>6</xdr:col>
      <xdr:colOff>1498600</xdr:colOff>
      <xdr:row>13</xdr:row>
      <xdr:rowOff>414020</xdr:rowOff>
    </xdr:to>
    <xdr:sp macro="" textlink="">
      <xdr:nvSpPr>
        <xdr:cNvPr id="15" name="MAT_11">
          <a:extLst>
            <a:ext uri="{FF2B5EF4-FFF2-40B4-BE49-F238E27FC236}">
              <a16:creationId xmlns:a16="http://schemas.microsoft.com/office/drawing/2014/main" id="{6001A17A-CE81-94BE-FB04-ABDC8C2D759E}"/>
            </a:ext>
          </a:extLst>
        </xdr:cNvPr>
        <xdr:cNvSpPr/>
      </xdr:nvSpPr>
      <xdr:spPr>
        <a:xfrm>
          <a:off x="8801100" y="38227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11</a:t>
          </a:r>
        </a:p>
      </xdr:txBody>
    </xdr:sp>
    <xdr:clientData/>
  </xdr:twoCellAnchor>
  <xdr:twoCellAnchor>
    <xdr:from>
      <xdr:col>4</xdr:col>
      <xdr:colOff>932180</xdr:colOff>
      <xdr:row>13</xdr:row>
      <xdr:rowOff>134620</xdr:rowOff>
    </xdr:from>
    <xdr:to>
      <xdr:col>4</xdr:col>
      <xdr:colOff>1211580</xdr:colOff>
      <xdr:row>13</xdr:row>
      <xdr:rowOff>414020</xdr:rowOff>
    </xdr:to>
    <xdr:sp macro="" textlink="">
      <xdr:nvSpPr>
        <xdr:cNvPr id="16" name="MAT_12">
          <a:extLst>
            <a:ext uri="{FF2B5EF4-FFF2-40B4-BE49-F238E27FC236}">
              <a16:creationId xmlns:a16="http://schemas.microsoft.com/office/drawing/2014/main" id="{BE5D4BA1-E999-359B-2382-3EDEA3326E6B}"/>
            </a:ext>
          </a:extLst>
        </xdr:cNvPr>
        <xdr:cNvSpPr/>
      </xdr:nvSpPr>
      <xdr:spPr>
        <a:xfrm>
          <a:off x="4216400" y="38227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12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1386840</xdr:colOff>
      <xdr:row>9</xdr:row>
      <xdr:rowOff>30900</xdr:rowOff>
    </xdr:from>
    <xdr:to>
      <xdr:col>2</xdr:col>
      <xdr:colOff>1512840</xdr:colOff>
      <xdr:row>9</xdr:row>
      <xdr:rowOff>156900</xdr:rowOff>
    </xdr:to>
    <xdr:pic macro="[0]!AddRow">
      <xdr:nvPicPr>
        <xdr:cNvPr id="16" name="BtnAddStatut" descr="Add with solid fill">
          <a:extLst>
            <a:ext uri="{FF2B5EF4-FFF2-40B4-BE49-F238E27FC236}">
              <a16:creationId xmlns:a16="http://schemas.microsoft.com/office/drawing/2014/main" id="{7018088D-2188-401C-B4DD-B0286B028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94560" y="233214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1622640</xdr:colOff>
      <xdr:row>9</xdr:row>
      <xdr:rowOff>30480</xdr:rowOff>
    </xdr:from>
    <xdr:to>
      <xdr:col>2</xdr:col>
      <xdr:colOff>1748640</xdr:colOff>
      <xdr:row>9</xdr:row>
      <xdr:rowOff>156480</xdr:rowOff>
    </xdr:to>
    <xdr:pic macro="[0]!DeleteRow">
      <xdr:nvPicPr>
        <xdr:cNvPr id="17" name="BtnDeleteStatut" descr="Close with solid fill">
          <a:extLst>
            <a:ext uri="{FF2B5EF4-FFF2-40B4-BE49-F238E27FC236}">
              <a16:creationId xmlns:a16="http://schemas.microsoft.com/office/drawing/2014/main" id="{8B87A912-7956-4B7D-99E1-1A36B7EFA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0360" y="233172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0</xdr:row>
      <xdr:rowOff>152400</xdr:rowOff>
    </xdr:from>
    <xdr:to>
      <xdr:col>3</xdr:col>
      <xdr:colOff>280846</xdr:colOff>
      <xdr:row>4</xdr:row>
      <xdr:rowOff>76200</xdr:rowOff>
    </xdr:to>
    <xdr:pic>
      <xdr:nvPicPr>
        <xdr:cNvPr id="30" name="logo">
          <a:extLst>
            <a:ext uri="{FF2B5EF4-FFF2-40B4-BE49-F238E27FC236}">
              <a16:creationId xmlns:a16="http://schemas.microsoft.com/office/drawing/2014/main" id="{17FFBF5E-9544-4643-99A0-1FC8DBE35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533400</xdr:colOff>
      <xdr:row>5</xdr:row>
      <xdr:rowOff>60960</xdr:rowOff>
    </xdr:from>
    <xdr:to>
      <xdr:col>10</xdr:col>
      <xdr:colOff>521520</xdr:colOff>
      <xdr:row>5</xdr:row>
      <xdr:rowOff>312245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1C539CF-31EA-400F-9F26-EE092FE7C83C}"/>
            </a:ext>
          </a:extLst>
        </xdr:cNvPr>
        <xdr:cNvGrpSpPr/>
      </xdr:nvGrpSpPr>
      <xdr:grpSpPr>
        <a:xfrm>
          <a:off x="4168140" y="815340"/>
          <a:ext cx="6602280" cy="251285"/>
          <a:chOff x="3238500" y="815340"/>
          <a:chExt cx="6236520" cy="251285"/>
        </a:xfrm>
      </xdr:grpSpPr>
      <xdr:sp macro="[0]!NavBar" textlink="">
        <xdr:nvSpPr>
          <xdr:cNvPr id="3" name="BtnGuide">
            <a:extLst>
              <a:ext uri="{FF2B5EF4-FFF2-40B4-BE49-F238E27FC236}">
                <a16:creationId xmlns:a16="http://schemas.microsoft.com/office/drawing/2014/main" id="{0CEB4508-A947-14A1-EB2B-A3C6671AB907}"/>
              </a:ext>
            </a:extLst>
          </xdr:cNvPr>
          <xdr:cNvSpPr/>
        </xdr:nvSpPr>
        <xdr:spPr>
          <a:xfrm>
            <a:off x="3238500" y="815340"/>
            <a:ext cx="1220831" cy="248157"/>
          </a:xfrm>
          <a:prstGeom prst="roundRect">
            <a:avLst/>
          </a:prstGeom>
          <a:solidFill>
            <a:schemeClr val="accent1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4" name="BtnPP">
            <a:extLst>
              <a:ext uri="{FF2B5EF4-FFF2-40B4-BE49-F238E27FC236}">
                <a16:creationId xmlns:a16="http://schemas.microsoft.com/office/drawing/2014/main" id="{EF53683D-3271-8F83-12AE-44C68FA32231}"/>
              </a:ext>
            </a:extLst>
          </xdr:cNvPr>
          <xdr:cNvSpPr/>
        </xdr:nvSpPr>
        <xdr:spPr>
          <a:xfrm>
            <a:off x="4526281" y="818468"/>
            <a:ext cx="1942550" cy="248157"/>
          </a:xfrm>
          <a:prstGeom prst="roundRect">
            <a:avLst/>
          </a:prstGeom>
          <a:solidFill>
            <a:schemeClr val="accent2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Registre des parties prenantes</a:t>
            </a:r>
          </a:p>
        </xdr:txBody>
      </xdr:sp>
      <xdr:sp macro="[0]!NavBar" textlink="">
        <xdr:nvSpPr>
          <xdr:cNvPr id="5" name="BtnSettings">
            <a:extLst>
              <a:ext uri="{FF2B5EF4-FFF2-40B4-BE49-F238E27FC236}">
                <a16:creationId xmlns:a16="http://schemas.microsoft.com/office/drawing/2014/main" id="{2FBA66B5-32C3-BC67-6E10-8031F696503F}"/>
              </a:ext>
            </a:extLst>
          </xdr:cNvPr>
          <xdr:cNvSpPr/>
        </xdr:nvSpPr>
        <xdr:spPr>
          <a:xfrm>
            <a:off x="8199627" y="816712"/>
            <a:ext cx="1275393" cy="248157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  <xdr:sp macro="[0]!NavBar" textlink="">
        <xdr:nvSpPr>
          <xdr:cNvPr id="6" name="BtnMatrice">
            <a:extLst>
              <a:ext uri="{FF2B5EF4-FFF2-40B4-BE49-F238E27FC236}">
                <a16:creationId xmlns:a16="http://schemas.microsoft.com/office/drawing/2014/main" id="{F0BBE813-3FDB-B713-CBFF-B17AB5C245EC}"/>
              </a:ext>
            </a:extLst>
          </xdr:cNvPr>
          <xdr:cNvSpPr/>
        </xdr:nvSpPr>
        <xdr:spPr>
          <a:xfrm>
            <a:off x="6537960" y="815340"/>
            <a:ext cx="1600199" cy="248157"/>
          </a:xfrm>
          <a:prstGeom prst="roundRect">
            <a:avLst/>
          </a:prstGeom>
          <a:solidFill>
            <a:srgbClr val="00B05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Matrice Pouvoir-Intérêt</a:t>
            </a:r>
          </a:p>
        </xdr:txBody>
      </xdr:sp>
    </xdr:grpSp>
    <xdr:clientData/>
  </xdr:twoCellAnchor>
  <xdr:oneCellAnchor>
    <xdr:from>
      <xdr:col>4</xdr:col>
      <xdr:colOff>1386840</xdr:colOff>
      <xdr:row>9</xdr:row>
      <xdr:rowOff>30900</xdr:rowOff>
    </xdr:from>
    <xdr:ext cx="126000" cy="126000"/>
    <xdr:pic macro="[0]!AddRow">
      <xdr:nvPicPr>
        <xdr:cNvPr id="7" name="BtnAddStatut" descr="Add with solid fill">
          <a:extLst>
            <a:ext uri="{FF2B5EF4-FFF2-40B4-BE49-F238E27FC236}">
              <a16:creationId xmlns:a16="http://schemas.microsoft.com/office/drawing/2014/main" id="{D9386153-9041-4D9F-90E0-C34399AE5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94560" y="1844460"/>
          <a:ext cx="126000" cy="126000"/>
        </a:xfrm>
        <a:prstGeom prst="rect">
          <a:avLst/>
        </a:prstGeom>
      </xdr:spPr>
    </xdr:pic>
    <xdr:clientData/>
  </xdr:oneCellAnchor>
  <xdr:oneCellAnchor>
    <xdr:from>
      <xdr:col>4</xdr:col>
      <xdr:colOff>1622640</xdr:colOff>
      <xdr:row>9</xdr:row>
      <xdr:rowOff>30480</xdr:rowOff>
    </xdr:from>
    <xdr:ext cx="126000" cy="126000"/>
    <xdr:pic macro="[0]!DeleteRow">
      <xdr:nvPicPr>
        <xdr:cNvPr id="8" name="BtnDeleteStatut" descr="Close with solid fill">
          <a:extLst>
            <a:ext uri="{FF2B5EF4-FFF2-40B4-BE49-F238E27FC236}">
              <a16:creationId xmlns:a16="http://schemas.microsoft.com/office/drawing/2014/main" id="{8E275BE9-52D2-4E2F-BB63-09554C256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0360" y="1844040"/>
          <a:ext cx="126000" cy="1260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9E667E-F7B7-42D4-B553-BFC6E8D85DCB}" name="TabPP" displayName="TabPP" ref="B18:H30" totalsRowShown="0" headerRowDxfId="31" dataDxfId="30">
  <autoFilter ref="B18:H30" xr:uid="{33E3240D-BF9D-4573-B8FB-069805BF94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1C2732D-5B6C-4429-9032-DCDA4735233C}" name="ID" dataDxfId="29">
      <calculatedColumnFormula>ROW()-ROW(TabPP[[#Headers],[ID]])</calculatedColumnFormula>
    </tableColumn>
    <tableColumn id="3" xr3:uid="{7E451A95-2F24-40EE-A48A-9A5D299638BE}" name="Acteur" dataDxfId="28"/>
    <tableColumn id="12" xr3:uid="{FC800F2D-8B4F-42C5-8EEC-580367F89A08}" name="Rôle/fonction" dataDxfId="27"/>
    <tableColumn id="5" xr3:uid="{714C7C2E-7745-45A5-AA52-6DE7BB6C22F9}" name="Pouvoir d’influence (Notation 1 à 5)" dataDxfId="26"/>
    <tableColumn id="13" xr3:uid="{6170B36A-B59F-46AE-917C-1BB992E6FC5D}" name="Soutien au projet (Notation 1 à 5)" dataDxfId="25"/>
    <tableColumn id="6" xr3:uid="{EB6C4F50-112E-405C-B542-29861611BA0E}" name="Catégorie" dataDxfId="24">
      <calculatedColumnFormula array="1">INDEX(TabNotation[Catégorie], MATCH(1, (TabNotation[Pouvoir]=TabPP[[#This Row],[Pouvoir d’influence (Notation 1 à 5)]])*(TabNotation[Soutien]=TabPP[[#This Row],[Soutien au projet (Notation 1 à 5)]]), 0))</calculatedColumnFormula>
    </tableColumn>
    <tableColumn id="2" xr3:uid="{6BC082EA-4E38-470F-968C-37C37B96D9CF}" name="Stratégie" dataDxfId="23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A971F0A-99A8-405B-BFF6-99819D89D9AA}" name="TabPouvoirInfluence" displayName="TabPouvoirInfluence" ref="C10:C15" totalsRowShown="0" headerRowDxfId="22" dataDxfId="21">
  <autoFilter ref="C10:C15" xr:uid="{C08E2366-D736-428D-85B0-A6B12D57CDEA}">
    <filterColumn colId="0" hiddenButton="1"/>
  </autoFilter>
  <tableColumns count="1">
    <tableColumn id="1" xr3:uid="{7AA7F129-F647-4C1F-BDCD-409272E69805}" name="Pouvoir d'influence" dataDxfId="2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9491A1D-631B-4579-A290-C0704E5349C1}" name="TabStratégie" displayName="TabStratégie" ref="CE10:CE14" totalsRowShown="0" headerRowDxfId="19" dataDxfId="18">
  <autoFilter ref="CE10:CE14" xr:uid="{99491A1D-631B-4579-A290-C0704E5349C1}">
    <filterColumn colId="0" hiddenButton="1"/>
  </autoFilter>
  <tableColumns count="1">
    <tableColumn id="1" xr3:uid="{C113ABA8-8E54-49FC-AFBF-443B72390F52}" name="Stratégie" dataDxfId="17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AD67ED-4FBC-44A2-87F7-62CFA7DE3990}" name="TabSoutienProjet" displayName="TabSoutienProjet" ref="E10:E15" totalsRowShown="0" headerRowDxfId="16" dataDxfId="15">
  <autoFilter ref="E10:E15" xr:uid="{B6AD67ED-4FBC-44A2-87F7-62CFA7DE3990}">
    <filterColumn colId="0" hiddenButton="1"/>
  </autoFilter>
  <tableColumns count="1">
    <tableColumn id="1" xr3:uid="{20C854F8-E3E4-461F-B723-57FE590EE209}" name="Soutien au projet" dataDxfId="14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D4D161-FBDE-4944-9A09-0C57F0E35F6C}" name="TabNotation" displayName="TabNotation" ref="A1:F37" totalsRowShown="0" headerRowDxfId="13" dataDxfId="12">
  <autoFilter ref="A1:F37" xr:uid="{F1D4D161-FBDE-4944-9A09-0C57F0E35F6C}"/>
  <tableColumns count="6">
    <tableColumn id="1" xr3:uid="{E370844A-1B82-4AA9-902A-2B0AC494D769}" name="Pouvoir" dataDxfId="11"/>
    <tableColumn id="2" xr3:uid="{FF206A40-178F-49CB-86B7-D7AB536DA20B}" name="Soutien" dataDxfId="10"/>
    <tableColumn id="3" xr3:uid="{9F10D23B-3737-4F6D-B2FC-B37E83CBC6D1}" name="Score" dataDxfId="9">
      <calculatedColumnFormula>TabNotation[[#This Row],[Pouvoir]]*TabNotation[[#This Row],[Soutien]]</calculatedColumnFormula>
    </tableColumn>
    <tableColumn id="4" xr3:uid="{FF0A36F1-1353-444A-8996-03A6FC56F80F}" name="Catégorie" dataDxfId="8"/>
    <tableColumn id="5" xr3:uid="{31B53AC5-7919-4B0A-A595-9D61425B513F}" name="Position X" dataDxfId="7"/>
    <tableColumn id="6" xr3:uid="{D6E4CB6E-082A-4189-952D-A68E1600CCFF}" name="Position Y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694090-79AE-411E-8DBD-9019794CCE23}" name="Table4" displayName="Table4" ref="I1:J7" totalsRowShown="0" headerRowDxfId="5" dataDxfId="3" headerRowBorderDxfId="4" tableBorderDxfId="2">
  <autoFilter ref="I1:J7" xr:uid="{2F694090-79AE-411E-8DBD-9019794CCE23}"/>
  <tableColumns count="2">
    <tableColumn id="1" xr3:uid="{00178EC1-B1FA-45C0-9215-8D3817EC245E}" name="Score" dataDxfId="1"/>
    <tableColumn id="2" xr3:uid="{2185726B-ABAE-44B0-9A2E-DAC77C78A2E9}" name="Not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13D97-BD28-4801-9DEA-FA3FF4A156D8}">
  <sheetPr codeName="ShRegPP">
    <tabColor rgb="FFFFC000"/>
  </sheetPr>
  <dimension ref="B1:L98"/>
  <sheetViews>
    <sheetView showGridLines="0" tabSelected="1" topLeftCell="A8" workbookViewId="0">
      <selection activeCell="C24" sqref="C24"/>
    </sheetView>
  </sheetViews>
  <sheetFormatPr defaultColWidth="8.88671875" defaultRowHeight="14.4" x14ac:dyDescent="0.3"/>
  <cols>
    <col min="1" max="1" width="3.109375" customWidth="1"/>
    <col min="2" max="2" width="5.6640625" customWidth="1"/>
    <col min="3" max="3" width="22" customWidth="1"/>
    <col min="4" max="4" width="32.6640625" customWidth="1"/>
    <col min="5" max="5" width="19.88671875" customWidth="1"/>
    <col min="6" max="6" width="21.88671875" bestFit="1" customWidth="1"/>
    <col min="7" max="7" width="26.5546875" customWidth="1"/>
    <col min="8" max="8" width="24.88671875" customWidth="1"/>
    <col min="9" max="9" width="12.5546875" customWidth="1"/>
    <col min="10" max="10" width="18.33203125" customWidth="1"/>
    <col min="11" max="11" width="34.88671875" customWidth="1"/>
    <col min="12" max="12" width="26.6640625" customWidth="1"/>
    <col min="13" max="17" width="8.88671875" customWidth="1"/>
  </cols>
  <sheetData>
    <row r="1" spans="2:12" ht="19.95" customHeight="1" x14ac:dyDescent="0.3">
      <c r="G1" s="1" t="s">
        <v>0</v>
      </c>
      <c r="H1" s="2">
        <v>44893</v>
      </c>
    </row>
    <row r="2" spans="2:12" ht="14.4" hidden="1" customHeight="1" x14ac:dyDescent="0.3">
      <c r="G2" s="3"/>
      <c r="H2" s="4"/>
    </row>
    <row r="3" spans="2:12" ht="19.95" customHeight="1" x14ac:dyDescent="0.3">
      <c r="G3" s="1" t="s">
        <v>1</v>
      </c>
      <c r="H3" s="2"/>
    </row>
    <row r="4" spans="2:12" ht="14.4" hidden="1" customHeight="1" x14ac:dyDescent="0.3">
      <c r="G4" s="3"/>
      <c r="H4" s="4"/>
    </row>
    <row r="5" spans="2:12" ht="19.95" customHeight="1" thickBot="1" x14ac:dyDescent="0.35">
      <c r="G5" s="5" t="s">
        <v>2</v>
      </c>
      <c r="H5" s="6" t="s">
        <v>3</v>
      </c>
    </row>
    <row r="6" spans="2:12" ht="10.199999999999999" customHeight="1" thickTop="1" x14ac:dyDescent="0.3"/>
    <row r="7" spans="2:12" x14ac:dyDescent="0.3">
      <c r="C7" s="9" t="s">
        <v>4</v>
      </c>
      <c r="D7" s="10" t="s">
        <v>5</v>
      </c>
      <c r="F7" s="9" t="s">
        <v>6</v>
      </c>
      <c r="G7" s="10" t="s">
        <v>7</v>
      </c>
    </row>
    <row r="8" spans="2:12" ht="1.95" customHeight="1" x14ac:dyDescent="0.3">
      <c r="C8" s="11"/>
      <c r="D8" s="12"/>
      <c r="F8" s="11"/>
      <c r="G8" s="12"/>
    </row>
    <row r="9" spans="2:12" x14ac:dyDescent="0.3">
      <c r="C9" s="9" t="s">
        <v>8</v>
      </c>
      <c r="D9" s="10" t="s">
        <v>9</v>
      </c>
      <c r="F9" s="9" t="s">
        <v>10</v>
      </c>
      <c r="G9" s="10" t="s">
        <v>11</v>
      </c>
    </row>
    <row r="10" spans="2:12" ht="15" thickBot="1" x14ac:dyDescent="0.35"/>
    <row r="11" spans="2:12" ht="30.75" customHeight="1" thickTop="1" thickBot="1" x14ac:dyDescent="0.35">
      <c r="B11" s="7"/>
      <c r="C11" s="26" t="s">
        <v>52</v>
      </c>
      <c r="D11" s="27"/>
      <c r="E11" s="7"/>
      <c r="F11" s="7"/>
      <c r="G11" s="7"/>
      <c r="H11" s="7"/>
      <c r="I11" s="7"/>
      <c r="J11" s="7"/>
      <c r="K11" s="7"/>
      <c r="L11" s="7"/>
    </row>
    <row r="12" spans="2:12" s="34" customFormat="1" ht="28.2" customHeight="1" thickTop="1" x14ac:dyDescent="0.3">
      <c r="B12" s="50"/>
      <c r="C12" s="51"/>
      <c r="D12" s="52"/>
      <c r="E12" s="50"/>
      <c r="F12" s="50"/>
      <c r="G12" s="50"/>
      <c r="H12" s="50"/>
      <c r="I12" s="50"/>
      <c r="J12" s="50"/>
      <c r="K12" s="50"/>
      <c r="L12" s="50"/>
    </row>
    <row r="13" spans="2:12" ht="21" customHeight="1" x14ac:dyDescent="0.3">
      <c r="B13" t="s">
        <v>54</v>
      </c>
    </row>
    <row r="14" spans="2:12" ht="12.6" customHeight="1" x14ac:dyDescent="0.3">
      <c r="B14" t="s">
        <v>55</v>
      </c>
    </row>
    <row r="15" spans="2:12" ht="12.6" customHeight="1" x14ac:dyDescent="0.3">
      <c r="B15" t="s">
        <v>56</v>
      </c>
    </row>
    <row r="16" spans="2:12" ht="31.2" customHeight="1" x14ac:dyDescent="0.3">
      <c r="B16" s="59" t="s">
        <v>57</v>
      </c>
      <c r="C16" s="59"/>
      <c r="D16" s="59"/>
      <c r="E16" s="59"/>
      <c r="F16" s="59"/>
      <c r="G16" s="59"/>
      <c r="H16" s="59"/>
      <c r="I16" s="59"/>
      <c r="J16" s="59"/>
      <c r="K16" s="59"/>
      <c r="L16" s="59"/>
    </row>
    <row r="17" spans="2:12" ht="43.2" x14ac:dyDescent="0.3">
      <c r="B17" s="54" t="s">
        <v>12</v>
      </c>
      <c r="C17" s="55" t="s">
        <v>26</v>
      </c>
      <c r="D17" s="55" t="s">
        <v>27</v>
      </c>
      <c r="E17" s="55" t="s">
        <v>40</v>
      </c>
      <c r="F17" s="55" t="s">
        <v>41</v>
      </c>
      <c r="G17" s="55" t="s">
        <v>53</v>
      </c>
      <c r="H17" s="56" t="s">
        <v>15</v>
      </c>
      <c r="I17" s="53"/>
      <c r="J17" s="53"/>
      <c r="K17" s="53"/>
      <c r="L17" s="53"/>
    </row>
    <row r="18" spans="2:12" ht="28.8" hidden="1" x14ac:dyDescent="0.3">
      <c r="B18" s="33" t="s">
        <v>12</v>
      </c>
      <c r="C18" s="33" t="s">
        <v>26</v>
      </c>
      <c r="D18" s="33" t="s">
        <v>27</v>
      </c>
      <c r="E18" s="33" t="s">
        <v>40</v>
      </c>
      <c r="F18" s="33" t="s">
        <v>41</v>
      </c>
      <c r="G18" s="33" t="s">
        <v>29</v>
      </c>
      <c r="H18" s="33" t="s">
        <v>15</v>
      </c>
    </row>
    <row r="19" spans="2:12" x14ac:dyDescent="0.3">
      <c r="B19" s="13">
        <f>ROW()-ROW(TabPP[[#Headers],[ID]])</f>
        <v>1</v>
      </c>
      <c r="C19" s="14" t="s">
        <v>59</v>
      </c>
      <c r="D19" s="14" t="s">
        <v>42</v>
      </c>
      <c r="E19" s="13">
        <v>5</v>
      </c>
      <c r="F19" s="13">
        <v>1</v>
      </c>
      <c r="G19" s="13" t="str" cm="1">
        <f t="array" ref="G19">INDEX(TabNotation[Catégorie], MATCH(1, (TabNotation[Pouvoir]=TabPP[[#This Row],[Pouvoir d’influence (Notation 1 à 5)]])*(TabNotation[Soutien]=TabPP[[#This Row],[Soutien au projet (Notation 1 à 5)]]), 0))</f>
        <v>Opposants influents</v>
      </c>
      <c r="H19" s="14" t="s">
        <v>50</v>
      </c>
    </row>
    <row r="20" spans="2:12" x14ac:dyDescent="0.3">
      <c r="B20" s="13">
        <f>ROW()-ROW(TabPP[[#Headers],[ID]])</f>
        <v>2</v>
      </c>
      <c r="C20" s="14" t="s">
        <v>60</v>
      </c>
      <c r="D20" s="14" t="s">
        <v>43</v>
      </c>
      <c r="E20" s="13">
        <v>5</v>
      </c>
      <c r="F20" s="13">
        <v>1</v>
      </c>
      <c r="G20" s="13" t="str" cm="1">
        <f t="array" ref="G20">INDEX(TabNotation[Catégorie], MATCH(1, (TabNotation[Pouvoir]=TabPP[[#This Row],[Pouvoir d’influence (Notation 1 à 5)]])*(TabNotation[Soutien]=TabPP[[#This Row],[Soutien au projet (Notation 1 à 5)]]), 0))</f>
        <v>Opposants influents</v>
      </c>
      <c r="H20" s="14"/>
    </row>
    <row r="21" spans="2:12" x14ac:dyDescent="0.3">
      <c r="B21" s="13">
        <f>ROW()-ROW(TabPP[[#Headers],[ID]])</f>
        <v>3</v>
      </c>
      <c r="C21" s="14" t="s">
        <v>61</v>
      </c>
      <c r="D21" s="14" t="s">
        <v>20</v>
      </c>
      <c r="E21" s="13">
        <v>5</v>
      </c>
      <c r="F21" s="13">
        <v>1</v>
      </c>
      <c r="G21" s="13" t="str" cm="1">
        <f t="array" ref="G21">INDEX(TabNotation[Catégorie], MATCH(1, (TabNotation[Pouvoir]=TabPP[[#This Row],[Pouvoir d’influence (Notation 1 à 5)]])*(TabNotation[Soutien]=TabPP[[#This Row],[Soutien au projet (Notation 1 à 5)]]), 0))</f>
        <v>Opposants influents</v>
      </c>
      <c r="H21" s="14"/>
    </row>
    <row r="22" spans="2:12" x14ac:dyDescent="0.3">
      <c r="B22" s="13">
        <f>ROW()-ROW(TabPP[[#Headers],[ID]])</f>
        <v>4</v>
      </c>
      <c r="C22" s="14" t="s">
        <v>62</v>
      </c>
      <c r="D22" s="14" t="s">
        <v>21</v>
      </c>
      <c r="E22" s="13">
        <v>5</v>
      </c>
      <c r="F22" s="13">
        <v>3</v>
      </c>
      <c r="G22" s="13" t="str" cm="1">
        <f t="array" ref="G22">INDEX(TabNotation[Catégorie], MATCH(1, (TabNotation[Pouvoir]=TabPP[[#This Row],[Pouvoir d’influence (Notation 1 à 5)]])*(TabNotation[Soutien]=TabPP[[#This Row],[Soutien au projet (Notation 1 à 5)]]), 0))</f>
        <v>Supporteurs passifs</v>
      </c>
      <c r="H22" s="14"/>
    </row>
    <row r="23" spans="2:12" x14ac:dyDescent="0.3">
      <c r="B23" s="13">
        <f>ROW()-ROW(TabPP[[#Headers],[ID]])</f>
        <v>5</v>
      </c>
      <c r="C23" s="14" t="s">
        <v>63</v>
      </c>
      <c r="D23" s="14" t="s">
        <v>22</v>
      </c>
      <c r="E23" s="13">
        <v>5</v>
      </c>
      <c r="F23" s="13">
        <v>3</v>
      </c>
      <c r="G23" s="13" t="str" cm="1">
        <f t="array" ref="G23">INDEX(TabNotation[Catégorie], MATCH(1, (TabNotation[Pouvoir]=TabPP[[#This Row],[Pouvoir d’influence (Notation 1 à 5)]])*(TabNotation[Soutien]=TabPP[[#This Row],[Soutien au projet (Notation 1 à 5)]]), 0))</f>
        <v>Supporteurs passifs</v>
      </c>
      <c r="H23" s="14" t="s">
        <v>51</v>
      </c>
    </row>
    <row r="24" spans="2:12" x14ac:dyDescent="0.3">
      <c r="B24" s="13">
        <f>ROW()-ROW(TabPP[[#Headers],[ID]])</f>
        <v>6</v>
      </c>
      <c r="C24" s="14" t="s">
        <v>64</v>
      </c>
      <c r="D24" s="14" t="s">
        <v>23</v>
      </c>
      <c r="E24" s="13">
        <v>5</v>
      </c>
      <c r="F24" s="13">
        <v>1</v>
      </c>
      <c r="G24" s="13" t="str" cm="1">
        <f t="array" ref="G24">INDEX(TabNotation[Catégorie], MATCH(1, (TabNotation[Pouvoir]=TabPP[[#This Row],[Pouvoir d’influence (Notation 1 à 5)]])*(TabNotation[Soutien]=TabPP[[#This Row],[Soutien au projet (Notation 1 à 5)]]), 0))</f>
        <v>Opposants influents</v>
      </c>
      <c r="H24" s="14"/>
    </row>
    <row r="25" spans="2:12" x14ac:dyDescent="0.3">
      <c r="B25" s="13">
        <f>ROW()-ROW(TabPP[[#Headers],[ID]])</f>
        <v>7</v>
      </c>
      <c r="C25" s="14" t="s">
        <v>65</v>
      </c>
      <c r="D25" s="14" t="s">
        <v>23</v>
      </c>
      <c r="E25" s="13">
        <v>3</v>
      </c>
      <c r="F25" s="13">
        <v>5</v>
      </c>
      <c r="G25" s="13" t="str" cm="1">
        <f t="array" ref="G25">INDEX(TabNotation[Catégorie], MATCH(1, (TabNotation[Pouvoir]=TabPP[[#This Row],[Pouvoir d’influence (Notation 1 à 5)]])*(TabNotation[Soutien]=TabPP[[#This Row],[Soutien au projet (Notation 1 à 5)]]), 0))</f>
        <v>Supporteurs actifs</v>
      </c>
      <c r="H25" s="14"/>
    </row>
    <row r="26" spans="2:12" x14ac:dyDescent="0.3">
      <c r="B26" s="13">
        <f>ROW()-ROW(TabPP[[#Headers],[ID]])</f>
        <v>8</v>
      </c>
      <c r="C26" s="14" t="s">
        <v>66</v>
      </c>
      <c r="D26" s="14" t="s">
        <v>24</v>
      </c>
      <c r="E26" s="13">
        <v>5</v>
      </c>
      <c r="F26" s="13">
        <v>4</v>
      </c>
      <c r="G26" s="13" t="str" cm="1">
        <f t="array" ref="G26">INDEX(TabNotation[Catégorie], MATCH(1, (TabNotation[Pouvoir]=TabPP[[#This Row],[Pouvoir d’influence (Notation 1 à 5)]])*(TabNotation[Soutien]=TabPP[[#This Row],[Soutien au projet (Notation 1 à 5)]]), 0))</f>
        <v>Leaders du projet</v>
      </c>
      <c r="H26" s="14"/>
    </row>
    <row r="27" spans="2:12" x14ac:dyDescent="0.3">
      <c r="B27" s="13">
        <f>ROW()-ROW(TabPP[[#Headers],[ID]])</f>
        <v>9</v>
      </c>
      <c r="C27" s="14" t="s">
        <v>67</v>
      </c>
      <c r="D27" s="14" t="s">
        <v>25</v>
      </c>
      <c r="E27" s="13">
        <v>5</v>
      </c>
      <c r="F27" s="13">
        <v>5</v>
      </c>
      <c r="G27" s="13" t="str" cm="1">
        <f t="array" ref="G27">INDEX(TabNotation[Catégorie], MATCH(1, (TabNotation[Pouvoir]=TabPP[[#This Row],[Pouvoir d’influence (Notation 1 à 5)]])*(TabNotation[Soutien]=TabPP[[#This Row],[Soutien au projet (Notation 1 à 5)]]), 0))</f>
        <v>Leaders du projet</v>
      </c>
      <c r="H27" s="14"/>
    </row>
    <row r="28" spans="2:12" x14ac:dyDescent="0.3">
      <c r="B28" s="13">
        <f>ROW()-ROW(TabPP[[#Headers],[ID]])</f>
        <v>10</v>
      </c>
      <c r="C28" s="14" t="s">
        <v>68</v>
      </c>
      <c r="D28" s="14" t="s">
        <v>25</v>
      </c>
      <c r="E28" s="13">
        <v>5</v>
      </c>
      <c r="F28" s="13">
        <v>2</v>
      </c>
      <c r="G28" s="13" t="str" cm="1">
        <f t="array" ref="G28">INDEX(TabNotation[Catégorie], MATCH(1, (TabNotation[Pouvoir]=TabPP[[#This Row],[Pouvoir d’influence (Notation 1 à 5)]])*(TabNotation[Soutien]=TabPP[[#This Row],[Soutien au projet (Notation 1 à 5)]]), 0))</f>
        <v>Supporteurs passifs</v>
      </c>
      <c r="H28" s="14" t="s">
        <v>50</v>
      </c>
    </row>
    <row r="29" spans="2:12" x14ac:dyDescent="0.3">
      <c r="B29" s="13">
        <f>ROW()-ROW(TabPP[[#Headers],[ID]])</f>
        <v>11</v>
      </c>
      <c r="C29" s="14" t="s">
        <v>69</v>
      </c>
      <c r="D29" s="14" t="s">
        <v>25</v>
      </c>
      <c r="E29" s="13">
        <v>3</v>
      </c>
      <c r="F29" s="13">
        <v>4</v>
      </c>
      <c r="G29" s="13" t="str" cm="1">
        <f t="array" ref="G29">INDEX(TabNotation[Catégorie], MATCH(1, (TabNotation[Pouvoir]=TabPP[[#This Row],[Pouvoir d’influence (Notation 1 à 5)]])*(TabNotation[Soutien]=TabPP[[#This Row],[Soutien au projet (Notation 1 à 5)]]), 0))</f>
        <v>Supporteurs actifs</v>
      </c>
      <c r="H29" s="14"/>
    </row>
    <row r="30" spans="2:12" x14ac:dyDescent="0.3">
      <c r="B30" s="13">
        <f>ROW()-ROW(TabPP[[#Headers],[ID]])</f>
        <v>12</v>
      </c>
      <c r="C30" s="14" t="s">
        <v>70</v>
      </c>
      <c r="D30" s="14" t="s">
        <v>25</v>
      </c>
      <c r="E30" s="13">
        <v>3</v>
      </c>
      <c r="F30" s="13">
        <v>1</v>
      </c>
      <c r="G30" s="13" t="str" cm="1">
        <f t="array" ref="G30">INDEX(TabNotation[Catégorie], MATCH(1, (TabNotation[Pouvoir]=TabPP[[#This Row],[Pouvoir d’influence (Notation 1 à 5)]])*(TabNotation[Soutien]=TabPP[[#This Row],[Soutien au projet (Notation 1 à 5)]]), 0))</f>
        <v>Opposants mineurs</v>
      </c>
      <c r="H30" s="14"/>
    </row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21" customHeight="1" x14ac:dyDescent="0.3"/>
    <row r="68" ht="21" customHeight="1" x14ac:dyDescent="0.3"/>
    <row r="69" ht="21" customHeight="1" x14ac:dyDescent="0.3"/>
    <row r="70" ht="21" customHeight="1" x14ac:dyDescent="0.3"/>
    <row r="71" ht="21" customHeight="1" x14ac:dyDescent="0.3"/>
    <row r="72" ht="21" customHeight="1" x14ac:dyDescent="0.3"/>
    <row r="73" ht="21" customHeight="1" x14ac:dyDescent="0.3"/>
    <row r="74" ht="21" customHeight="1" x14ac:dyDescent="0.3"/>
    <row r="75" ht="21" customHeight="1" x14ac:dyDescent="0.3"/>
    <row r="76" ht="21" customHeight="1" x14ac:dyDescent="0.3"/>
    <row r="77" ht="21" customHeight="1" x14ac:dyDescent="0.3"/>
    <row r="78" ht="21" customHeight="1" x14ac:dyDescent="0.3"/>
    <row r="79" ht="21" customHeight="1" x14ac:dyDescent="0.3"/>
    <row r="80" ht="21" customHeight="1" x14ac:dyDescent="0.3"/>
    <row r="81" ht="21" customHeight="1" x14ac:dyDescent="0.3"/>
    <row r="82" ht="21" customHeight="1" x14ac:dyDescent="0.3"/>
    <row r="83" ht="21" customHeight="1" x14ac:dyDescent="0.3"/>
    <row r="84" ht="21" customHeight="1" x14ac:dyDescent="0.3"/>
    <row r="85" ht="21" customHeight="1" x14ac:dyDescent="0.3"/>
    <row r="86" ht="21" customHeight="1" x14ac:dyDescent="0.3"/>
    <row r="87" ht="21" customHeight="1" x14ac:dyDescent="0.3"/>
    <row r="88" ht="21" customHeight="1" x14ac:dyDescent="0.3"/>
    <row r="89" ht="21" customHeight="1" x14ac:dyDescent="0.3"/>
    <row r="90" ht="21" customHeight="1" x14ac:dyDescent="0.3"/>
    <row r="91" ht="21" customHeight="1" x14ac:dyDescent="0.3"/>
    <row r="92" ht="21" customHeight="1" x14ac:dyDescent="0.3"/>
    <row r="93" ht="21" customHeight="1" x14ac:dyDescent="0.3"/>
    <row r="94" ht="21" customHeight="1" x14ac:dyDescent="0.3"/>
    <row r="95" ht="21" customHeight="1" x14ac:dyDescent="0.3"/>
    <row r="96" ht="21" customHeight="1" x14ac:dyDescent="0.3"/>
    <row r="97" ht="21" customHeight="1" x14ac:dyDescent="0.3"/>
    <row r="98" ht="21" customHeight="1" x14ac:dyDescent="0.3"/>
  </sheetData>
  <mergeCells count="1">
    <mergeCell ref="B16:L16"/>
  </mergeCells>
  <phoneticPr fontId="22" type="noConversion"/>
  <dataValidations count="1">
    <dataValidation type="list" allowBlank="1" showInputMessage="1" showErrorMessage="1" sqref="E19:F30" xr:uid="{83996586-F846-4762-9211-CE6729743A81}">
      <formula1>INDIRECT("TabPouvoirInfluence")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FE200-DD73-4467-BECC-6BC56D159989}">
  <sheetPr codeName="ShMatrice">
    <tabColor theme="4" tint="-0.249977111117893"/>
  </sheetPr>
  <dimension ref="B1:L335"/>
  <sheetViews>
    <sheetView showGridLines="0" zoomScaleNormal="100" workbookViewId="0">
      <selection activeCell="I13" sqref="I13"/>
    </sheetView>
  </sheetViews>
  <sheetFormatPr defaultColWidth="8.88671875" defaultRowHeight="14.4" x14ac:dyDescent="0.3"/>
  <cols>
    <col min="1" max="1" width="2.5546875" customWidth="1"/>
    <col min="2" max="2" width="3.5546875" customWidth="1"/>
    <col min="3" max="3" width="19.44140625" style="24" customWidth="1"/>
    <col min="4" max="4" width="22.33203125" style="25" customWidth="1"/>
    <col min="5" max="7" width="31.33203125" customWidth="1"/>
    <col min="8" max="8" width="21.88671875" bestFit="1" customWidth="1"/>
    <col min="9" max="9" width="22.109375" customWidth="1"/>
    <col min="10" max="10" width="5.33203125" customWidth="1"/>
    <col min="11" max="11" width="19.6640625" customWidth="1"/>
    <col min="12" max="12" width="18" customWidth="1"/>
    <col min="13" max="13" width="17.6640625" customWidth="1"/>
    <col min="14" max="14" width="8.88671875" customWidth="1"/>
  </cols>
  <sheetData>
    <row r="1" spans="2:12" ht="19.95" customHeight="1" x14ac:dyDescent="0.3">
      <c r="E1" s="28" t="s">
        <v>4</v>
      </c>
      <c r="F1" s="10" t="s">
        <v>5</v>
      </c>
      <c r="H1" s="9" t="s">
        <v>6</v>
      </c>
      <c r="I1" s="10" t="s">
        <v>7</v>
      </c>
      <c r="K1" s="1" t="s">
        <v>0</v>
      </c>
      <c r="L1" s="2">
        <v>44893</v>
      </c>
    </row>
    <row r="2" spans="2:12" ht="14.4" hidden="1" customHeight="1" x14ac:dyDescent="0.3">
      <c r="E2" s="29"/>
      <c r="F2" s="12"/>
      <c r="H2" s="11"/>
      <c r="I2" s="12"/>
      <c r="K2" s="3"/>
      <c r="L2" s="4"/>
    </row>
    <row r="3" spans="2:12" ht="19.95" customHeight="1" x14ac:dyDescent="0.3">
      <c r="E3" s="28" t="s">
        <v>8</v>
      </c>
      <c r="F3" s="10" t="s">
        <v>9</v>
      </c>
      <c r="H3" s="9" t="s">
        <v>10</v>
      </c>
      <c r="I3" s="10" t="s">
        <v>11</v>
      </c>
      <c r="K3" s="1" t="s">
        <v>1</v>
      </c>
      <c r="L3" s="2"/>
    </row>
    <row r="4" spans="2:12" ht="14.4" hidden="1" customHeight="1" x14ac:dyDescent="0.3">
      <c r="K4" s="3"/>
      <c r="L4" s="4"/>
    </row>
    <row r="5" spans="2:12" ht="19.95" customHeight="1" thickBot="1" x14ac:dyDescent="0.35">
      <c r="K5" s="5" t="s">
        <v>2</v>
      </c>
      <c r="L5" s="6" t="s">
        <v>3</v>
      </c>
    </row>
    <row r="6" spans="2:12" ht="31.5" customHeight="1" thickTop="1" thickBot="1" x14ac:dyDescent="0.35">
      <c r="B6" s="7"/>
      <c r="C6" s="26" t="s">
        <v>52</v>
      </c>
      <c r="D6" s="27"/>
      <c r="E6" s="7"/>
      <c r="F6" s="7"/>
      <c r="G6" s="7"/>
      <c r="H6" s="7"/>
      <c r="I6" s="7"/>
      <c r="J6" s="7"/>
      <c r="K6" s="7"/>
      <c r="L6" s="7"/>
    </row>
    <row r="7" spans="2:12" s="34" customFormat="1" ht="51.6" customHeight="1" thickTop="1" x14ac:dyDescent="0.3">
      <c r="B7" s="60" t="s">
        <v>58</v>
      </c>
      <c r="C7" s="60"/>
      <c r="D7" s="60"/>
      <c r="E7" s="60"/>
      <c r="F7" s="60"/>
      <c r="G7" s="60"/>
      <c r="H7" s="60"/>
      <c r="I7" s="60"/>
      <c r="J7" s="60"/>
      <c r="K7" s="60"/>
      <c r="L7" s="60"/>
    </row>
    <row r="8" spans="2:12" ht="18.600000000000001" customHeight="1" x14ac:dyDescent="0.3"/>
    <row r="12" spans="2:12" ht="21" customHeight="1" x14ac:dyDescent="0.3"/>
    <row r="13" spans="2:12" ht="65.400000000000006" customHeight="1" x14ac:dyDescent="0.3"/>
    <row r="14" spans="2:12" ht="65.400000000000006" customHeight="1" x14ac:dyDescent="0.3"/>
    <row r="15" spans="2:12" s="30" customFormat="1" ht="65.400000000000006" customHeight="1" x14ac:dyDescent="0.3">
      <c r="C15" s="24"/>
      <c r="D15" s="25"/>
    </row>
    <row r="16" spans="2:12" ht="16.95" customHeight="1" x14ac:dyDescent="0.3">
      <c r="C16" s="31"/>
      <c r="D16" s="32"/>
    </row>
    <row r="17" spans="5:6" x14ac:dyDescent="0.3">
      <c r="E17" s="57" t="s">
        <v>12</v>
      </c>
      <c r="F17" s="58" t="s">
        <v>26</v>
      </c>
    </row>
    <row r="18" spans="5:6" x14ac:dyDescent="0.3">
      <c r="E18" s="49">
        <v>1</v>
      </c>
      <c r="F18" s="49" t="s">
        <v>59</v>
      </c>
    </row>
    <row r="19" spans="5:6" x14ac:dyDescent="0.3">
      <c r="E19" s="49">
        <v>2</v>
      </c>
      <c r="F19" s="49" t="s">
        <v>60</v>
      </c>
    </row>
    <row r="20" spans="5:6" x14ac:dyDescent="0.3">
      <c r="E20" s="49">
        <v>3</v>
      </c>
      <c r="F20" s="49" t="s">
        <v>61</v>
      </c>
    </row>
    <row r="21" spans="5:6" x14ac:dyDescent="0.3">
      <c r="E21" s="49">
        <v>4</v>
      </c>
      <c r="F21" s="49" t="s">
        <v>62</v>
      </c>
    </row>
    <row r="22" spans="5:6" x14ac:dyDescent="0.3">
      <c r="E22" s="49">
        <v>5</v>
      </c>
      <c r="F22" s="49" t="s">
        <v>63</v>
      </c>
    </row>
    <row r="23" spans="5:6" x14ac:dyDescent="0.3">
      <c r="E23" s="49">
        <v>6</v>
      </c>
      <c r="F23" s="49" t="s">
        <v>64</v>
      </c>
    </row>
    <row r="24" spans="5:6" x14ac:dyDescent="0.3">
      <c r="E24" s="49">
        <v>7</v>
      </c>
      <c r="F24" s="49" t="s">
        <v>65</v>
      </c>
    </row>
    <row r="25" spans="5:6" x14ac:dyDescent="0.3">
      <c r="E25" s="49">
        <v>8</v>
      </c>
      <c r="F25" s="49" t="s">
        <v>66</v>
      </c>
    </row>
    <row r="26" spans="5:6" x14ac:dyDescent="0.3">
      <c r="E26" s="49">
        <v>9</v>
      </c>
      <c r="F26" s="49" t="s">
        <v>67</v>
      </c>
    </row>
    <row r="27" spans="5:6" x14ac:dyDescent="0.3">
      <c r="E27" s="49">
        <v>10</v>
      </c>
      <c r="F27" s="49" t="s">
        <v>68</v>
      </c>
    </row>
    <row r="28" spans="5:6" x14ac:dyDescent="0.3">
      <c r="E28" s="49">
        <v>11</v>
      </c>
      <c r="F28" s="49" t="s">
        <v>69</v>
      </c>
    </row>
    <row r="29" spans="5:6" x14ac:dyDescent="0.3">
      <c r="E29" s="49">
        <v>12</v>
      </c>
      <c r="F29" s="49" t="s">
        <v>70</v>
      </c>
    </row>
    <row r="30" spans="5:6" x14ac:dyDescent="0.3">
      <c r="E30" s="49"/>
      <c r="F30" s="49"/>
    </row>
    <row r="31" spans="5:6" x14ac:dyDescent="0.3">
      <c r="E31" s="49"/>
      <c r="F31" s="49"/>
    </row>
    <row r="32" spans="5:6" x14ac:dyDescent="0.3">
      <c r="E32" s="49"/>
      <c r="F32" s="49"/>
    </row>
    <row r="33" spans="5:6" x14ac:dyDescent="0.3">
      <c r="E33" s="49"/>
      <c r="F33" s="49"/>
    </row>
    <row r="34" spans="5:6" x14ac:dyDescent="0.3">
      <c r="E34" s="49"/>
      <c r="F34" s="49"/>
    </row>
    <row r="35" spans="5:6" x14ac:dyDescent="0.3">
      <c r="E35" s="49"/>
      <c r="F35" s="49"/>
    </row>
    <row r="36" spans="5:6" x14ac:dyDescent="0.3">
      <c r="E36" s="49"/>
      <c r="F36" s="49"/>
    </row>
    <row r="37" spans="5:6" x14ac:dyDescent="0.3">
      <c r="E37" s="49"/>
      <c r="F37" s="49"/>
    </row>
    <row r="38" spans="5:6" x14ac:dyDescent="0.3">
      <c r="E38" s="49"/>
      <c r="F38" s="49"/>
    </row>
    <row r="39" spans="5:6" x14ac:dyDescent="0.3">
      <c r="E39" s="49"/>
      <c r="F39" s="49"/>
    </row>
    <row r="40" spans="5:6" x14ac:dyDescent="0.3">
      <c r="E40" s="49"/>
      <c r="F40" s="49"/>
    </row>
    <row r="41" spans="5:6" x14ac:dyDescent="0.3">
      <c r="E41" s="49"/>
      <c r="F41" s="49"/>
    </row>
    <row r="42" spans="5:6" x14ac:dyDescent="0.3">
      <c r="E42" s="49"/>
      <c r="F42" s="49"/>
    </row>
    <row r="43" spans="5:6" x14ac:dyDescent="0.3">
      <c r="E43" s="49"/>
      <c r="F43" s="49"/>
    </row>
    <row r="44" spans="5:6" ht="16.95" customHeight="1" x14ac:dyDescent="0.3">
      <c r="E44" s="49"/>
      <c r="F44" s="49"/>
    </row>
    <row r="45" spans="5:6" ht="16.95" customHeight="1" x14ac:dyDescent="0.3">
      <c r="E45" s="49"/>
      <c r="F45" s="49"/>
    </row>
    <row r="46" spans="5:6" ht="16.95" customHeight="1" x14ac:dyDescent="0.3">
      <c r="E46" s="49"/>
      <c r="F46" s="49"/>
    </row>
    <row r="47" spans="5:6" ht="16.95" customHeight="1" x14ac:dyDescent="0.3">
      <c r="E47" s="49"/>
      <c r="F47" s="49"/>
    </row>
    <row r="48" spans="5:6" ht="16.95" customHeight="1" x14ac:dyDescent="0.3">
      <c r="E48" s="49"/>
      <c r="F48" s="49"/>
    </row>
    <row r="49" spans="5:6" ht="16.95" customHeight="1" x14ac:dyDescent="0.3">
      <c r="E49" s="49"/>
      <c r="F49" s="49"/>
    </row>
    <row r="50" spans="5:6" ht="16.95" customHeight="1" x14ac:dyDescent="0.3">
      <c r="E50" s="49"/>
      <c r="F50" s="49"/>
    </row>
    <row r="51" spans="5:6" ht="16.95" customHeight="1" x14ac:dyDescent="0.3">
      <c r="E51" s="49"/>
      <c r="F51" s="49"/>
    </row>
    <row r="52" spans="5:6" ht="16.95" customHeight="1" x14ac:dyDescent="0.3">
      <c r="E52" s="49"/>
      <c r="F52" s="49"/>
    </row>
    <row r="53" spans="5:6" ht="16.95" customHeight="1" x14ac:dyDescent="0.3">
      <c r="E53" s="49"/>
      <c r="F53" s="49"/>
    </row>
    <row r="54" spans="5:6" ht="16.95" customHeight="1" x14ac:dyDescent="0.3">
      <c r="E54" s="49"/>
      <c r="F54" s="49"/>
    </row>
    <row r="55" spans="5:6" ht="16.95" customHeight="1" x14ac:dyDescent="0.3">
      <c r="E55" s="49"/>
      <c r="F55" s="49"/>
    </row>
    <row r="56" spans="5:6" ht="16.95" customHeight="1" x14ac:dyDescent="0.3">
      <c r="E56" s="49"/>
      <c r="F56" s="49"/>
    </row>
    <row r="57" spans="5:6" ht="16.95" customHeight="1" x14ac:dyDescent="0.3">
      <c r="E57" s="49"/>
      <c r="F57" s="49"/>
    </row>
    <row r="58" spans="5:6" ht="16.95" customHeight="1" x14ac:dyDescent="0.3">
      <c r="E58" s="49"/>
      <c r="F58" s="49"/>
    </row>
    <row r="59" spans="5:6" ht="16.95" customHeight="1" x14ac:dyDescent="0.3">
      <c r="E59" s="49"/>
      <c r="F59" s="49"/>
    </row>
    <row r="60" spans="5:6" ht="16.95" customHeight="1" x14ac:dyDescent="0.3">
      <c r="E60" s="49"/>
      <c r="F60" s="49"/>
    </row>
    <row r="61" spans="5:6" ht="16.95" customHeight="1" x14ac:dyDescent="0.3">
      <c r="E61" s="49"/>
      <c r="F61" s="49"/>
    </row>
    <row r="62" spans="5:6" ht="16.95" customHeight="1" x14ac:dyDescent="0.3">
      <c r="E62" s="49"/>
      <c r="F62" s="49"/>
    </row>
    <row r="63" spans="5:6" ht="16.95" customHeight="1" x14ac:dyDescent="0.3">
      <c r="E63" s="49"/>
      <c r="F63" s="49"/>
    </row>
    <row r="64" spans="5:6" ht="16.95" customHeight="1" x14ac:dyDescent="0.3">
      <c r="E64" s="49"/>
      <c r="F64" s="49"/>
    </row>
    <row r="65" spans="5:6" ht="16.95" customHeight="1" x14ac:dyDescent="0.3">
      <c r="E65" s="49"/>
      <c r="F65" s="49"/>
    </row>
    <row r="66" spans="5:6" ht="16.95" customHeight="1" x14ac:dyDescent="0.3">
      <c r="E66" s="49"/>
      <c r="F66" s="49"/>
    </row>
    <row r="67" spans="5:6" ht="16.95" customHeight="1" x14ac:dyDescent="0.3">
      <c r="E67" s="49"/>
      <c r="F67" s="49"/>
    </row>
    <row r="68" spans="5:6" ht="16.95" customHeight="1" x14ac:dyDescent="0.3">
      <c r="E68" s="49"/>
      <c r="F68" s="49"/>
    </row>
    <row r="69" spans="5:6" ht="16.95" customHeight="1" x14ac:dyDescent="0.3">
      <c r="E69" s="49"/>
      <c r="F69" s="49"/>
    </row>
    <row r="70" spans="5:6" ht="16.95" customHeight="1" x14ac:dyDescent="0.3">
      <c r="E70" s="49"/>
      <c r="F70" s="49"/>
    </row>
    <row r="71" spans="5:6" ht="16.95" customHeight="1" x14ac:dyDescent="0.3">
      <c r="E71" s="49"/>
      <c r="F71" s="49"/>
    </row>
    <row r="72" spans="5:6" ht="16.95" customHeight="1" x14ac:dyDescent="0.3">
      <c r="E72" s="49"/>
      <c r="F72" s="49"/>
    </row>
    <row r="73" spans="5:6" ht="16.95" customHeight="1" x14ac:dyDescent="0.3">
      <c r="E73" s="49"/>
      <c r="F73" s="49"/>
    </row>
    <row r="74" spans="5:6" ht="16.95" customHeight="1" x14ac:dyDescent="0.3">
      <c r="E74" s="49"/>
      <c r="F74" s="49"/>
    </row>
    <row r="75" spans="5:6" ht="16.95" customHeight="1" x14ac:dyDescent="0.3">
      <c r="E75" s="49"/>
      <c r="F75" s="49"/>
    </row>
    <row r="76" spans="5:6" ht="16.95" customHeight="1" x14ac:dyDescent="0.3">
      <c r="E76" s="49"/>
      <c r="F76" s="49"/>
    </row>
    <row r="77" spans="5:6" ht="16.95" customHeight="1" x14ac:dyDescent="0.3">
      <c r="E77" s="49"/>
      <c r="F77" s="49"/>
    </row>
    <row r="78" spans="5:6" ht="16.95" customHeight="1" x14ac:dyDescent="0.3">
      <c r="E78" s="49"/>
      <c r="F78" s="49"/>
    </row>
    <row r="79" spans="5:6" ht="16.95" customHeight="1" x14ac:dyDescent="0.3">
      <c r="E79" s="49"/>
      <c r="F79" s="49"/>
    </row>
    <row r="80" spans="5:6" ht="16.95" customHeight="1" x14ac:dyDescent="0.3">
      <c r="E80" s="49"/>
      <c r="F80" s="49"/>
    </row>
    <row r="81" spans="5:6" ht="16.95" customHeight="1" x14ac:dyDescent="0.3">
      <c r="E81" s="49"/>
      <c r="F81" s="49"/>
    </row>
    <row r="82" spans="5:6" ht="16.95" customHeight="1" x14ac:dyDescent="0.3">
      <c r="E82" s="49"/>
      <c r="F82" s="49"/>
    </row>
    <row r="83" spans="5:6" ht="16.95" customHeight="1" x14ac:dyDescent="0.3">
      <c r="E83" s="49"/>
      <c r="F83" s="49"/>
    </row>
    <row r="84" spans="5:6" ht="16.95" customHeight="1" x14ac:dyDescent="0.3">
      <c r="E84" s="49"/>
      <c r="F84" s="49"/>
    </row>
    <row r="85" spans="5:6" ht="16.95" customHeight="1" x14ac:dyDescent="0.3">
      <c r="E85" s="49"/>
      <c r="F85" s="49"/>
    </row>
    <row r="86" spans="5:6" ht="16.95" customHeight="1" x14ac:dyDescent="0.3">
      <c r="E86" s="49"/>
      <c r="F86" s="49"/>
    </row>
    <row r="87" spans="5:6" ht="16.95" customHeight="1" x14ac:dyDescent="0.3">
      <c r="E87" s="49"/>
      <c r="F87" s="49"/>
    </row>
    <row r="88" spans="5:6" x14ac:dyDescent="0.3">
      <c r="E88" s="49"/>
      <c r="F88" s="49"/>
    </row>
    <row r="89" spans="5:6" x14ac:dyDescent="0.3">
      <c r="E89" s="49"/>
      <c r="F89" s="49"/>
    </row>
    <row r="90" spans="5:6" x14ac:dyDescent="0.3">
      <c r="E90" s="49"/>
      <c r="F90" s="49"/>
    </row>
    <row r="91" spans="5:6" x14ac:dyDescent="0.3">
      <c r="E91" s="49"/>
      <c r="F91" s="49"/>
    </row>
    <row r="92" spans="5:6" x14ac:dyDescent="0.3">
      <c r="E92" s="49"/>
      <c r="F92" s="49"/>
    </row>
    <row r="93" spans="5:6" x14ac:dyDescent="0.3">
      <c r="E93" s="49"/>
      <c r="F93" s="49"/>
    </row>
    <row r="94" spans="5:6" x14ac:dyDescent="0.3">
      <c r="E94" s="49"/>
      <c r="F94" s="49"/>
    </row>
    <row r="95" spans="5:6" x14ac:dyDescent="0.3">
      <c r="E95" s="49"/>
      <c r="F95" s="49"/>
    </row>
    <row r="96" spans="5:6" x14ac:dyDescent="0.3">
      <c r="E96" s="49"/>
      <c r="F96" s="49"/>
    </row>
    <row r="97" spans="5:6" x14ac:dyDescent="0.3">
      <c r="E97" s="49"/>
      <c r="F97" s="49"/>
    </row>
    <row r="98" spans="5:6" x14ac:dyDescent="0.3">
      <c r="E98" s="49"/>
      <c r="F98" s="49"/>
    </row>
    <row r="99" spans="5:6" x14ac:dyDescent="0.3">
      <c r="E99" s="49"/>
      <c r="F99" s="49"/>
    </row>
    <row r="100" spans="5:6" x14ac:dyDescent="0.3">
      <c r="E100" s="49"/>
      <c r="F100" s="49"/>
    </row>
    <row r="101" spans="5:6" x14ac:dyDescent="0.3">
      <c r="E101" s="49"/>
      <c r="F101" s="49"/>
    </row>
    <row r="102" spans="5:6" x14ac:dyDescent="0.3">
      <c r="E102" s="49"/>
      <c r="F102" s="49"/>
    </row>
    <row r="103" spans="5:6" x14ac:dyDescent="0.3">
      <c r="E103" s="49"/>
      <c r="F103" s="49"/>
    </row>
    <row r="104" spans="5:6" x14ac:dyDescent="0.3">
      <c r="E104" s="49"/>
      <c r="F104" s="49"/>
    </row>
    <row r="105" spans="5:6" x14ac:dyDescent="0.3">
      <c r="E105" s="49"/>
      <c r="F105" s="49"/>
    </row>
    <row r="106" spans="5:6" x14ac:dyDescent="0.3">
      <c r="E106" s="49"/>
      <c r="F106" s="49"/>
    </row>
    <row r="107" spans="5:6" x14ac:dyDescent="0.3">
      <c r="E107" s="49"/>
      <c r="F107" s="49"/>
    </row>
    <row r="108" spans="5:6" x14ac:dyDescent="0.3">
      <c r="E108" s="49"/>
      <c r="F108" s="49"/>
    </row>
    <row r="109" spans="5:6" x14ac:dyDescent="0.3">
      <c r="E109" s="49"/>
      <c r="F109" s="49"/>
    </row>
    <row r="110" spans="5:6" x14ac:dyDescent="0.3">
      <c r="E110" s="49"/>
      <c r="F110" s="49"/>
    </row>
    <row r="111" spans="5:6" x14ac:dyDescent="0.3">
      <c r="E111" s="49"/>
      <c r="F111" s="49"/>
    </row>
    <row r="112" spans="5:6" x14ac:dyDescent="0.3">
      <c r="E112" s="49"/>
      <c r="F112" s="49"/>
    </row>
    <row r="113" spans="5:6" x14ac:dyDescent="0.3">
      <c r="E113" s="49"/>
      <c r="F113" s="49"/>
    </row>
    <row r="114" spans="5:6" x14ac:dyDescent="0.3">
      <c r="E114" s="49"/>
      <c r="F114" s="49"/>
    </row>
    <row r="115" spans="5:6" x14ac:dyDescent="0.3">
      <c r="E115" s="49"/>
      <c r="F115" s="49"/>
    </row>
    <row r="116" spans="5:6" x14ac:dyDescent="0.3">
      <c r="E116" s="49"/>
      <c r="F116" s="49"/>
    </row>
    <row r="117" spans="5:6" x14ac:dyDescent="0.3">
      <c r="E117" s="49"/>
      <c r="F117" s="49"/>
    </row>
    <row r="118" spans="5:6" x14ac:dyDescent="0.3">
      <c r="E118" s="49"/>
      <c r="F118" s="49"/>
    </row>
    <row r="119" spans="5:6" x14ac:dyDescent="0.3">
      <c r="E119" s="49"/>
      <c r="F119" s="49"/>
    </row>
    <row r="120" spans="5:6" x14ac:dyDescent="0.3">
      <c r="E120" s="49"/>
      <c r="F120" s="49"/>
    </row>
    <row r="121" spans="5:6" x14ac:dyDescent="0.3">
      <c r="E121" s="49"/>
      <c r="F121" s="49"/>
    </row>
    <row r="122" spans="5:6" x14ac:dyDescent="0.3">
      <c r="E122" s="49"/>
      <c r="F122" s="49"/>
    </row>
    <row r="123" spans="5:6" x14ac:dyDescent="0.3">
      <c r="E123" s="49"/>
      <c r="F123" s="49"/>
    </row>
    <row r="124" spans="5:6" x14ac:dyDescent="0.3">
      <c r="E124" s="49"/>
      <c r="F124" s="49"/>
    </row>
    <row r="125" spans="5:6" x14ac:dyDescent="0.3">
      <c r="E125" s="49"/>
      <c r="F125" s="49"/>
    </row>
    <row r="126" spans="5:6" x14ac:dyDescent="0.3">
      <c r="E126" s="49"/>
      <c r="F126" s="49"/>
    </row>
    <row r="127" spans="5:6" x14ac:dyDescent="0.3">
      <c r="E127" s="49"/>
      <c r="F127" s="49"/>
    </row>
    <row r="128" spans="5:6" x14ac:dyDescent="0.3">
      <c r="E128" s="49"/>
      <c r="F128" s="49"/>
    </row>
    <row r="129" spans="5:6" x14ac:dyDescent="0.3">
      <c r="E129" s="49"/>
      <c r="F129" s="49"/>
    </row>
    <row r="130" spans="5:6" x14ac:dyDescent="0.3">
      <c r="E130" s="49"/>
      <c r="F130" s="49"/>
    </row>
    <row r="131" spans="5:6" x14ac:dyDescent="0.3">
      <c r="E131" s="49"/>
      <c r="F131" s="49"/>
    </row>
    <row r="132" spans="5:6" x14ac:dyDescent="0.3">
      <c r="E132" s="49"/>
      <c r="F132" s="49"/>
    </row>
    <row r="133" spans="5:6" x14ac:dyDescent="0.3">
      <c r="E133" s="49"/>
      <c r="F133" s="49"/>
    </row>
    <row r="134" spans="5:6" x14ac:dyDescent="0.3">
      <c r="E134" s="49"/>
      <c r="F134" s="49"/>
    </row>
    <row r="135" spans="5:6" x14ac:dyDescent="0.3">
      <c r="E135" s="49"/>
      <c r="F135" s="49"/>
    </row>
    <row r="136" spans="5:6" x14ac:dyDescent="0.3">
      <c r="E136" s="49"/>
      <c r="F136" s="49"/>
    </row>
    <row r="137" spans="5:6" x14ac:dyDescent="0.3">
      <c r="E137" s="49"/>
      <c r="F137" s="49"/>
    </row>
    <row r="138" spans="5:6" x14ac:dyDescent="0.3">
      <c r="E138" s="49"/>
      <c r="F138" s="49"/>
    </row>
    <row r="139" spans="5:6" x14ac:dyDescent="0.3">
      <c r="E139" s="49"/>
      <c r="F139" s="49"/>
    </row>
    <row r="140" spans="5:6" x14ac:dyDescent="0.3">
      <c r="E140" s="49"/>
      <c r="F140" s="49"/>
    </row>
    <row r="141" spans="5:6" x14ac:dyDescent="0.3">
      <c r="E141" s="49"/>
      <c r="F141" s="49"/>
    </row>
    <row r="142" spans="5:6" x14ac:dyDescent="0.3">
      <c r="E142" s="49"/>
      <c r="F142" s="49"/>
    </row>
    <row r="143" spans="5:6" x14ac:dyDescent="0.3">
      <c r="E143" s="49"/>
      <c r="F143" s="49"/>
    </row>
    <row r="144" spans="5:6" x14ac:dyDescent="0.3">
      <c r="E144" s="49"/>
      <c r="F144" s="49"/>
    </row>
    <row r="145" spans="5:6" x14ac:dyDescent="0.3">
      <c r="E145" s="49"/>
      <c r="F145" s="49"/>
    </row>
    <row r="146" spans="5:6" x14ac:dyDescent="0.3">
      <c r="E146" s="49"/>
      <c r="F146" s="49"/>
    </row>
    <row r="147" spans="5:6" x14ac:dyDescent="0.3">
      <c r="E147" s="49"/>
      <c r="F147" s="49"/>
    </row>
    <row r="148" spans="5:6" x14ac:dyDescent="0.3">
      <c r="E148" s="49"/>
      <c r="F148" s="49"/>
    </row>
    <row r="149" spans="5:6" x14ac:dyDescent="0.3">
      <c r="E149" s="49"/>
      <c r="F149" s="49"/>
    </row>
    <row r="150" spans="5:6" x14ac:dyDescent="0.3">
      <c r="E150" s="49"/>
      <c r="F150" s="49"/>
    </row>
    <row r="151" spans="5:6" x14ac:dyDescent="0.3">
      <c r="E151" s="49"/>
      <c r="F151" s="49"/>
    </row>
    <row r="152" spans="5:6" x14ac:dyDescent="0.3">
      <c r="E152" s="49"/>
      <c r="F152" s="49"/>
    </row>
    <row r="153" spans="5:6" x14ac:dyDescent="0.3">
      <c r="E153" s="49"/>
      <c r="F153" s="49"/>
    </row>
    <row r="154" spans="5:6" x14ac:dyDescent="0.3">
      <c r="E154" s="49"/>
      <c r="F154" s="49"/>
    </row>
    <row r="155" spans="5:6" x14ac:dyDescent="0.3">
      <c r="E155" s="49"/>
      <c r="F155" s="49"/>
    </row>
    <row r="156" spans="5:6" x14ac:dyDescent="0.3">
      <c r="E156" s="49"/>
      <c r="F156" s="49"/>
    </row>
    <row r="157" spans="5:6" x14ac:dyDescent="0.3">
      <c r="E157" s="49"/>
      <c r="F157" s="49"/>
    </row>
    <row r="158" spans="5:6" x14ac:dyDescent="0.3">
      <c r="E158" s="49"/>
      <c r="F158" s="49"/>
    </row>
    <row r="159" spans="5:6" x14ac:dyDescent="0.3">
      <c r="E159" s="49"/>
      <c r="F159" s="49"/>
    </row>
    <row r="160" spans="5:6" x14ac:dyDescent="0.3">
      <c r="E160" s="49"/>
      <c r="F160" s="49"/>
    </row>
    <row r="161" spans="5:6" x14ac:dyDescent="0.3">
      <c r="E161" s="49"/>
      <c r="F161" s="49"/>
    </row>
    <row r="162" spans="5:6" x14ac:dyDescent="0.3">
      <c r="E162" s="49"/>
      <c r="F162" s="49"/>
    </row>
    <row r="163" spans="5:6" x14ac:dyDescent="0.3">
      <c r="E163" s="49"/>
      <c r="F163" s="49"/>
    </row>
    <row r="164" spans="5:6" x14ac:dyDescent="0.3">
      <c r="E164" s="49"/>
      <c r="F164" s="49"/>
    </row>
    <row r="165" spans="5:6" x14ac:dyDescent="0.3">
      <c r="E165" s="49"/>
      <c r="F165" s="49"/>
    </row>
    <row r="166" spans="5:6" x14ac:dyDescent="0.3">
      <c r="E166" s="49"/>
      <c r="F166" s="49"/>
    </row>
    <row r="167" spans="5:6" x14ac:dyDescent="0.3">
      <c r="E167" s="49"/>
      <c r="F167" s="49"/>
    </row>
    <row r="168" spans="5:6" x14ac:dyDescent="0.3">
      <c r="E168" s="49"/>
      <c r="F168" s="49"/>
    </row>
    <row r="169" spans="5:6" x14ac:dyDescent="0.3">
      <c r="E169" s="49"/>
      <c r="F169" s="49"/>
    </row>
    <row r="170" spans="5:6" x14ac:dyDescent="0.3">
      <c r="E170" s="49"/>
      <c r="F170" s="49"/>
    </row>
    <row r="171" spans="5:6" x14ac:dyDescent="0.3">
      <c r="E171" s="49"/>
      <c r="F171" s="49"/>
    </row>
    <row r="172" spans="5:6" x14ac:dyDescent="0.3">
      <c r="E172" s="49"/>
      <c r="F172" s="49"/>
    </row>
    <row r="173" spans="5:6" x14ac:dyDescent="0.3">
      <c r="E173" s="49"/>
      <c r="F173" s="49"/>
    </row>
    <row r="174" spans="5:6" x14ac:dyDescent="0.3">
      <c r="E174" s="49"/>
      <c r="F174" s="49"/>
    </row>
    <row r="175" spans="5:6" x14ac:dyDescent="0.3">
      <c r="E175" s="49"/>
      <c r="F175" s="49"/>
    </row>
    <row r="176" spans="5:6" x14ac:dyDescent="0.3">
      <c r="E176" s="49"/>
      <c r="F176" s="49"/>
    </row>
    <row r="177" spans="5:6" x14ac:dyDescent="0.3">
      <c r="E177" s="49"/>
      <c r="F177" s="49"/>
    </row>
    <row r="178" spans="5:6" x14ac:dyDescent="0.3">
      <c r="E178" s="49"/>
      <c r="F178" s="49"/>
    </row>
    <row r="179" spans="5:6" x14ac:dyDescent="0.3">
      <c r="E179" s="49"/>
      <c r="F179" s="49"/>
    </row>
    <row r="180" spans="5:6" x14ac:dyDescent="0.3">
      <c r="E180" s="49"/>
      <c r="F180" s="49"/>
    </row>
    <row r="181" spans="5:6" x14ac:dyDescent="0.3">
      <c r="E181" s="49"/>
      <c r="F181" s="49"/>
    </row>
    <row r="182" spans="5:6" x14ac:dyDescent="0.3">
      <c r="E182" s="49"/>
      <c r="F182" s="49"/>
    </row>
    <row r="183" spans="5:6" x14ac:dyDescent="0.3">
      <c r="E183" s="49"/>
      <c r="F183" s="49"/>
    </row>
    <row r="184" spans="5:6" x14ac:dyDescent="0.3">
      <c r="E184" s="49"/>
      <c r="F184" s="49"/>
    </row>
    <row r="185" spans="5:6" x14ac:dyDescent="0.3">
      <c r="E185" s="49"/>
      <c r="F185" s="49"/>
    </row>
    <row r="186" spans="5:6" x14ac:dyDescent="0.3">
      <c r="E186" s="49"/>
      <c r="F186" s="49"/>
    </row>
    <row r="187" spans="5:6" x14ac:dyDescent="0.3">
      <c r="E187" s="49"/>
      <c r="F187" s="49"/>
    </row>
    <row r="188" spans="5:6" x14ac:dyDescent="0.3">
      <c r="E188" s="49"/>
      <c r="F188" s="49"/>
    </row>
    <row r="189" spans="5:6" x14ac:dyDescent="0.3">
      <c r="E189" s="49"/>
      <c r="F189" s="49"/>
    </row>
    <row r="190" spans="5:6" x14ac:dyDescent="0.3">
      <c r="E190" s="49"/>
      <c r="F190" s="49"/>
    </row>
    <row r="191" spans="5:6" x14ac:dyDescent="0.3">
      <c r="E191" s="49"/>
      <c r="F191" s="49"/>
    </row>
    <row r="192" spans="5:6" x14ac:dyDescent="0.3">
      <c r="E192" s="49"/>
      <c r="F192" s="49"/>
    </row>
    <row r="193" spans="5:6" x14ac:dyDescent="0.3">
      <c r="E193" s="49"/>
      <c r="F193" s="49"/>
    </row>
    <row r="194" spans="5:6" x14ac:dyDescent="0.3">
      <c r="E194" s="49"/>
      <c r="F194" s="49"/>
    </row>
    <row r="195" spans="5:6" x14ac:dyDescent="0.3">
      <c r="E195" s="49"/>
      <c r="F195" s="49"/>
    </row>
    <row r="196" spans="5:6" x14ac:dyDescent="0.3">
      <c r="E196" s="49"/>
      <c r="F196" s="49"/>
    </row>
    <row r="197" spans="5:6" x14ac:dyDescent="0.3">
      <c r="E197" s="49"/>
      <c r="F197" s="49"/>
    </row>
    <row r="198" spans="5:6" x14ac:dyDescent="0.3">
      <c r="E198" s="49"/>
      <c r="F198" s="49"/>
    </row>
    <row r="199" spans="5:6" x14ac:dyDescent="0.3">
      <c r="E199" s="49"/>
      <c r="F199" s="49"/>
    </row>
    <row r="200" spans="5:6" x14ac:dyDescent="0.3">
      <c r="E200" s="49"/>
      <c r="F200" s="49"/>
    </row>
    <row r="201" spans="5:6" x14ac:dyDescent="0.3">
      <c r="E201" s="49"/>
      <c r="F201" s="49"/>
    </row>
    <row r="202" spans="5:6" x14ac:dyDescent="0.3">
      <c r="E202" s="49"/>
      <c r="F202" s="49"/>
    </row>
    <row r="203" spans="5:6" x14ac:dyDescent="0.3">
      <c r="E203" s="49"/>
      <c r="F203" s="49"/>
    </row>
    <row r="204" spans="5:6" x14ac:dyDescent="0.3">
      <c r="E204" s="49"/>
      <c r="F204" s="49"/>
    </row>
    <row r="205" spans="5:6" x14ac:dyDescent="0.3">
      <c r="E205" s="49"/>
      <c r="F205" s="49"/>
    </row>
    <row r="206" spans="5:6" x14ac:dyDescent="0.3">
      <c r="E206" s="49"/>
      <c r="F206" s="49"/>
    </row>
    <row r="207" spans="5:6" x14ac:dyDescent="0.3">
      <c r="E207" s="49"/>
      <c r="F207" s="49"/>
    </row>
    <row r="208" spans="5:6" x14ac:dyDescent="0.3">
      <c r="E208" s="49"/>
      <c r="F208" s="49"/>
    </row>
    <row r="209" spans="5:6" x14ac:dyDescent="0.3">
      <c r="E209" s="49"/>
      <c r="F209" s="49"/>
    </row>
    <row r="210" spans="5:6" x14ac:dyDescent="0.3">
      <c r="E210" s="49"/>
      <c r="F210" s="49"/>
    </row>
    <row r="211" spans="5:6" x14ac:dyDescent="0.3">
      <c r="E211" s="49"/>
      <c r="F211" s="49"/>
    </row>
    <row r="212" spans="5:6" x14ac:dyDescent="0.3">
      <c r="E212" s="49"/>
      <c r="F212" s="49"/>
    </row>
    <row r="213" spans="5:6" x14ac:dyDescent="0.3">
      <c r="E213" s="49"/>
      <c r="F213" s="49"/>
    </row>
    <row r="214" spans="5:6" x14ac:dyDescent="0.3">
      <c r="E214" s="49"/>
      <c r="F214" s="49"/>
    </row>
    <row r="215" spans="5:6" x14ac:dyDescent="0.3">
      <c r="E215" s="49"/>
      <c r="F215" s="49"/>
    </row>
    <row r="216" spans="5:6" x14ac:dyDescent="0.3">
      <c r="E216" s="49"/>
      <c r="F216" s="49"/>
    </row>
    <row r="217" spans="5:6" x14ac:dyDescent="0.3">
      <c r="E217" s="49"/>
      <c r="F217" s="49"/>
    </row>
    <row r="218" spans="5:6" x14ac:dyDescent="0.3">
      <c r="E218" s="49"/>
      <c r="F218" s="49"/>
    </row>
    <row r="219" spans="5:6" x14ac:dyDescent="0.3">
      <c r="E219" s="49"/>
      <c r="F219" s="49"/>
    </row>
    <row r="220" spans="5:6" x14ac:dyDescent="0.3">
      <c r="E220" s="49"/>
      <c r="F220" s="49"/>
    </row>
    <row r="221" spans="5:6" x14ac:dyDescent="0.3">
      <c r="E221" s="49"/>
      <c r="F221" s="49"/>
    </row>
    <row r="222" spans="5:6" x14ac:dyDescent="0.3">
      <c r="E222" s="49"/>
      <c r="F222" s="49"/>
    </row>
    <row r="223" spans="5:6" x14ac:dyDescent="0.3">
      <c r="E223" s="49"/>
      <c r="F223" s="49"/>
    </row>
    <row r="224" spans="5:6" x14ac:dyDescent="0.3">
      <c r="E224" s="49"/>
      <c r="F224" s="49"/>
    </row>
    <row r="225" spans="5:6" x14ac:dyDescent="0.3">
      <c r="E225" s="49"/>
      <c r="F225" s="49"/>
    </row>
    <row r="226" spans="5:6" x14ac:dyDescent="0.3">
      <c r="E226" s="49"/>
      <c r="F226" s="49"/>
    </row>
    <row r="227" spans="5:6" x14ac:dyDescent="0.3">
      <c r="E227" s="49"/>
      <c r="F227" s="49"/>
    </row>
    <row r="228" spans="5:6" x14ac:dyDescent="0.3">
      <c r="E228" s="49"/>
      <c r="F228" s="49"/>
    </row>
    <row r="229" spans="5:6" x14ac:dyDescent="0.3">
      <c r="E229" s="49"/>
      <c r="F229" s="49"/>
    </row>
    <row r="230" spans="5:6" x14ac:dyDescent="0.3">
      <c r="E230" s="49"/>
      <c r="F230" s="49"/>
    </row>
    <row r="231" spans="5:6" x14ac:dyDescent="0.3">
      <c r="E231" s="49"/>
      <c r="F231" s="49"/>
    </row>
    <row r="232" spans="5:6" x14ac:dyDescent="0.3">
      <c r="E232" s="49"/>
      <c r="F232" s="49"/>
    </row>
    <row r="233" spans="5:6" x14ac:dyDescent="0.3">
      <c r="E233" s="49"/>
      <c r="F233" s="49"/>
    </row>
    <row r="234" spans="5:6" x14ac:dyDescent="0.3">
      <c r="E234" s="49"/>
      <c r="F234" s="49"/>
    </row>
    <row r="235" spans="5:6" x14ac:dyDescent="0.3">
      <c r="E235" s="49"/>
      <c r="F235" s="49"/>
    </row>
    <row r="236" spans="5:6" x14ac:dyDescent="0.3">
      <c r="E236" s="49"/>
      <c r="F236" s="49"/>
    </row>
    <row r="237" spans="5:6" x14ac:dyDescent="0.3">
      <c r="E237" s="49"/>
      <c r="F237" s="49"/>
    </row>
    <row r="238" spans="5:6" x14ac:dyDescent="0.3">
      <c r="E238" s="49"/>
      <c r="F238" s="49"/>
    </row>
    <row r="239" spans="5:6" x14ac:dyDescent="0.3">
      <c r="E239" s="49"/>
      <c r="F239" s="49"/>
    </row>
    <row r="240" spans="5:6" x14ac:dyDescent="0.3">
      <c r="E240" s="49"/>
      <c r="F240" s="49"/>
    </row>
    <row r="241" spans="5:6" x14ac:dyDescent="0.3">
      <c r="E241" s="49"/>
      <c r="F241" s="49"/>
    </row>
    <row r="242" spans="5:6" x14ac:dyDescent="0.3">
      <c r="E242" s="49"/>
      <c r="F242" s="49"/>
    </row>
    <row r="243" spans="5:6" x14ac:dyDescent="0.3">
      <c r="E243" s="49"/>
      <c r="F243" s="49"/>
    </row>
    <row r="244" spans="5:6" x14ac:dyDescent="0.3">
      <c r="E244" s="49"/>
      <c r="F244" s="49"/>
    </row>
    <row r="245" spans="5:6" x14ac:dyDescent="0.3">
      <c r="E245" s="49"/>
      <c r="F245" s="49"/>
    </row>
    <row r="246" spans="5:6" x14ac:dyDescent="0.3">
      <c r="E246" s="49"/>
      <c r="F246" s="49"/>
    </row>
    <row r="247" spans="5:6" x14ac:dyDescent="0.3">
      <c r="E247" s="49"/>
      <c r="F247" s="49"/>
    </row>
    <row r="248" spans="5:6" x14ac:dyDescent="0.3">
      <c r="E248" s="49"/>
      <c r="F248" s="49"/>
    </row>
    <row r="249" spans="5:6" x14ac:dyDescent="0.3">
      <c r="E249" s="49"/>
      <c r="F249" s="49"/>
    </row>
    <row r="250" spans="5:6" x14ac:dyDescent="0.3">
      <c r="E250" s="49"/>
      <c r="F250" s="49"/>
    </row>
    <row r="251" spans="5:6" x14ac:dyDescent="0.3">
      <c r="E251" s="49"/>
      <c r="F251" s="49"/>
    </row>
    <row r="252" spans="5:6" x14ac:dyDescent="0.3">
      <c r="E252" s="49"/>
      <c r="F252" s="49"/>
    </row>
    <row r="253" spans="5:6" x14ac:dyDescent="0.3">
      <c r="E253" s="49"/>
      <c r="F253" s="49"/>
    </row>
    <row r="254" spans="5:6" x14ac:dyDescent="0.3">
      <c r="E254" s="49"/>
      <c r="F254" s="49"/>
    </row>
    <row r="255" spans="5:6" x14ac:dyDescent="0.3">
      <c r="E255" s="49"/>
      <c r="F255" s="49"/>
    </row>
    <row r="256" spans="5:6" x14ac:dyDescent="0.3">
      <c r="E256" s="49"/>
      <c r="F256" s="49"/>
    </row>
    <row r="257" spans="5:6" x14ac:dyDescent="0.3">
      <c r="E257" s="49"/>
      <c r="F257" s="49"/>
    </row>
    <row r="258" spans="5:6" x14ac:dyDescent="0.3">
      <c r="E258" s="49"/>
      <c r="F258" s="49"/>
    </row>
    <row r="259" spans="5:6" x14ac:dyDescent="0.3">
      <c r="E259" s="49"/>
      <c r="F259" s="49"/>
    </row>
    <row r="260" spans="5:6" x14ac:dyDescent="0.3">
      <c r="E260" s="49"/>
      <c r="F260" s="49"/>
    </row>
    <row r="261" spans="5:6" x14ac:dyDescent="0.3">
      <c r="E261" s="49"/>
      <c r="F261" s="49"/>
    </row>
    <row r="262" spans="5:6" x14ac:dyDescent="0.3">
      <c r="E262" s="49"/>
      <c r="F262" s="49"/>
    </row>
    <row r="263" spans="5:6" x14ac:dyDescent="0.3">
      <c r="E263" s="49"/>
      <c r="F263" s="49"/>
    </row>
    <row r="264" spans="5:6" x14ac:dyDescent="0.3">
      <c r="E264" s="49"/>
      <c r="F264" s="49"/>
    </row>
    <row r="265" spans="5:6" x14ac:dyDescent="0.3">
      <c r="E265" s="49"/>
      <c r="F265" s="49"/>
    </row>
    <row r="266" spans="5:6" x14ac:dyDescent="0.3">
      <c r="E266" s="49"/>
      <c r="F266" s="49"/>
    </row>
    <row r="267" spans="5:6" x14ac:dyDescent="0.3">
      <c r="E267" s="49"/>
      <c r="F267" s="49"/>
    </row>
    <row r="268" spans="5:6" x14ac:dyDescent="0.3">
      <c r="E268" s="49"/>
      <c r="F268" s="49"/>
    </row>
    <row r="269" spans="5:6" x14ac:dyDescent="0.3">
      <c r="E269" s="49"/>
      <c r="F269" s="49"/>
    </row>
    <row r="270" spans="5:6" x14ac:dyDescent="0.3">
      <c r="E270" s="49"/>
      <c r="F270" s="49"/>
    </row>
    <row r="271" spans="5:6" x14ac:dyDescent="0.3">
      <c r="E271" s="49"/>
      <c r="F271" s="49"/>
    </row>
    <row r="272" spans="5:6" x14ac:dyDescent="0.3">
      <c r="E272" s="49"/>
      <c r="F272" s="49"/>
    </row>
    <row r="273" spans="5:6" x14ac:dyDescent="0.3">
      <c r="E273" s="49"/>
      <c r="F273" s="49"/>
    </row>
    <row r="274" spans="5:6" x14ac:dyDescent="0.3">
      <c r="E274" s="49"/>
      <c r="F274" s="49"/>
    </row>
    <row r="275" spans="5:6" x14ac:dyDescent="0.3">
      <c r="E275" s="49"/>
      <c r="F275" s="49"/>
    </row>
    <row r="276" spans="5:6" x14ac:dyDescent="0.3">
      <c r="E276" s="49"/>
      <c r="F276" s="49"/>
    </row>
    <row r="277" spans="5:6" x14ac:dyDescent="0.3">
      <c r="E277" s="49"/>
      <c r="F277" s="49"/>
    </row>
    <row r="278" spans="5:6" x14ac:dyDescent="0.3">
      <c r="E278" s="49"/>
      <c r="F278" s="49"/>
    </row>
    <row r="279" spans="5:6" x14ac:dyDescent="0.3">
      <c r="E279" s="49"/>
      <c r="F279" s="49"/>
    </row>
    <row r="280" spans="5:6" x14ac:dyDescent="0.3">
      <c r="E280" s="49"/>
      <c r="F280" s="49"/>
    </row>
    <row r="281" spans="5:6" x14ac:dyDescent="0.3">
      <c r="E281" s="49"/>
      <c r="F281" s="49"/>
    </row>
    <row r="282" spans="5:6" x14ac:dyDescent="0.3">
      <c r="E282" s="49"/>
      <c r="F282" s="49"/>
    </row>
    <row r="283" spans="5:6" x14ac:dyDescent="0.3">
      <c r="E283" s="49"/>
      <c r="F283" s="49"/>
    </row>
    <row r="284" spans="5:6" x14ac:dyDescent="0.3">
      <c r="E284" s="49"/>
      <c r="F284" s="49"/>
    </row>
    <row r="285" spans="5:6" x14ac:dyDescent="0.3">
      <c r="E285" s="49"/>
      <c r="F285" s="49"/>
    </row>
    <row r="286" spans="5:6" x14ac:dyDescent="0.3">
      <c r="E286" s="49"/>
      <c r="F286" s="49"/>
    </row>
    <row r="287" spans="5:6" x14ac:dyDescent="0.3">
      <c r="E287" s="49"/>
      <c r="F287" s="49"/>
    </row>
    <row r="288" spans="5:6" x14ac:dyDescent="0.3">
      <c r="E288" s="49"/>
      <c r="F288" s="49"/>
    </row>
    <row r="289" spans="5:6" x14ac:dyDescent="0.3">
      <c r="E289" s="49"/>
      <c r="F289" s="49"/>
    </row>
    <row r="290" spans="5:6" x14ac:dyDescent="0.3">
      <c r="E290" s="49"/>
      <c r="F290" s="49"/>
    </row>
    <row r="291" spans="5:6" x14ac:dyDescent="0.3">
      <c r="E291" s="49"/>
      <c r="F291" s="49"/>
    </row>
    <row r="292" spans="5:6" x14ac:dyDescent="0.3">
      <c r="E292" s="49"/>
      <c r="F292" s="49"/>
    </row>
    <row r="293" spans="5:6" x14ac:dyDescent="0.3">
      <c r="E293" s="49"/>
      <c r="F293" s="49"/>
    </row>
    <row r="294" spans="5:6" x14ac:dyDescent="0.3">
      <c r="E294" s="49"/>
      <c r="F294" s="49"/>
    </row>
    <row r="295" spans="5:6" x14ac:dyDescent="0.3">
      <c r="E295" s="49"/>
      <c r="F295" s="49"/>
    </row>
    <row r="296" spans="5:6" x14ac:dyDescent="0.3">
      <c r="E296" s="49"/>
      <c r="F296" s="49"/>
    </row>
    <row r="297" spans="5:6" x14ac:dyDescent="0.3">
      <c r="E297" s="49"/>
      <c r="F297" s="49"/>
    </row>
    <row r="298" spans="5:6" x14ac:dyDescent="0.3">
      <c r="E298" s="49"/>
      <c r="F298" s="49"/>
    </row>
    <row r="299" spans="5:6" x14ac:dyDescent="0.3">
      <c r="E299" s="49"/>
      <c r="F299" s="49"/>
    </row>
    <row r="300" spans="5:6" x14ac:dyDescent="0.3">
      <c r="E300" s="49"/>
      <c r="F300" s="49"/>
    </row>
    <row r="301" spans="5:6" x14ac:dyDescent="0.3">
      <c r="E301" s="49"/>
      <c r="F301" s="49"/>
    </row>
    <row r="302" spans="5:6" x14ac:dyDescent="0.3">
      <c r="E302" s="49"/>
      <c r="F302" s="49"/>
    </row>
    <row r="303" spans="5:6" x14ac:dyDescent="0.3">
      <c r="E303" s="49"/>
      <c r="F303" s="49"/>
    </row>
    <row r="304" spans="5:6" x14ac:dyDescent="0.3">
      <c r="E304" s="49"/>
      <c r="F304" s="49"/>
    </row>
    <row r="305" spans="5:6" x14ac:dyDescent="0.3">
      <c r="E305" s="49"/>
      <c r="F305" s="49"/>
    </row>
    <row r="306" spans="5:6" x14ac:dyDescent="0.3">
      <c r="E306" s="49"/>
      <c r="F306" s="49"/>
    </row>
    <row r="307" spans="5:6" x14ac:dyDescent="0.3">
      <c r="E307" s="49"/>
      <c r="F307" s="49"/>
    </row>
    <row r="308" spans="5:6" x14ac:dyDescent="0.3">
      <c r="E308" s="49"/>
      <c r="F308" s="49"/>
    </row>
    <row r="309" spans="5:6" x14ac:dyDescent="0.3">
      <c r="E309" s="49"/>
      <c r="F309" s="49"/>
    </row>
    <row r="310" spans="5:6" x14ac:dyDescent="0.3">
      <c r="E310" s="49"/>
      <c r="F310" s="49"/>
    </row>
    <row r="311" spans="5:6" x14ac:dyDescent="0.3">
      <c r="E311" s="49"/>
      <c r="F311" s="49"/>
    </row>
    <row r="312" spans="5:6" x14ac:dyDescent="0.3">
      <c r="E312" s="49"/>
      <c r="F312" s="49"/>
    </row>
    <row r="313" spans="5:6" x14ac:dyDescent="0.3">
      <c r="E313" s="49"/>
      <c r="F313" s="49"/>
    </row>
    <row r="314" spans="5:6" x14ac:dyDescent="0.3">
      <c r="E314" s="49"/>
      <c r="F314" s="49"/>
    </row>
    <row r="315" spans="5:6" x14ac:dyDescent="0.3">
      <c r="E315" s="49"/>
      <c r="F315" s="49"/>
    </row>
    <row r="316" spans="5:6" x14ac:dyDescent="0.3">
      <c r="E316" s="49"/>
      <c r="F316" s="49"/>
    </row>
    <row r="317" spans="5:6" x14ac:dyDescent="0.3">
      <c r="E317" s="49"/>
      <c r="F317" s="49"/>
    </row>
    <row r="318" spans="5:6" x14ac:dyDescent="0.3">
      <c r="E318" s="49"/>
      <c r="F318" s="49"/>
    </row>
    <row r="319" spans="5:6" x14ac:dyDescent="0.3">
      <c r="E319" s="49"/>
      <c r="F319" s="49"/>
    </row>
    <row r="320" spans="5:6" x14ac:dyDescent="0.3">
      <c r="E320" s="49"/>
      <c r="F320" s="49"/>
    </row>
    <row r="321" spans="5:6" x14ac:dyDescent="0.3">
      <c r="E321" s="49"/>
      <c r="F321" s="49"/>
    </row>
    <row r="322" spans="5:6" x14ac:dyDescent="0.3">
      <c r="E322" s="49"/>
      <c r="F322" s="49"/>
    </row>
    <row r="323" spans="5:6" x14ac:dyDescent="0.3">
      <c r="E323" s="49"/>
      <c r="F323" s="49"/>
    </row>
    <row r="324" spans="5:6" x14ac:dyDescent="0.3">
      <c r="E324" s="49"/>
      <c r="F324" s="49"/>
    </row>
    <row r="325" spans="5:6" x14ac:dyDescent="0.3">
      <c r="E325" s="49"/>
      <c r="F325" s="49"/>
    </row>
    <row r="326" spans="5:6" x14ac:dyDescent="0.3">
      <c r="E326" s="49"/>
      <c r="F326" s="49"/>
    </row>
    <row r="327" spans="5:6" x14ac:dyDescent="0.3">
      <c r="E327" s="49"/>
      <c r="F327" s="49"/>
    </row>
    <row r="328" spans="5:6" x14ac:dyDescent="0.3">
      <c r="E328" s="49"/>
      <c r="F328" s="49"/>
    </row>
    <row r="329" spans="5:6" x14ac:dyDescent="0.3">
      <c r="E329" s="49"/>
      <c r="F329" s="49"/>
    </row>
    <row r="330" spans="5:6" x14ac:dyDescent="0.3">
      <c r="E330" s="49"/>
      <c r="F330" s="49"/>
    </row>
    <row r="331" spans="5:6" x14ac:dyDescent="0.3">
      <c r="E331" s="49"/>
      <c r="F331" s="49"/>
    </row>
    <row r="332" spans="5:6" x14ac:dyDescent="0.3">
      <c r="E332" s="49"/>
      <c r="F332" s="49"/>
    </row>
    <row r="333" spans="5:6" x14ac:dyDescent="0.3">
      <c r="E333" s="49"/>
      <c r="F333" s="49"/>
    </row>
    <row r="334" spans="5:6" x14ac:dyDescent="0.3">
      <c r="E334" s="49"/>
      <c r="F334" s="49"/>
    </row>
    <row r="335" spans="5:6" x14ac:dyDescent="0.3">
      <c r="E335" s="49"/>
      <c r="F335" s="49"/>
    </row>
  </sheetData>
  <mergeCells count="1">
    <mergeCell ref="B7:L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6F20-A0FF-483D-8B7E-3EF0055C977A}">
  <sheetPr codeName="ShSettings"/>
  <dimension ref="A1:CE29"/>
  <sheetViews>
    <sheetView showGridLines="0" workbookViewId="0">
      <selection activeCell="E22" sqref="E22"/>
    </sheetView>
  </sheetViews>
  <sheetFormatPr defaultColWidth="0" defaultRowHeight="14.4" x14ac:dyDescent="0.3"/>
  <cols>
    <col min="1" max="1" width="2.88671875" customWidth="1"/>
    <col min="2" max="2" width="8.88671875" customWidth="1"/>
    <col min="3" max="3" width="26.33203125" customWidth="1"/>
    <col min="4" max="4" width="14.88671875" customWidth="1"/>
    <col min="5" max="5" width="26" customWidth="1"/>
    <col min="6" max="6" width="12.6640625" customWidth="1"/>
    <col min="7" max="7" width="15.44140625" customWidth="1"/>
    <col min="8" max="8" width="12" customWidth="1"/>
    <col min="9" max="9" width="11.44140625" customWidth="1"/>
    <col min="10" max="10" width="18.88671875" customWidth="1"/>
    <col min="11" max="11" width="16.44140625" customWidth="1"/>
    <col min="12" max="12" width="20.6640625" customWidth="1"/>
    <col min="13" max="13" width="13.44140625" customWidth="1"/>
    <col min="14" max="48" width="8.88671875" customWidth="1"/>
    <col min="49" max="49" width="19.5546875" customWidth="1"/>
    <col min="50" max="81" width="8.88671875" customWidth="1"/>
    <col min="82" max="82" width="8.88671875" hidden="1" customWidth="1"/>
    <col min="83" max="83" width="13.88671875" hidden="1" customWidth="1"/>
    <col min="84" max="16384" width="8.88671875" hidden="1"/>
  </cols>
  <sheetData>
    <row r="1" spans="2:83" ht="19.95" customHeight="1" x14ac:dyDescent="0.3">
      <c r="E1" s="9" t="s">
        <v>4</v>
      </c>
      <c r="F1" s="10" t="s">
        <v>5</v>
      </c>
      <c r="H1" s="61" t="s">
        <v>6</v>
      </c>
      <c r="I1" s="61"/>
      <c r="J1" s="10" t="s">
        <v>7</v>
      </c>
      <c r="L1" s="1" t="s">
        <v>0</v>
      </c>
      <c r="M1" s="2">
        <v>44893</v>
      </c>
    </row>
    <row r="2" spans="2:83" ht="14.4" hidden="1" customHeight="1" x14ac:dyDescent="0.3">
      <c r="E2" s="11"/>
      <c r="F2" s="12"/>
      <c r="H2" s="12"/>
      <c r="I2" s="12"/>
      <c r="J2" s="12"/>
      <c r="L2" s="3"/>
      <c r="M2" s="4"/>
    </row>
    <row r="3" spans="2:83" ht="19.95" customHeight="1" x14ac:dyDescent="0.3">
      <c r="E3" s="9" t="s">
        <v>8</v>
      </c>
      <c r="F3" s="10" t="s">
        <v>9</v>
      </c>
      <c r="H3" s="62" t="s">
        <v>10</v>
      </c>
      <c r="I3" s="62"/>
      <c r="J3" s="10" t="s">
        <v>11</v>
      </c>
      <c r="L3" s="1" t="s">
        <v>1</v>
      </c>
      <c r="M3" s="2"/>
    </row>
    <row r="4" spans="2:83" ht="14.4" hidden="1" customHeight="1" x14ac:dyDescent="0.3">
      <c r="L4" s="3"/>
      <c r="M4" s="4"/>
    </row>
    <row r="5" spans="2:83" ht="19.95" customHeight="1" thickBot="1" x14ac:dyDescent="0.35">
      <c r="L5" s="5" t="s">
        <v>2</v>
      </c>
      <c r="M5" s="6" t="s">
        <v>3</v>
      </c>
    </row>
    <row r="6" spans="2:83" ht="28.2" customHeight="1" thickTop="1" thickBot="1" x14ac:dyDescent="0.35">
      <c r="B6" s="7"/>
      <c r="C6" s="8" t="s">
        <v>13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2:83" ht="10.199999999999999" customHeight="1" thickTop="1" x14ac:dyDescent="0.3"/>
    <row r="10" spans="2:83" x14ac:dyDescent="0.3">
      <c r="C10" t="s">
        <v>30</v>
      </c>
      <c r="E10" s="25" t="s">
        <v>28</v>
      </c>
      <c r="G10" s="15"/>
      <c r="H10" s="15"/>
      <c r="CE10" t="s">
        <v>15</v>
      </c>
    </row>
    <row r="11" spans="2:83" x14ac:dyDescent="0.3">
      <c r="C11" s="36">
        <v>1</v>
      </c>
      <c r="E11" s="36">
        <v>1</v>
      </c>
      <c r="G11" s="17"/>
      <c r="H11" s="17"/>
      <c r="CE11" s="20" t="s">
        <v>16</v>
      </c>
    </row>
    <row r="12" spans="2:83" x14ac:dyDescent="0.3">
      <c r="C12" s="35">
        <v>2</v>
      </c>
      <c r="E12" s="35">
        <v>2</v>
      </c>
      <c r="G12" s="17"/>
      <c r="H12" s="17"/>
      <c r="CE12" s="21" t="s">
        <v>17</v>
      </c>
    </row>
    <row r="13" spans="2:83" x14ac:dyDescent="0.3">
      <c r="C13" s="36">
        <v>3</v>
      </c>
      <c r="E13" s="36">
        <v>3</v>
      </c>
      <c r="G13" s="17"/>
      <c r="H13" s="17"/>
      <c r="CE13" s="22" t="s">
        <v>18</v>
      </c>
    </row>
    <row r="14" spans="2:83" x14ac:dyDescent="0.3">
      <c r="C14" s="36">
        <v>4</v>
      </c>
      <c r="E14" s="36">
        <v>4</v>
      </c>
      <c r="G14" s="17"/>
      <c r="H14" s="17"/>
      <c r="CE14" s="23" t="s">
        <v>19</v>
      </c>
    </row>
    <row r="15" spans="2:83" x14ac:dyDescent="0.3">
      <c r="C15" s="36">
        <v>5</v>
      </c>
      <c r="E15" s="36">
        <v>5</v>
      </c>
    </row>
    <row r="16" spans="2:83" x14ac:dyDescent="0.3">
      <c r="C16" s="16"/>
    </row>
    <row r="17" spans="2:15" x14ac:dyDescent="0.3">
      <c r="C17" s="16"/>
      <c r="E17" s="16"/>
      <c r="G17" s="15"/>
      <c r="H17" s="15"/>
    </row>
    <row r="18" spans="2:15" x14ac:dyDescent="0.3">
      <c r="C18" s="15"/>
      <c r="E18" s="16"/>
      <c r="G18" s="17"/>
      <c r="H18" s="17"/>
    </row>
    <row r="19" spans="2:15" x14ac:dyDescent="0.3">
      <c r="B19" s="15"/>
      <c r="C19" s="15"/>
      <c r="D19" s="15"/>
      <c r="E19" s="16"/>
      <c r="G19" s="17"/>
      <c r="H19" s="17"/>
    </row>
    <row r="20" spans="2:15" x14ac:dyDescent="0.3">
      <c r="B20" s="15"/>
      <c r="C20" s="15"/>
      <c r="D20" s="15"/>
      <c r="E20" s="16"/>
      <c r="F20" s="18"/>
      <c r="G20" s="17"/>
      <c r="H20" s="17"/>
      <c r="J20" s="18"/>
      <c r="N20" s="18"/>
      <c r="O20" s="18"/>
    </row>
    <row r="21" spans="2:15" x14ac:dyDescent="0.3">
      <c r="B21" s="15"/>
      <c r="C21" s="15"/>
      <c r="D21" s="15"/>
      <c r="F21" s="18"/>
      <c r="G21" s="17"/>
      <c r="H21" s="17"/>
      <c r="J21" s="18"/>
      <c r="N21" s="18"/>
      <c r="O21" s="18"/>
    </row>
    <row r="22" spans="2:15" x14ac:dyDescent="0.3">
      <c r="B22" s="15"/>
      <c r="C22" s="15"/>
      <c r="D22" s="15"/>
      <c r="F22" s="18"/>
      <c r="J22" s="18"/>
      <c r="N22" s="18"/>
      <c r="O22" s="18"/>
    </row>
    <row r="23" spans="2:15" x14ac:dyDescent="0.3">
      <c r="B23" s="15"/>
      <c r="C23" s="15"/>
      <c r="D23" s="15"/>
      <c r="E23" s="16"/>
      <c r="F23" s="18"/>
      <c r="I23" s="18"/>
      <c r="J23" s="18"/>
      <c r="N23" s="18"/>
      <c r="O23" s="18"/>
    </row>
    <row r="24" spans="2:15" x14ac:dyDescent="0.3">
      <c r="B24" s="15"/>
      <c r="C24" s="15"/>
      <c r="D24" s="15"/>
      <c r="E24" s="16"/>
      <c r="F24" s="18"/>
      <c r="I24" s="18"/>
      <c r="J24" s="18"/>
      <c r="N24" s="18"/>
      <c r="O24" s="18"/>
    </row>
    <row r="25" spans="2:15" x14ac:dyDescent="0.3">
      <c r="B25" s="15"/>
      <c r="C25" s="18"/>
      <c r="D25" s="15"/>
      <c r="E25" s="16"/>
      <c r="F25" s="18"/>
      <c r="I25" s="19"/>
      <c r="J25" s="19"/>
      <c r="K25" s="18"/>
      <c r="L25" s="18"/>
      <c r="M25" s="18"/>
      <c r="N25" s="18"/>
      <c r="O25" s="18"/>
    </row>
    <row r="26" spans="2:15" x14ac:dyDescent="0.3">
      <c r="B26" s="18"/>
      <c r="C26" s="18"/>
      <c r="D26" s="18"/>
      <c r="E26" s="18"/>
      <c r="F26" s="18"/>
      <c r="I26" s="18"/>
      <c r="J26" s="18"/>
      <c r="K26" s="18"/>
      <c r="L26" s="18"/>
      <c r="M26" s="18"/>
      <c r="N26" s="18"/>
      <c r="O26" s="18"/>
    </row>
    <row r="27" spans="2:15" x14ac:dyDescent="0.3">
      <c r="B27" s="18"/>
      <c r="C27" s="18"/>
      <c r="D27" s="18"/>
      <c r="F27" s="18"/>
      <c r="I27" s="18"/>
      <c r="J27" s="18"/>
      <c r="K27" s="18"/>
      <c r="L27" s="18"/>
      <c r="M27" s="18"/>
      <c r="N27" s="18"/>
      <c r="O27" s="18"/>
    </row>
    <row r="28" spans="2:15" x14ac:dyDescent="0.3">
      <c r="B28" s="18"/>
      <c r="C28" s="18"/>
      <c r="D28" s="18"/>
      <c r="F28" s="18"/>
      <c r="I28" s="18"/>
      <c r="J28" s="18"/>
      <c r="N28" s="18"/>
      <c r="O28" s="18"/>
    </row>
    <row r="29" spans="2:15" x14ac:dyDescent="0.3">
      <c r="B29" s="18"/>
      <c r="D29" s="18"/>
      <c r="F29" s="18"/>
      <c r="G29" s="18"/>
      <c r="H29" s="18"/>
      <c r="I29" s="18"/>
      <c r="J29" s="18"/>
      <c r="N29" s="18"/>
      <c r="O29" s="18"/>
    </row>
  </sheetData>
  <mergeCells count="2">
    <mergeCell ref="H1:I1"/>
    <mergeCell ref="H3:I3"/>
  </mergeCell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5C6E2-E573-4D72-B890-C4F87A42742F}">
  <sheetPr codeName="ShBackend">
    <tabColor rgb="FFC00000"/>
  </sheetPr>
  <dimension ref="A1:O37"/>
  <sheetViews>
    <sheetView showGridLines="0" workbookViewId="0">
      <selection activeCell="C36" sqref="C36"/>
    </sheetView>
  </sheetViews>
  <sheetFormatPr defaultColWidth="11.44140625" defaultRowHeight="15.6" customHeight="1" x14ac:dyDescent="0.3"/>
  <cols>
    <col min="1" max="1" width="16.5546875" style="37" customWidth="1"/>
    <col min="2" max="2" width="14.88671875" style="37" customWidth="1"/>
    <col min="3" max="3" width="11.44140625" style="37"/>
    <col min="4" max="4" width="38.5546875" style="37" customWidth="1"/>
    <col min="5" max="6" width="17.88671875" style="37" customWidth="1"/>
    <col min="7" max="8" width="11.44140625" style="37"/>
    <col min="9" max="9" width="10.5546875" style="37" customWidth="1"/>
    <col min="10" max="10" width="14.6640625" style="37" customWidth="1"/>
    <col min="11" max="16384" width="11.44140625" style="37"/>
  </cols>
  <sheetData>
    <row r="1" spans="1:10" ht="15.6" customHeight="1" x14ac:dyDescent="0.3">
      <c r="A1" s="40" t="s">
        <v>14</v>
      </c>
      <c r="B1" s="40" t="s">
        <v>32</v>
      </c>
      <c r="C1" s="40" t="s">
        <v>31</v>
      </c>
      <c r="D1" s="40" t="s">
        <v>29</v>
      </c>
      <c r="E1" s="40" t="s">
        <v>44</v>
      </c>
      <c r="F1" s="40" t="s">
        <v>45</v>
      </c>
      <c r="H1" s="38"/>
      <c r="I1" s="43" t="s">
        <v>31</v>
      </c>
      <c r="J1" s="44" t="s">
        <v>46</v>
      </c>
    </row>
    <row r="2" spans="1:10" ht="15.6" customHeight="1" x14ac:dyDescent="0.3">
      <c r="A2" s="48">
        <v>4</v>
      </c>
      <c r="B2" s="48">
        <v>4</v>
      </c>
      <c r="C2" s="48">
        <f>TabNotation[[#This Row],[Pouvoir]]*TabNotation[[#This Row],[Soutien]]</f>
        <v>16</v>
      </c>
      <c r="D2" s="46" t="s">
        <v>33</v>
      </c>
      <c r="E2" s="46"/>
      <c r="F2" s="46"/>
      <c r="H2" s="39"/>
      <c r="I2" s="47">
        <v>5</v>
      </c>
      <c r="J2" s="45" t="s">
        <v>47</v>
      </c>
    </row>
    <row r="3" spans="1:10" ht="15.6" customHeight="1" x14ac:dyDescent="0.3">
      <c r="A3" s="48">
        <v>4</v>
      </c>
      <c r="B3" s="48">
        <v>5</v>
      </c>
      <c r="C3" s="48">
        <f>TabNotation[[#This Row],[Pouvoir]]*TabNotation[[#This Row],[Soutien]]</f>
        <v>20</v>
      </c>
      <c r="D3" s="46" t="s">
        <v>33</v>
      </c>
      <c r="E3" s="46"/>
      <c r="F3" s="46"/>
      <c r="H3" s="39"/>
      <c r="I3" s="47">
        <v>4</v>
      </c>
      <c r="J3" s="45" t="s">
        <v>47</v>
      </c>
    </row>
    <row r="4" spans="1:10" ht="15.6" customHeight="1" x14ac:dyDescent="0.3">
      <c r="A4" s="48">
        <v>5</v>
      </c>
      <c r="B4" s="48">
        <v>4</v>
      </c>
      <c r="C4" s="48">
        <f>TabNotation[[#This Row],[Pouvoir]]*TabNotation[[#This Row],[Soutien]]</f>
        <v>20</v>
      </c>
      <c r="D4" s="46" t="s">
        <v>33</v>
      </c>
      <c r="E4" s="46"/>
      <c r="F4" s="46"/>
      <c r="H4" s="39"/>
      <c r="I4" s="47">
        <v>3</v>
      </c>
      <c r="J4" s="45" t="s">
        <v>48</v>
      </c>
    </row>
    <row r="5" spans="1:10" ht="15.6" customHeight="1" x14ac:dyDescent="0.3">
      <c r="A5" s="48">
        <v>5</v>
      </c>
      <c r="B5" s="48">
        <v>5</v>
      </c>
      <c r="C5" s="48">
        <f>TabNotation[[#This Row],[Pouvoir]]*TabNotation[[#This Row],[Soutien]]</f>
        <v>25</v>
      </c>
      <c r="D5" s="46" t="s">
        <v>33</v>
      </c>
      <c r="E5" s="46"/>
      <c r="F5" s="46"/>
      <c r="H5" s="39"/>
      <c r="I5" s="47">
        <v>2</v>
      </c>
      <c r="J5" s="45" t="s">
        <v>48</v>
      </c>
    </row>
    <row r="6" spans="1:10" ht="15.6" customHeight="1" x14ac:dyDescent="0.3">
      <c r="A6" s="48">
        <v>4</v>
      </c>
      <c r="B6" s="48">
        <v>2</v>
      </c>
      <c r="C6" s="48">
        <f>TabNotation[[#This Row],[Pouvoir]]*TabNotation[[#This Row],[Soutien]]</f>
        <v>8</v>
      </c>
      <c r="D6" s="46" t="s">
        <v>34</v>
      </c>
      <c r="E6" s="46"/>
      <c r="F6" s="46"/>
      <c r="H6" s="39"/>
      <c r="I6" s="47">
        <v>1</v>
      </c>
      <c r="J6" s="45" t="s">
        <v>49</v>
      </c>
    </row>
    <row r="7" spans="1:10" ht="15.6" customHeight="1" x14ac:dyDescent="0.3">
      <c r="A7" s="48">
        <v>4</v>
      </c>
      <c r="B7" s="48">
        <v>3</v>
      </c>
      <c r="C7" s="48">
        <f>TabNotation[[#This Row],[Pouvoir]]*TabNotation[[#This Row],[Soutien]]</f>
        <v>12</v>
      </c>
      <c r="D7" s="46" t="s">
        <v>34</v>
      </c>
      <c r="E7" s="46"/>
      <c r="F7" s="46"/>
      <c r="H7" s="39"/>
      <c r="I7" s="47">
        <v>0</v>
      </c>
      <c r="J7" s="45" t="s">
        <v>49</v>
      </c>
    </row>
    <row r="8" spans="1:10" ht="15.6" customHeight="1" x14ac:dyDescent="0.3">
      <c r="A8" s="48">
        <v>5</v>
      </c>
      <c r="B8" s="48">
        <v>2</v>
      </c>
      <c r="C8" s="48">
        <f>TabNotation[[#This Row],[Pouvoir]]*TabNotation[[#This Row],[Soutien]]</f>
        <v>10</v>
      </c>
      <c r="D8" s="46" t="s">
        <v>34</v>
      </c>
      <c r="E8" s="46"/>
      <c r="F8" s="46"/>
      <c r="H8" s="39"/>
    </row>
    <row r="9" spans="1:10" ht="15.6" customHeight="1" x14ac:dyDescent="0.3">
      <c r="A9" s="48">
        <v>5</v>
      </c>
      <c r="B9" s="48">
        <v>3</v>
      </c>
      <c r="C9" s="48">
        <f>TabNotation[[#This Row],[Pouvoir]]*TabNotation[[#This Row],[Soutien]]</f>
        <v>15</v>
      </c>
      <c r="D9" s="46" t="s">
        <v>34</v>
      </c>
      <c r="E9" s="46"/>
      <c r="F9" s="46"/>
    </row>
    <row r="10" spans="1:10" ht="15.6" customHeight="1" x14ac:dyDescent="0.3">
      <c r="A10" s="48">
        <v>4</v>
      </c>
      <c r="B10" s="48">
        <v>0</v>
      </c>
      <c r="C10" s="48">
        <f>TabNotation[[#This Row],[Pouvoir]]*TabNotation[[#This Row],[Soutien]]</f>
        <v>0</v>
      </c>
      <c r="D10" s="46" t="s">
        <v>35</v>
      </c>
      <c r="E10" s="46"/>
      <c r="F10" s="46"/>
    </row>
    <row r="11" spans="1:10" ht="15.6" customHeight="1" x14ac:dyDescent="0.3">
      <c r="A11" s="48">
        <v>4</v>
      </c>
      <c r="B11" s="48">
        <v>1</v>
      </c>
      <c r="C11" s="48">
        <f>TabNotation[[#This Row],[Pouvoir]]*TabNotation[[#This Row],[Soutien]]</f>
        <v>4</v>
      </c>
      <c r="D11" s="46" t="s">
        <v>35</v>
      </c>
      <c r="E11" s="46"/>
      <c r="F11" s="46"/>
    </row>
    <row r="12" spans="1:10" ht="15.6" customHeight="1" x14ac:dyDescent="0.3">
      <c r="A12" s="48">
        <v>5</v>
      </c>
      <c r="B12" s="48">
        <v>0</v>
      </c>
      <c r="C12" s="48">
        <f>TabNotation[[#This Row],[Pouvoir]]*TabNotation[[#This Row],[Soutien]]</f>
        <v>0</v>
      </c>
      <c r="D12" s="46" t="s">
        <v>35</v>
      </c>
      <c r="E12" s="46"/>
      <c r="F12" s="46"/>
    </row>
    <row r="13" spans="1:10" ht="15.6" customHeight="1" x14ac:dyDescent="0.3">
      <c r="A13" s="48">
        <v>5</v>
      </c>
      <c r="B13" s="48">
        <v>1</v>
      </c>
      <c r="C13" s="48">
        <f>TabNotation[[#This Row],[Pouvoir]]*TabNotation[[#This Row],[Soutien]]</f>
        <v>5</v>
      </c>
      <c r="D13" s="46" t="s">
        <v>35</v>
      </c>
      <c r="E13" s="46"/>
      <c r="F13" s="46"/>
    </row>
    <row r="14" spans="1:10" ht="15.6" customHeight="1" x14ac:dyDescent="0.3">
      <c r="A14" s="48">
        <v>2</v>
      </c>
      <c r="B14" s="48">
        <v>2</v>
      </c>
      <c r="C14" s="48">
        <f>TabNotation[[#This Row],[Pouvoir]]*TabNotation[[#This Row],[Soutien]]</f>
        <v>4</v>
      </c>
      <c r="D14" s="46" t="s">
        <v>36</v>
      </c>
      <c r="E14" s="46"/>
      <c r="F14" s="46"/>
    </row>
    <row r="15" spans="1:10" ht="15.6" customHeight="1" x14ac:dyDescent="0.3">
      <c r="A15" s="48">
        <v>2</v>
      </c>
      <c r="B15" s="48">
        <v>3</v>
      </c>
      <c r="C15" s="48">
        <f>TabNotation[[#This Row],[Pouvoir]]*TabNotation[[#This Row],[Soutien]]</f>
        <v>6</v>
      </c>
      <c r="D15" s="46" t="s">
        <v>36</v>
      </c>
      <c r="E15" s="46"/>
      <c r="F15" s="46"/>
    </row>
    <row r="16" spans="1:10" ht="15.6" customHeight="1" x14ac:dyDescent="0.3">
      <c r="A16" s="48">
        <v>3</v>
      </c>
      <c r="B16" s="48">
        <v>2</v>
      </c>
      <c r="C16" s="48">
        <f>TabNotation[[#This Row],[Pouvoir]]*TabNotation[[#This Row],[Soutien]]</f>
        <v>6</v>
      </c>
      <c r="D16" s="46" t="s">
        <v>36</v>
      </c>
      <c r="E16" s="46"/>
      <c r="F16" s="46"/>
    </row>
    <row r="17" spans="1:10" ht="15.6" customHeight="1" x14ac:dyDescent="0.3">
      <c r="A17" s="48">
        <v>3</v>
      </c>
      <c r="B17" s="48">
        <v>3</v>
      </c>
      <c r="C17" s="48">
        <f>TabNotation[[#This Row],[Pouvoir]]*TabNotation[[#This Row],[Soutien]]</f>
        <v>9</v>
      </c>
      <c r="D17" s="46" t="s">
        <v>36</v>
      </c>
      <c r="E17" s="46"/>
      <c r="F17" s="46"/>
    </row>
    <row r="18" spans="1:10" ht="15.6" customHeight="1" x14ac:dyDescent="0.3">
      <c r="A18" s="48">
        <v>2</v>
      </c>
      <c r="B18" s="48">
        <v>0</v>
      </c>
      <c r="C18" s="48">
        <f>TabNotation[[#This Row],[Pouvoir]]*TabNotation[[#This Row],[Soutien]]</f>
        <v>0</v>
      </c>
      <c r="D18" s="46" t="s">
        <v>37</v>
      </c>
      <c r="E18" s="46"/>
      <c r="F18" s="46"/>
    </row>
    <row r="19" spans="1:10" ht="15.6" customHeight="1" x14ac:dyDescent="0.3">
      <c r="A19" s="48">
        <v>2</v>
      </c>
      <c r="B19" s="48">
        <v>1</v>
      </c>
      <c r="C19" s="48">
        <f>TabNotation[[#This Row],[Pouvoir]]*TabNotation[[#This Row],[Soutien]]</f>
        <v>2</v>
      </c>
      <c r="D19" s="46" t="s">
        <v>37</v>
      </c>
      <c r="E19" s="46"/>
      <c r="F19" s="46"/>
    </row>
    <row r="20" spans="1:10" ht="15.6" customHeight="1" x14ac:dyDescent="0.3">
      <c r="A20" s="48">
        <v>3</v>
      </c>
      <c r="B20" s="48">
        <v>0</v>
      </c>
      <c r="C20" s="48">
        <f>TabNotation[[#This Row],[Pouvoir]]*TabNotation[[#This Row],[Soutien]]</f>
        <v>0</v>
      </c>
      <c r="D20" s="46" t="s">
        <v>37</v>
      </c>
      <c r="E20" s="46"/>
      <c r="F20" s="46"/>
    </row>
    <row r="21" spans="1:10" ht="15.6" customHeight="1" x14ac:dyDescent="0.3">
      <c r="A21" s="48">
        <v>3</v>
      </c>
      <c r="B21" s="48">
        <v>1</v>
      </c>
      <c r="C21" s="48">
        <f>TabNotation[[#This Row],[Pouvoir]]*TabNotation[[#This Row],[Soutien]]</f>
        <v>3</v>
      </c>
      <c r="D21" s="46" t="s">
        <v>37</v>
      </c>
      <c r="E21" s="46"/>
      <c r="F21" s="46"/>
    </row>
    <row r="22" spans="1:10" ht="15.6" customHeight="1" x14ac:dyDescent="0.3">
      <c r="A22" s="48">
        <v>2</v>
      </c>
      <c r="B22" s="48">
        <v>4</v>
      </c>
      <c r="C22" s="48">
        <f>TabNotation[[#This Row],[Pouvoir]]*TabNotation[[#This Row],[Soutien]]</f>
        <v>8</v>
      </c>
      <c r="D22" s="46" t="s">
        <v>38</v>
      </c>
      <c r="E22" s="46"/>
      <c r="F22" s="46"/>
    </row>
    <row r="23" spans="1:10" ht="15.6" customHeight="1" x14ac:dyDescent="0.3">
      <c r="A23" s="48">
        <v>2</v>
      </c>
      <c r="B23" s="48">
        <v>5</v>
      </c>
      <c r="C23" s="48">
        <f>TabNotation[[#This Row],[Pouvoir]]*TabNotation[[#This Row],[Soutien]]</f>
        <v>10</v>
      </c>
      <c r="D23" s="46" t="s">
        <v>38</v>
      </c>
      <c r="E23" s="46"/>
      <c r="F23" s="46"/>
    </row>
    <row r="24" spans="1:10" ht="15.6" customHeight="1" x14ac:dyDescent="0.3">
      <c r="A24" s="48">
        <v>3</v>
      </c>
      <c r="B24" s="48">
        <v>4</v>
      </c>
      <c r="C24" s="48">
        <f>TabNotation[[#This Row],[Pouvoir]]*TabNotation[[#This Row],[Soutien]]</f>
        <v>12</v>
      </c>
      <c r="D24" s="46" t="s">
        <v>38</v>
      </c>
      <c r="E24" s="46"/>
      <c r="F24" s="46"/>
    </row>
    <row r="25" spans="1:10" ht="15.6" customHeight="1" x14ac:dyDescent="0.3">
      <c r="A25" s="48">
        <v>3</v>
      </c>
      <c r="B25" s="48">
        <v>5</v>
      </c>
      <c r="C25" s="48">
        <f>TabNotation[[#This Row],[Pouvoir]]*TabNotation[[#This Row],[Soutien]]</f>
        <v>15</v>
      </c>
      <c r="D25" s="46" t="s">
        <v>38</v>
      </c>
      <c r="E25" s="46"/>
      <c r="F25" s="46"/>
    </row>
    <row r="26" spans="1:10" ht="15.6" customHeight="1" x14ac:dyDescent="0.3">
      <c r="A26" s="48">
        <v>0</v>
      </c>
      <c r="B26" s="48">
        <v>4</v>
      </c>
      <c r="C26" s="48">
        <f>TabNotation[[#This Row],[Pouvoir]]*TabNotation[[#This Row],[Soutien]]</f>
        <v>0</v>
      </c>
      <c r="D26" s="46" t="s">
        <v>39</v>
      </c>
      <c r="E26" s="46"/>
      <c r="F26" s="46"/>
    </row>
    <row r="27" spans="1:10" ht="15.6" customHeight="1" x14ac:dyDescent="0.3">
      <c r="A27" s="48">
        <v>0</v>
      </c>
      <c r="B27" s="48">
        <v>5</v>
      </c>
      <c r="C27" s="48">
        <f>TabNotation[[#This Row],[Pouvoir]]*TabNotation[[#This Row],[Soutien]]</f>
        <v>0</v>
      </c>
      <c r="D27" s="46" t="s">
        <v>39</v>
      </c>
      <c r="E27" s="46"/>
      <c r="F27" s="46"/>
    </row>
    <row r="28" spans="1:10" ht="15.6" customHeight="1" x14ac:dyDescent="0.3">
      <c r="A28" s="48">
        <v>1</v>
      </c>
      <c r="B28" s="48">
        <v>4</v>
      </c>
      <c r="C28" s="48">
        <f>TabNotation[[#This Row],[Pouvoir]]*TabNotation[[#This Row],[Soutien]]</f>
        <v>4</v>
      </c>
      <c r="D28" s="46" t="s">
        <v>39</v>
      </c>
      <c r="E28" s="46"/>
      <c r="F28" s="46"/>
    </row>
    <row r="29" spans="1:10" ht="15.6" customHeight="1" x14ac:dyDescent="0.3">
      <c r="A29" s="48">
        <v>1</v>
      </c>
      <c r="B29" s="48">
        <v>5</v>
      </c>
      <c r="C29" s="48">
        <f>TabNotation[[#This Row],[Pouvoir]]*TabNotation[[#This Row],[Soutien]]</f>
        <v>5</v>
      </c>
      <c r="D29" s="46" t="s">
        <v>39</v>
      </c>
      <c r="E29" s="46"/>
      <c r="F29" s="46"/>
    </row>
    <row r="30" spans="1:10" ht="15.6" customHeight="1" x14ac:dyDescent="0.3">
      <c r="A30" s="48">
        <v>0</v>
      </c>
      <c r="B30" s="48">
        <v>2</v>
      </c>
      <c r="C30" s="48">
        <f>TabNotation[[#This Row],[Pouvoir]]*TabNotation[[#This Row],[Soutien]]</f>
        <v>0</v>
      </c>
      <c r="D30" s="46" t="s">
        <v>39</v>
      </c>
      <c r="E30" s="46"/>
      <c r="F30" s="46"/>
    </row>
    <row r="31" spans="1:10" ht="15.6" customHeight="1" x14ac:dyDescent="0.3">
      <c r="A31" s="48">
        <v>0</v>
      </c>
      <c r="B31" s="48">
        <v>3</v>
      </c>
      <c r="C31" s="48">
        <f>TabNotation[[#This Row],[Pouvoir]]*TabNotation[[#This Row],[Soutien]]</f>
        <v>0</v>
      </c>
      <c r="D31" s="46" t="s">
        <v>39</v>
      </c>
      <c r="E31" s="46"/>
      <c r="F31" s="46"/>
      <c r="J31" s="14"/>
    </row>
    <row r="32" spans="1:10" ht="15.6" customHeight="1" x14ac:dyDescent="0.3">
      <c r="A32" s="48">
        <v>1</v>
      </c>
      <c r="B32" s="48">
        <v>2</v>
      </c>
      <c r="C32" s="48">
        <f>TabNotation[[#This Row],[Pouvoir]]*TabNotation[[#This Row],[Soutien]]</f>
        <v>2</v>
      </c>
      <c r="D32" s="46" t="s">
        <v>39</v>
      </c>
      <c r="E32" s="46"/>
      <c r="F32" s="46"/>
    </row>
    <row r="33" spans="1:15" ht="15.6" customHeight="1" x14ac:dyDescent="0.3">
      <c r="A33" s="48">
        <v>1</v>
      </c>
      <c r="B33" s="48">
        <v>3</v>
      </c>
      <c r="C33" s="48">
        <f>TabNotation[[#This Row],[Pouvoir]]*TabNotation[[#This Row],[Soutien]]</f>
        <v>3</v>
      </c>
      <c r="D33" s="46" t="s">
        <v>39</v>
      </c>
      <c r="E33" s="46"/>
      <c r="F33" s="46"/>
      <c r="G33" s="41"/>
      <c r="H33" s="41"/>
      <c r="I33" s="41"/>
      <c r="J33" s="41"/>
      <c r="K33" s="41"/>
      <c r="L33" s="41"/>
      <c r="M33" s="41"/>
      <c r="N33" s="41"/>
      <c r="O33" s="41"/>
    </row>
    <row r="34" spans="1:15" ht="15.6" customHeight="1" x14ac:dyDescent="0.3">
      <c r="A34" s="48">
        <v>0</v>
      </c>
      <c r="B34" s="48">
        <v>0</v>
      </c>
      <c r="C34" s="48">
        <f>TabNotation[[#This Row],[Pouvoir]]*TabNotation[[#This Row],[Soutien]]</f>
        <v>0</v>
      </c>
      <c r="D34" s="46" t="s">
        <v>39</v>
      </c>
      <c r="E34" s="46"/>
      <c r="F34" s="46"/>
      <c r="G34" s="42"/>
      <c r="H34" s="42"/>
      <c r="I34" s="42"/>
      <c r="J34" s="42"/>
      <c r="K34" s="42"/>
      <c r="L34" s="42"/>
      <c r="M34" s="42"/>
      <c r="N34" s="42"/>
      <c r="O34" s="42"/>
    </row>
    <row r="35" spans="1:15" ht="15.6" customHeight="1" x14ac:dyDescent="0.3">
      <c r="A35" s="48">
        <v>0</v>
      </c>
      <c r="B35" s="48">
        <v>1</v>
      </c>
      <c r="C35" s="48">
        <f>TabNotation[[#This Row],[Pouvoir]]*TabNotation[[#This Row],[Soutien]]</f>
        <v>0</v>
      </c>
      <c r="D35" s="46" t="s">
        <v>39</v>
      </c>
      <c r="E35" s="46"/>
      <c r="F35" s="46"/>
      <c r="G35" s="42"/>
      <c r="H35" s="42"/>
      <c r="I35" s="42"/>
      <c r="J35" s="42"/>
      <c r="K35" s="42"/>
      <c r="L35" s="42"/>
      <c r="M35" s="42"/>
      <c r="N35" s="42"/>
      <c r="O35" s="42"/>
    </row>
    <row r="36" spans="1:15" ht="15.6" customHeight="1" x14ac:dyDescent="0.3">
      <c r="A36" s="48">
        <v>1</v>
      </c>
      <c r="B36" s="48">
        <v>0</v>
      </c>
      <c r="C36" s="48">
        <f>TabNotation[[#This Row],[Pouvoir]]*TabNotation[[#This Row],[Soutien]]</f>
        <v>0</v>
      </c>
      <c r="D36" s="46" t="s">
        <v>39</v>
      </c>
      <c r="E36" s="46"/>
      <c r="F36" s="46"/>
    </row>
    <row r="37" spans="1:15" ht="15.6" customHeight="1" x14ac:dyDescent="0.3">
      <c r="A37" s="48">
        <v>1</v>
      </c>
      <c r="B37" s="48">
        <v>1</v>
      </c>
      <c r="C37" s="48">
        <f>TabNotation[[#This Row],[Pouvoir]]*TabNotation[[#This Row],[Soutien]]</f>
        <v>1</v>
      </c>
      <c r="D37" s="46" t="s">
        <v>39</v>
      </c>
      <c r="E37" s="46"/>
      <c r="F37" s="46"/>
    </row>
  </sheetData>
  <dataValidations count="1">
    <dataValidation type="list" allowBlank="1" showInputMessage="1" showErrorMessage="1" sqref="E34:O35" xr:uid="{C39E930C-47C9-4C41-9790-85484017726F}">
      <formula1>INDIRECT("TabPouvoirInfluence")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89879C-D2CB-4C5D-BA3C-9076836447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Parties prenantes clés</vt:lpstr>
      <vt:lpstr>Cartographie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Ouarrak</cp:lastModifiedBy>
  <dcterms:created xsi:type="dcterms:W3CDTF">2023-04-08T12:50:22Z</dcterms:created>
  <dcterms:modified xsi:type="dcterms:W3CDTF">2023-09-05T15:46:53Z</dcterms:modified>
</cp:coreProperties>
</file>