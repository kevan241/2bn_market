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BGDP\TODO\Update Kit 2023\Kit management projet 050923\02-Initialisation\"/>
    </mc:Choice>
  </mc:AlternateContent>
  <xr:revisionPtr revIDLastSave="0" documentId="13_ncr:1_{7FD62A06-4F7D-4DA2-B10E-2F2BB23F0464}" xr6:coauthVersionLast="47" xr6:coauthVersionMax="47" xr10:uidLastSave="{00000000-0000-0000-0000-000000000000}"/>
  <bookViews>
    <workbookView xWindow="-108" yWindow="-108" windowWidth="23256" windowHeight="12576" tabRatio="604" firstSheet="1" activeTab="1" xr2:uid="{2787BEB0-32D5-4D16-A719-07A374E9BAB5}"/>
  </bookViews>
  <sheets>
    <sheet name="Guide d'utilisation" sheetId="7" state="veryHidden" r:id="rId1"/>
    <sheet name="Echelles" sheetId="10" r:id="rId2"/>
    <sheet name="Registre des risques" sheetId="2" r:id="rId3"/>
    <sheet name="Registre des problèmes" sheetId="4" r:id="rId4"/>
    <sheet name="Matrice" sheetId="9" r:id="rId5"/>
    <sheet name="Paramétrage" sheetId="3" r:id="rId6"/>
    <sheet name="Langue" sheetId="11" state="hidden" r:id="rId7"/>
  </sheets>
  <functionGroups builtInGroupCount="19"/>
  <definedNames>
    <definedName name="Langue">Paramétrage!$N$6</definedName>
    <definedName name="TabEchelle2">Echelles!$H$15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9" l="1"/>
  <c r="C16" i="9"/>
  <c r="C17" i="9"/>
  <c r="C18" i="9"/>
  <c r="C19" i="9"/>
  <c r="C20" i="9"/>
  <c r="C21" i="9"/>
  <c r="C22" i="9"/>
  <c r="C23" i="9"/>
  <c r="C24" i="9"/>
  <c r="C25" i="9"/>
  <c r="C26" i="9"/>
  <c r="C27" i="9"/>
  <c r="C28" i="9"/>
  <c r="C29" i="9"/>
  <c r="C30" i="9"/>
  <c r="C31" i="9"/>
  <c r="B16" i="4"/>
  <c r="B17" i="4"/>
  <c r="B18" i="4"/>
  <c r="C14" i="2"/>
  <c r="C15" i="2"/>
  <c r="C16" i="2"/>
  <c r="C17" i="2"/>
  <c r="C18" i="2"/>
  <c r="C19" i="2"/>
  <c r="C20" i="2"/>
  <c r="C21" i="2"/>
  <c r="C22" i="2"/>
  <c r="C23" i="2"/>
  <c r="C24" i="2"/>
  <c r="C25" i="2"/>
  <c r="C26" i="2"/>
  <c r="C27" i="2"/>
  <c r="C28" i="2"/>
  <c r="C29" i="2"/>
  <c r="C30" i="2"/>
  <c r="D14" i="2"/>
  <c r="D15" i="2"/>
  <c r="D16" i="2"/>
  <c r="D17" i="2"/>
  <c r="D18" i="2"/>
  <c r="D19" i="2"/>
  <c r="D20" i="2"/>
  <c r="D21" i="2"/>
  <c r="D22" i="2"/>
  <c r="D23" i="2"/>
  <c r="D24" i="2"/>
  <c r="D25" i="2"/>
  <c r="D26" i="2"/>
  <c r="D27" i="2"/>
  <c r="D28" i="2"/>
  <c r="D29" i="2"/>
  <c r="D30" i="2"/>
  <c r="B14" i="2"/>
  <c r="B15" i="2"/>
  <c r="B16" i="2"/>
  <c r="B17" i="2"/>
  <c r="B18" i="2"/>
  <c r="B19" i="2"/>
  <c r="B20" i="2"/>
  <c r="B21" i="2"/>
  <c r="B22" i="2"/>
  <c r="B23" i="2"/>
  <c r="B24" i="2"/>
  <c r="B25" i="2"/>
  <c r="B26" i="2"/>
  <c r="B27" i="2"/>
  <c r="B28" i="2"/>
  <c r="B29" i="2"/>
  <c r="B30" i="2"/>
  <c r="K18" i="3" a="1"/>
  <c r="K17" i="3" a="1"/>
  <c r="K16" i="3" a="1"/>
  <c r="K16" i="3" l="1"/>
  <c r="K17" i="3"/>
  <c r="K18" i="3"/>
  <c r="I25" i="2" a="1"/>
  <c r="I17" i="2" a="1"/>
  <c r="I19" i="2" a="1"/>
  <c r="I20" i="2" a="1"/>
  <c r="I14" i="2" a="1"/>
  <c r="I22" i="2" a="1"/>
  <c r="I24" i="2" a="1"/>
  <c r="I29" i="2" a="1"/>
  <c r="I18" i="2" a="1"/>
  <c r="I23" i="2" a="1"/>
  <c r="I15" i="2" a="1"/>
  <c r="I30" i="2" a="1"/>
  <c r="I27" i="2" a="1"/>
  <c r="I16" i="2" a="1"/>
  <c r="I26" i="2" a="1"/>
  <c r="I21" i="2" a="1"/>
  <c r="I28" i="2" a="1"/>
  <c r="I30" i="2" l="1"/>
  <c r="I29" i="2"/>
  <c r="I27" i="2"/>
  <c r="I28" i="2"/>
  <c r="I26" i="2"/>
  <c r="I25" i="2"/>
  <c r="I24" i="2"/>
  <c r="I23" i="2"/>
  <c r="I22" i="2"/>
  <c r="I21" i="2"/>
  <c r="I20" i="2"/>
  <c r="I17" i="2"/>
  <c r="I19" i="2"/>
  <c r="I16" i="2"/>
  <c r="I18" i="2"/>
  <c r="I15" i="2"/>
  <c r="I14"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<sst xmlns="http://schemas.openxmlformats.org/spreadsheetml/2006/main" count="757" uniqueCount="347">
  <si>
    <t>Date de création</t>
  </si>
  <si>
    <t>Date de la version</t>
  </si>
  <si>
    <t>Numéro de version</t>
  </si>
  <si>
    <t>V2.3</t>
  </si>
  <si>
    <t>Nom / Code projet</t>
  </si>
  <si>
    <t>Project X</t>
  </si>
  <si>
    <t>Référence</t>
  </si>
  <si>
    <t>R47P58X</t>
  </si>
  <si>
    <t>Non/code du portefeuille</t>
  </si>
  <si>
    <t>Portefeuille X</t>
  </si>
  <si>
    <t>PMO</t>
  </si>
  <si>
    <t>Alain DURAND</t>
  </si>
  <si>
    <t>Registre des risques</t>
  </si>
  <si>
    <t>ID</t>
  </si>
  <si>
    <t>Nature de risque</t>
  </si>
  <si>
    <t>Description</t>
  </si>
  <si>
    <t>Probabilité</t>
  </si>
  <si>
    <t>Criticité</t>
  </si>
  <si>
    <t>Conséquence si avéré</t>
  </si>
  <si>
    <t>Tendance</t>
  </si>
  <si>
    <t>Responsable</t>
  </si>
  <si>
    <t>Actions préventives</t>
  </si>
  <si>
    <t>Actions correctrices</t>
  </si>
  <si>
    <t>Intrinsèque</t>
  </si>
  <si>
    <t>Improbable</t>
  </si>
  <si>
    <t>Critique</t>
  </si>
  <si>
    <t>Délais</t>
  </si>
  <si>
    <t>Baisse</t>
  </si>
  <si>
    <t>Humain</t>
  </si>
  <si>
    <t>Peu probable</t>
  </si>
  <si>
    <t>Modéré</t>
  </si>
  <si>
    <t>Contenu</t>
  </si>
  <si>
    <t>Hausse</t>
  </si>
  <si>
    <t>Probable</t>
  </si>
  <si>
    <t>Stable</t>
  </si>
  <si>
    <t>Très critique</t>
  </si>
  <si>
    <t>Budget</t>
  </si>
  <si>
    <t>Technique</t>
  </si>
  <si>
    <t>Qualité</t>
  </si>
  <si>
    <t>Très probable</t>
  </si>
  <si>
    <t>Nature</t>
  </si>
  <si>
    <t>Conséquence</t>
  </si>
  <si>
    <t>Priorité</t>
  </si>
  <si>
    <t>Critical</t>
  </si>
  <si>
    <t>Nouveau</t>
  </si>
  <si>
    <t>IT</t>
  </si>
  <si>
    <t>High</t>
  </si>
  <si>
    <t>En traitement</t>
  </si>
  <si>
    <t>Provider</t>
  </si>
  <si>
    <t>Juridique</t>
  </si>
  <si>
    <t>Medium</t>
  </si>
  <si>
    <t>Clôturé</t>
  </si>
  <si>
    <t>Business</t>
  </si>
  <si>
    <t>Low</t>
  </si>
  <si>
    <t>Gravité</t>
  </si>
  <si>
    <t>Min</t>
  </si>
  <si>
    <t>&lt; Criticité ≤</t>
  </si>
  <si>
    <t>Max</t>
  </si>
  <si>
    <t>Catastrophique</t>
  </si>
  <si>
    <t>Grave</t>
  </si>
  <si>
    <t>Majeur</t>
  </si>
  <si>
    <t>Mineur</t>
  </si>
  <si>
    <t>Poids</t>
  </si>
  <si>
    <t>Actions correctives</t>
  </si>
  <si>
    <t>Date de Résolution</t>
  </si>
  <si>
    <t>Résolution finale</t>
  </si>
  <si>
    <t>Commentaire</t>
  </si>
  <si>
    <t>Statut</t>
  </si>
  <si>
    <t>Déclaré par</t>
  </si>
  <si>
    <t>Sommaire d'impact</t>
  </si>
  <si>
    <t>Description du problème</t>
  </si>
  <si>
    <t>Matrice de criticité des risques</t>
  </si>
  <si>
    <t>Registre des problèmes</t>
  </si>
  <si>
    <t>Guide d'utilisation</t>
  </si>
  <si>
    <t>R</t>
  </si>
  <si>
    <t>Matrice</t>
  </si>
  <si>
    <t>Classe de vraisemblance</t>
  </si>
  <si>
    <t>Intitulé générique</t>
  </si>
  <si>
    <t>Données quantitatives</t>
  </si>
  <si>
    <t>Données qualitatives</t>
  </si>
  <si>
    <t>V1 (F)</t>
  </si>
  <si>
    <t>Impossible à improbable</t>
  </si>
  <si>
    <t>&lt; 1 fois en 5 ans</t>
  </si>
  <si>
    <t>Jamais vu</t>
  </si>
  <si>
    <t>V2 (F)</t>
  </si>
  <si>
    <t>1 fois par mois</t>
  </si>
  <si>
    <t xml:space="preserve">Vu dans d’autres organisations </t>
  </si>
  <si>
    <t>V3 (F)</t>
  </si>
  <si>
    <t>1 fois par semaine</t>
  </si>
  <si>
    <t>Survient dans l’organisation</t>
  </si>
  <si>
    <t>V4 (F)</t>
  </si>
  <si>
    <t>Très probable à certain</t>
  </si>
  <si>
    <t>1 fois par jour</t>
  </si>
  <si>
    <t>Vécu dans mon secteur d’activité</t>
  </si>
  <si>
    <t xml:space="preserve">Niveau  </t>
  </si>
  <si>
    <t>Description synthétique de la gravité</t>
  </si>
  <si>
    <t>Niveau 1</t>
  </si>
  <si>
    <t>Gravité mineure : conséquences mineures sans impact/préjudice pour le projet (ex : retard simple)</t>
  </si>
  <si>
    <t>Niveau 2</t>
  </si>
  <si>
    <t>Gravité majeure : incident avec impact pour notre projet (report, prolongation anormale des délais, non satisfaction d'une exigence)</t>
  </si>
  <si>
    <t>Niveau 3</t>
  </si>
  <si>
    <t>Gravité critique : conséquences graves pour notre projet (risque liée a la sante et sécurité des utilisateurs, non respect d'une exigence légale et règlementaire, non satisfaction d'un objectif du projet)</t>
  </si>
  <si>
    <t>Niveau 4</t>
  </si>
  <si>
    <t>Gravité catastrophique : conséquences très graves pour le projet (non satisfaction des objectifs du projet, compromission des règlements, atteinte a l'image de l'organisation, perte financière, impact significatif sur d'autres projets de l'organisation, contradiction par rapport a une orientation stratégique de l'organisation)</t>
  </si>
  <si>
    <t>Echelles</t>
  </si>
  <si>
    <t>Identification</t>
  </si>
  <si>
    <t xml:space="preserve">Résolution </t>
  </si>
  <si>
    <t>Échelle de gravité / impact</t>
  </si>
  <si>
    <t>Contrôle ou audit pendant la durée du projet</t>
  </si>
  <si>
    <t>Jacques Meunier</t>
  </si>
  <si>
    <t>Contact avec notre cabinet d'audit afin d'expliquer la situation et les implications d'un contrôle inopiné. Développement d'un plan de contingence qui sera activé par le comité de direction.</t>
  </si>
  <si>
    <t>Comité de Direction exceptionnel pendant lequel le plan de contingence sera expliqué et discuté. Impacts connus aujourd'hui: coûts et délais car le projet sera retardé avec certitude.</t>
  </si>
  <si>
    <t>Les investissements nécessaires au projet ne sont pas approuvés</t>
  </si>
  <si>
    <t>Chantal Dupont</t>
  </si>
  <si>
    <t>Approbation de l'étude d'opportunité ainsi que de la charte projet.</t>
  </si>
  <si>
    <t>Comité de direction exceptionnel et communication des conséquences pour la société.</t>
  </si>
  <si>
    <t>Les syndicats n'approuvent pas le projet</t>
  </si>
  <si>
    <t>Responsable du changement</t>
  </si>
  <si>
    <t>Communication détaillée, transparente et ciblée.</t>
  </si>
  <si>
    <t>Négociation avec les syndicats et explications détaillées</t>
  </si>
  <si>
    <t>Les ressources informatiques ne sont pas disponibles à temps plein</t>
  </si>
  <si>
    <t>Implication de Daniel Château, DI ans toutes les étapes du projet, y inclus approbation de la charte. Disponibilité des ressources assignées vérifiée en permanence par la chef de projet.</t>
  </si>
  <si>
    <t>Chantal Dupont en contact direct avec le DI afin d'évaluer les conséquences et appliquer des actions correctives.</t>
  </si>
  <si>
    <t>Les ressources locales (responsable du changement, responsable de l’intégration) ne sont pas disponibles à temps plein</t>
  </si>
  <si>
    <t>Cette disponibilité est sous la responsabilité du responsable de l'intégration et du responsable du changement. Les ressources ont déjà été approuvées par les responsables de départements CMRL.</t>
  </si>
  <si>
    <t>Le problème sera soulevé lors du prochain comité de direction s'il n'est pas réglé entretemps.</t>
  </si>
  <si>
    <t>Le sponsor n'est disponible et ne supporte pas le projet</t>
  </si>
  <si>
    <t>Implication du Sponsor dans toutes les étapes du projet. Sensibilisation  (formation) à l'importance du rôle pour le succès de l'initiative.</t>
  </si>
  <si>
    <t>Le nouveau système n'est pas disponible avant la clôture de fin d’année</t>
  </si>
  <si>
    <t>L'avancement du projet sera contrôlé chaque semaine afin d'éviter ce risque. Il est essentiel qu'un plan de correction soit disponible lorsque la probabilité augmente.</t>
  </si>
  <si>
    <t>Contacter notre cabinet d'audit (PwC) et informer le comité de direction. Mise en place du plan de contingence préparé lors des actions préventives.</t>
  </si>
  <si>
    <t>Les contrats des anciens systèmes ne sont pas annulés au 1er janvier 2022</t>
  </si>
  <si>
    <t>Une action sera ajoutée au plan du projet lors de la phase de test finale afin de vérifier que cette éventualité ne se produise.</t>
  </si>
  <si>
    <t>Ce risque est un risque financier. Il ne devrait avoir aucune répercutions sur le projet. Il est toutefois utile, pour le respect du retour sur investissements, que ce point soit vérifié régulièrement.</t>
  </si>
  <si>
    <t>Les serveurs du siège ne peuvent pas supporter la charge additionnelle</t>
  </si>
  <si>
    <t>Une étude de charge a été effectuée lors de l'établissement de la charte. Un plan de contingence est en cours de développement et des ressources techniques additionnelles seront rendues disponibles.</t>
  </si>
  <si>
    <t>Activation du plan de contingence. Implication de la direction informatique.</t>
  </si>
  <si>
    <t>Toute la documentation n'est pas aux normes ISO en vigueur</t>
  </si>
  <si>
    <t>Les règles ISO pour la documentation seront clarifiées à toutes les ressources impliquées dans le projet. La documentation sera développée sur la base des documentations établies lors des projets SAP précédents.</t>
  </si>
  <si>
    <t>Vérification par nos auditeurs et application des recommandations reçues.</t>
  </si>
  <si>
    <t>Le nouveau système sera totalement opérationnel à la livraison du projet d’augmentation de la production du CMRL.</t>
  </si>
  <si>
    <t>Alignement entre le projet SAP 30 et les autres projet du CMRL par l'intégration dans le portfolio CMRL et participation aux réunions de pilotage du portfolio.</t>
  </si>
  <si>
    <t>Discussion et actions correctives décidées en comité de direction.</t>
  </si>
  <si>
    <t>Status-Quo</t>
  </si>
  <si>
    <t>Olivier Robespierre</t>
  </si>
  <si>
    <t>Communication détaillée, transparente à tous les niveaux de l'entreprise. Impacts d'un status-quo expliqués et compris de tous.</t>
  </si>
  <si>
    <t>Implication de la Direction Financière et de la Direction Générale du Groupe.</t>
  </si>
  <si>
    <t>Manque de support ou d’intérêt </t>
  </si>
  <si>
    <t>Assignation d’un responsable du changement et Plan de communication développé et mis en place. Plan de contingence prêt à l'emploi.</t>
  </si>
  <si>
    <t>Mise en place primes au succès, activation du plan de contingence.</t>
  </si>
  <si>
    <t>Pas de Responsable du changement</t>
  </si>
  <si>
    <t>Ce besoin a été soulevé depuis l'étude d'opportunité et devient un problème aujourd'hui</t>
  </si>
  <si>
    <t>Nomination très rapide nécessaire au bon déroulement du projet</t>
  </si>
  <si>
    <t>Réseau informatique à revoir. Augmentation de la capacité des lignes dédiées indispensable.</t>
  </si>
  <si>
    <t>L'infrastructure réseau a été examinée par les experts lors du développement de la charte. Les recommandations ont été communiquées au service informatique pour action. Un suivi sera fait par la chef de projet.</t>
  </si>
  <si>
    <t>Le nouveau réseau doit être disponible au démarrage du projet. Les retards seront discutés en comité de direction. Un plan de contingence avec nombre d'utilisateurs réduits est en cours de développement.</t>
  </si>
  <si>
    <t>Permanence lors des fêtes de fin d'années</t>
  </si>
  <si>
    <t>Afin d'éviter un basculement entre Noël et Nouvel-An, le plan prévoit de basculer à la clôture du mois de novembre. Un plan de contigence sera développé au cas ou le projet prendrait un retard mineur. Un basculement ne peut avoir lieu qu'à une clôture mensuelle.</t>
  </si>
  <si>
    <t>Si le basulement ne peut avoir lieu fin novembre, une permanence sera prévue sur la base du volontariat. Les besoins seront clairement documentés afin que ce "plan B" soit réalisable.</t>
  </si>
  <si>
    <t>Qualité inégale des données du système actuel</t>
  </si>
  <si>
    <t>De nombreuse corrections sont faites actuellement par 2 ressources dédiées et de manière manuelles. Un programme de vérification automatique sera développé sur leurs instructions afin d'améliorer la qualité avant le basculement prévu en novembre.</t>
  </si>
  <si>
    <t>Si des problèmes persistent lors du transfert des données, les 2 ressources pourraient prolonger leur assignation. D'autre part, des procédures de contrôle améliorées sont en cours de publication.</t>
  </si>
  <si>
    <t>Le responsable du changement n'a pas encore été assigné au projet SAP30.</t>
  </si>
  <si>
    <t>Le plan de communication est en attente et le registre des parties prenantes est incomplet</t>
  </si>
  <si>
    <t>Chantal</t>
  </si>
  <si>
    <t>Le sponsor a été informé et comprend l'importance de la demande</t>
  </si>
  <si>
    <t>Bernard Dupuis est confirmé comme Responsable du Changement et de la Communication Projet SAP30/CMRL. Bienvenue dans l'équipe, Bernard!</t>
  </si>
  <si>
    <t>Ce problème doit être réglé en priorité pour éviter tout retard dans le démarrage du projet.</t>
  </si>
  <si>
    <t>L'infrastructure informatique entre le CMRL et le siège de Villacoublay est à revoir</t>
  </si>
  <si>
    <t>Deux problèmes sont à régler: l'augmentation de la puissance des serveurs pour supporter la charge vouvelle et le réseau dont l'utilisation va quadrupler dans les mois qui viennent</t>
  </si>
  <si>
    <t>Daniel</t>
  </si>
  <si>
    <t>Une étude a été effectuée par le service informatique et les besoins ont été identifiés. La partie hardware semble sous contrôle, la commande et la livraison des nouvelles lignes est à surveiller de très près.</t>
  </si>
  <si>
    <t>Daniel Château s'occupe de ce problème en priorité.</t>
  </si>
  <si>
    <t>Les spécifiques du CMRL ne sont pas totalement documentés et leur impact réel encore à clarifier.</t>
  </si>
  <si>
    <t>Un impact sur le périmètres ou la charge de travail de réalisation n'est pas a écarter</t>
  </si>
  <si>
    <t>Jacques</t>
  </si>
  <si>
    <t>Nos experts du centre d'excellence informatique visiteront le centre dans les prochains jour afin de documenter l'écart entre l'existant et le futur.</t>
  </si>
  <si>
    <t>Jacques Meunier a été assigné pour coordonner ces travaux. Bien que le système standard du siège soit considéré complet, il n'est pas impossible que certaines spécificités du CMRL manquent encore. Cette étude est une procédure normale à ce stade du projet.</t>
  </si>
  <si>
    <t>Langue</t>
  </si>
  <si>
    <t>Français</t>
  </si>
  <si>
    <t>Anglais</t>
  </si>
  <si>
    <t>Yes-No</t>
  </si>
  <si>
    <t>Oui</t>
  </si>
  <si>
    <t>Non</t>
  </si>
  <si>
    <t>Paramétrage</t>
  </si>
  <si>
    <t>Registre des problèmes »</t>
  </si>
  <si>
    <t>Registre des risques »</t>
  </si>
  <si>
    <t>Status</t>
  </si>
  <si>
    <t>New</t>
  </si>
  <si>
    <t>In Progress</t>
  </si>
  <si>
    <t>Closed</t>
  </si>
  <si>
    <t>Human</t>
  </si>
  <si>
    <t>Technical</t>
  </si>
  <si>
    <t>Legal</t>
  </si>
  <si>
    <t>Inherent</t>
  </si>
  <si>
    <t>Probability</t>
  </si>
  <si>
    <t>Very Likely</t>
  </si>
  <si>
    <t>Likely</t>
  </si>
  <si>
    <t>Unlikely</t>
  </si>
  <si>
    <t>Moderate</t>
  </si>
  <si>
    <t>Very Critical</t>
  </si>
  <si>
    <t>Severity</t>
  </si>
  <si>
    <t>Catastrophic</t>
  </si>
  <si>
    <t>Serious</t>
  </si>
  <si>
    <t>Major</t>
  </si>
  <si>
    <t>Minor</t>
  </si>
  <si>
    <t>Schedule</t>
  </si>
  <si>
    <t>Quality</t>
  </si>
  <si>
    <t>Content</t>
  </si>
  <si>
    <t>Responsible</t>
  </si>
  <si>
    <t>Priority</t>
  </si>
  <si>
    <t>Trend</t>
  </si>
  <si>
    <t>Rising</t>
  </si>
  <si>
    <t>Falling</t>
  </si>
  <si>
    <t>Issues Register »</t>
  </si>
  <si>
    <t>Risks Register »</t>
  </si>
  <si>
    <t>User Guide</t>
  </si>
  <si>
    <t>Scales</t>
  </si>
  <si>
    <t>Risks Register</t>
  </si>
  <si>
    <t>Issues Register</t>
  </si>
  <si>
    <t>Matrix</t>
  </si>
  <si>
    <t>Language</t>
  </si>
  <si>
    <t>Project Name / Code</t>
  </si>
  <si>
    <t>Reference</t>
  </si>
  <si>
    <t>Portfolio Number / Code</t>
  </si>
  <si>
    <t>Creation Date</t>
  </si>
  <si>
    <t>Version Date</t>
  </si>
  <si>
    <t>Version Number</t>
  </si>
  <si>
    <t>Likelihood Class</t>
  </si>
  <si>
    <t>Generic Title</t>
  </si>
  <si>
    <t>Quantitative Data</t>
  </si>
  <si>
    <t>Qualitative Data</t>
  </si>
  <si>
    <t>Level</t>
  </si>
  <si>
    <t>Brief Description of Severity</t>
  </si>
  <si>
    <t>Impossible to Improbable</t>
  </si>
  <si>
    <t>Very Probable to Certain</t>
  </si>
  <si>
    <t>&lt; 1 Time in 5 Years</t>
  </si>
  <si>
    <t>1 Time per Month</t>
  </si>
  <si>
    <t>1 Time per Week</t>
  </si>
  <si>
    <t>1 Time per Day</t>
  </si>
  <si>
    <t>Never Seen</t>
  </si>
  <si>
    <t>Seen in Other Organizations</t>
  </si>
  <si>
    <t>Occurs in the Organization</t>
  </si>
  <si>
    <t>Experienced in My Industry</t>
  </si>
  <si>
    <t>Level 1</t>
  </si>
  <si>
    <t>Level 2</t>
  </si>
  <si>
    <t>Level 3</t>
  </si>
  <si>
    <t>Level 4</t>
  </si>
  <si>
    <t>Minor Severity: Minor consequences with no impact/harm to the project (e.g., simple delay)</t>
  </si>
  <si>
    <t>Major Severity: Incident with impact on our project (postponement, abnormal extension of timelines, non-fulfillment of a requirement)</t>
  </si>
  <si>
    <t>Critical Severity: Serious consequences for our project (risk related to user health and safety, non-compliance with legal and regulatory requirements, non-fulfillment of a project objective)</t>
  </si>
  <si>
    <t>Catastrophic Severity: Very serious consequences for the project (non-fulfillment of project objectives, breach of regulations, damage to the organization's image, financial loss, significant impact on other organization projects, contradiction with the organization's strategic direction)</t>
  </si>
  <si>
    <t>Échelle de fréquence / probabilité</t>
  </si>
  <si>
    <t>Frequency / Probability Scale</t>
  </si>
  <si>
    <t>Severity / Impact Scale</t>
  </si>
  <si>
    <t>Settings</t>
  </si>
  <si>
    <t>Weight</t>
  </si>
  <si>
    <t>Risk Nature</t>
  </si>
  <si>
    <t>Consequence if Occurs</t>
  </si>
  <si>
    <t>Preventive Actions</t>
  </si>
  <si>
    <t>Corrective Actions</t>
  </si>
  <si>
    <t>Control or Audit During Project Duration</t>
  </si>
  <si>
    <t>The necessary investments for the project are not approved.</t>
  </si>
  <si>
    <t>IT resources are not available full-time.</t>
  </si>
  <si>
    <t>Local resources (change manager, integration manager) are not available full-time.</t>
  </si>
  <si>
    <t>The sponsor is not available and does not support the project.</t>
  </si>
  <si>
    <t>The new system will not be available before the end-of-year closing.</t>
  </si>
  <si>
    <t>Contracts of the old systems are not canceled by January 1, 2022.</t>
  </si>
  <si>
    <t>Headquarter servers cannot handle the additional load.</t>
  </si>
  <si>
    <t>Not all documentation complies with ISO standards.</t>
  </si>
  <si>
    <t>The new system will be fully operational upon delivery of the CMRL production increase project.</t>
  </si>
  <si>
    <t>Lack of support or interest</t>
  </si>
  <si>
    <t>No Change Manager</t>
  </si>
  <si>
    <t>IT network needs revision. Increase in dedicated line capacity is essential.</t>
  </si>
  <si>
    <t>Availability required during the year-end holidays.</t>
  </si>
  <si>
    <t>Uneven data quality in the current system.</t>
  </si>
  <si>
    <t>Contact with our audit firm to explain the situation and implications of an unannounced audit. Development of a contingency plan to be activated by the executive committee.</t>
  </si>
  <si>
    <t>Approval of the opportunity study and project charter.</t>
  </si>
  <si>
    <t>Detailed, transparent, and targeted communication.</t>
  </si>
  <si>
    <t>Involvement of Daniel Château, IT Director, in all project stages, including charter approval. Availability of assigned resources continuously verified by the project manager.</t>
  </si>
  <si>
    <t>This availability is the responsibility of the Integration Manager and the Change Manager. Resources have already been approved by CMRL department heads.</t>
  </si>
  <si>
    <t>Involvement of the Sponsor in all project stages. Awareness (training) of the importance of the role for the initiative's success.</t>
  </si>
  <si>
    <t>Project progress will be monitored weekly to avoid this risk. A corrective plan must be available as the probability increases.</t>
  </si>
  <si>
    <t>An action will be added to the project plan during the final testing phase to verify this eventuality does not occur.</t>
  </si>
  <si>
    <t>A capacity study was conducted during charter development. A contingency plan is under development, and additional technical resources will be made available.</t>
  </si>
  <si>
    <t>ISO rules for documentation will be clarified to all resources involved in the project. Documentation will be developed based on established documentation from previous SAP projects.</t>
  </si>
  <si>
    <t>Alignment between SAP Project 30 and other CMRL projects by integrating into the CMRL portfolio and participating in portfolio steering meetings.</t>
  </si>
  <si>
    <t>Detailed, transparent communication at all levels of the company. Impacts of the status quo explained and understood by all.</t>
  </si>
  <si>
    <t>Appointment of a Change Manager and development and implementation of a communication plan. Contingency plan ready for use.</t>
  </si>
  <si>
    <t>This need was raised since the opportunity study and has become a problem today.</t>
  </si>
  <si>
    <t>The network infrastructure was examined by experts during charter development. Recommendations were communicated to the IT department for action. Follow-up will be done by the project manager.</t>
  </si>
  <si>
    <t>To avoid a switch between Christmas and New Year's, the plan is to switch at the end of November. A contingency plan will be developed in case the project experiences a minor delay. A switch can only occur at a monthly closing.</t>
  </si>
  <si>
    <t>Numerous corrections are currently being made manually by 2 dedicated resources. An automated verification program will be developed based on their instructions to improve quality before the planned switch in November.</t>
  </si>
  <si>
    <t>Exceptional Executive Committee meeting during which the contingency plan will be explained and discussed. Known impacts today: costs and delays as the project will be delayed for sure.</t>
  </si>
  <si>
    <t>Exceptional executive committee meeting and communication of consequences for the company.</t>
  </si>
  <si>
    <t>Negotiations with trade unions and detailed explanations.</t>
  </si>
  <si>
    <t>Chantal Dupont in direct contact with the IT Director to assess consequences and apply corrective actions.</t>
  </si>
  <si>
    <t>The problem will be raised at the next executive committee meeting if not resolved in the meantime.</t>
  </si>
  <si>
    <t>Contact our audit firm (PwC) and inform the executive committee. Implementation of the contingency plan prepared during preventive actions.</t>
  </si>
  <si>
    <t>This risk is a financial risk. It should have no repercussions on the project. However, for return on investment compliance, this point should be regularly verified.</t>
  </si>
  <si>
    <t>Activation of the contingency plan. Involvement of the IT management.</t>
  </si>
  <si>
    <t>Verification by our auditors and implementation of received recommendations.</t>
  </si>
  <si>
    <t>Discussion and corrective actions decided in the executive committee.</t>
  </si>
  <si>
    <t>Involvement of the Finance Department and the General Management of the Group.</t>
  </si>
  <si>
    <t>Implementation of success incentives, activation of the contingency plan.</t>
  </si>
  <si>
    <t>Rapid appointment necessary for the smooth running of the project.</t>
  </si>
  <si>
    <t>The new network must be available at the start of the project. Delays will be discussed in the executive committee. A contingency plan with reduced user numbers is being developed.</t>
  </si>
  <si>
    <t>If the switch cannot take place at the end of November, coverage will be provided on a voluntary basis. Needs will be clearly documented so that this "Plan B" is feasible.</t>
  </si>
  <si>
    <t>If problems persist during data transfer, the 2 resources may extend their assignment. Furthermore, improved control procedures are being published.</t>
  </si>
  <si>
    <t>Ajouter un risque</t>
  </si>
  <si>
    <t>Supprimer un risque</t>
  </si>
  <si>
    <t>Add a risk</t>
  </si>
  <si>
    <t>Remove a risk</t>
  </si>
  <si>
    <t>Date_x000D_
Identifiée</t>
  </si>
  <si>
    <t>Ajouter un problème</t>
  </si>
  <si>
    <t>Supprimer un problème</t>
  </si>
  <si>
    <t>Problem Description</t>
  </si>
  <si>
    <t>The change manager has not yet been assigned to the SAP30 project.</t>
  </si>
  <si>
    <t>The IT infrastructure between CMRL and the Villacoublay headquarters needs to be reviewed.</t>
  </si>
  <si>
    <t>CMRL-specifics are not fully documented, and their actual impact is yet to be clarified.</t>
  </si>
  <si>
    <t>Impact Summary</t>
  </si>
  <si>
    <t>The communication plan is pending, and the stakeholder register is incomplete.</t>
  </si>
  <si>
    <t>Two issues need to be addressed: increasing server capacity to support the new load and upgrading the network, which will see a fourfold increase in usage in the coming months.</t>
  </si>
  <si>
    <t>An impact on project scope or workload cannot be ruled out.</t>
  </si>
  <si>
    <t>The sponsor has been informed and understands the significance of the request.</t>
  </si>
  <si>
    <t>An assessment has been conducted by the IT department, and the requirements have been identified. The hardware aspect appears to be under control, but monitoring the ordering and delivery of new lines is crucial.</t>
  </si>
  <si>
    <t>Our experts from the IT center of excellence will visit the site in the next few days to document the gap between the current state and the future state.</t>
  </si>
  <si>
    <t>Bernard Dupuis is confirmed as the Change and Communication Manager for Project SAP30/CMRL. Welcome to the team, Bernard!</t>
  </si>
  <si>
    <t>This issue must be addressed as a priority to avoid any delays in project commencement.</t>
  </si>
  <si>
    <t>Daniel Château is addressing this issue as a top priority.</t>
  </si>
  <si>
    <t>Jacques Meunier has been assigned to coordinate these efforts. While the headquarters' standard system is considered complete, it is possible that some CMRL-specifics are still missing. This study is a normal procedure at this stage of the project.</t>
  </si>
  <si>
    <t>Date_x000D_
Identified</t>
  </si>
  <si>
    <t>Reported by</t>
  </si>
  <si>
    <t>Resolution Date</t>
  </si>
  <si>
    <t>Final Resolution</t>
  </si>
  <si>
    <t>Comment</t>
  </si>
  <si>
    <t>Resolution</t>
  </si>
  <si>
    <t>Add a problem</t>
  </si>
  <si>
    <t>Remove a problem</t>
  </si>
  <si>
    <t>Légende »</t>
  </si>
  <si>
    <t>Legend »</t>
  </si>
  <si>
    <t>The unions do not approve the project.</t>
  </si>
  <si>
    <t>Date</t>
  </si>
  <si>
    <t xml:space="preserve">Criticality </t>
  </si>
  <si>
    <t>Consequence</t>
  </si>
  <si>
    <t>&lt; Criticality ≤</t>
  </si>
  <si>
    <t>Risk Criticality Matrix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</si>
</sst>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0"/>
      <color theme="1" tint="0.34998626667073579"/>
      <name val="Calibri"/>
      <family val="2"/>
      <scheme val="minor"/>
    </font>
    <font>
      <sz val="11"/>
      <color theme="1"/>
      <name val="Candara"/>
      <family val="2"/>
    </font>
    <font>
      <sz val="10"/>
      <color theme="6" tint="-0.249977111117893"/>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b/>
      <sz val="11"/>
      <color theme="6" tint="-0.249977111117893"/>
      <name val="Calibri"/>
      <family val="2"/>
      <scheme val="minor"/>
    </font>
    <font>
      <b/>
      <sz val="11"/>
      <color rgb="FF2C6646"/>
      <name val="Calibri"/>
      <family val="2"/>
      <scheme val="minor"/>
    </font>
    <font>
      <sz val="11"/>
      <color theme="1" tint="0.14999847407452621"/>
      <name val="Calibri"/>
      <family val="2"/>
      <scheme val="minor"/>
    </font>
    <font>
      <b/>
      <sz val="11"/>
      <color theme="0"/>
      <name val="Calibri"/>
      <family val="2"/>
      <scheme val="minor"/>
    </font>
    <font>
      <sz val="11"/>
      <name val="Calibri"/>
      <family val="2"/>
      <scheme val="minor"/>
    </font>
    <font>
      <sz val="11"/>
      <color theme="1" tint="4.9989318521683403E-2"/>
      <name val="Calibri"/>
      <family val="2"/>
      <scheme val="minor"/>
    </font>
    <font>
      <sz val="11"/>
      <color theme="0"/>
      <name val="Calibri"/>
      <family val="2"/>
      <scheme val="minor"/>
    </font>
    <font>
      <b/>
      <sz val="11"/>
      <color rgb="FFFF0000"/>
      <name val="Calibri"/>
      <family val="2"/>
      <scheme val="minor"/>
    </font>
    <font>
      <sz val="11"/>
      <color theme="1"/>
      <name val="Calibri"/>
      <family val="2"/>
      <scheme val="minor"/>
    </font>
    <font>
      <sz val="11"/>
      <color rgb="FFFF0000"/>
      <name val="Calibri"/>
      <family val="2"/>
      <scheme val="minor"/>
    </font>
    <font>
      <b/>
      <sz val="12"/>
      <color theme="0" tint="-4.9989318521683403E-2"/>
      <name val="Calibri"/>
      <family val="2"/>
    </font>
    <font>
      <sz val="11"/>
      <color theme="7" tint="-0.499984740745262"/>
      <name val="Calibri"/>
      <family val="2"/>
      <scheme val="minor"/>
    </font>
    <font>
      <sz val="11"/>
      <color theme="5"/>
      <name val="Calibri"/>
      <family val="2"/>
      <scheme val="minor"/>
    </font>
    <font>
      <sz val="11"/>
      <color rgb="FFB0AC14"/>
      <name val="Calibri"/>
      <family val="2"/>
      <scheme val="minor"/>
    </font>
    <font>
      <sz val="12"/>
      <color theme="0"/>
      <name val="Calibri"/>
      <family val="2"/>
    </font>
    <font>
      <sz val="11"/>
      <color theme="4" tint="-0.499984740745262"/>
      <name val="Calibri"/>
      <family val="2"/>
      <scheme val="minor"/>
    </font>
    <font>
      <sz val="11"/>
      <color rgb="FF00863D"/>
      <name val="Calibri"/>
      <family val="2"/>
      <scheme val="minor"/>
    </font>
    <font>
      <sz val="11"/>
      <color theme="2" tint="-0.749992370372631"/>
      <name val="Calibri"/>
      <family val="2"/>
      <scheme val="minor"/>
    </font>
    <font>
      <b/>
      <sz val="8"/>
      <color theme="9"/>
      <name val="Calibri"/>
      <family val="2"/>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rgb="FFE7F3FF"/>
        <bgColor indexed="64"/>
      </patternFill>
    </fill>
    <fill>
      <patternFill patternType="solid">
        <fgColor rgb="FFB9E1CB"/>
        <bgColor indexed="64"/>
      </patternFill>
    </fill>
    <fill>
      <patternFill patternType="solid">
        <fgColor theme="9"/>
        <bgColor theme="9"/>
      </patternFill>
    </fill>
    <fill>
      <patternFill patternType="solid">
        <fgColor theme="5"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F9E7"/>
        <bgColor indexed="64"/>
      </patternFill>
    </fill>
    <fill>
      <patternFill patternType="solid">
        <fgColor theme="7" tint="0.39997558519241921"/>
        <bgColor indexed="64"/>
      </patternFill>
    </fill>
    <fill>
      <patternFill patternType="solid">
        <fgColor rgb="FF439B6B"/>
        <bgColor indexed="64"/>
      </patternFill>
    </fill>
    <fill>
      <patternFill patternType="solid">
        <fgColor rgb="FFF5F5F5"/>
        <bgColor indexed="64"/>
      </patternFill>
    </fill>
    <fill>
      <patternFill patternType="solid">
        <fgColor theme="4" tint="0.79998168889431442"/>
        <bgColor indexed="64"/>
      </patternFill>
    </fill>
    <fill>
      <patternFill patternType="solid">
        <fgColor rgb="FFEFF6EA"/>
        <bgColor indexed="64"/>
      </patternFill>
    </fill>
    <fill>
      <patternFill patternType="lightUp">
        <bgColor theme="6" tint="0.39994506668294322"/>
      </patternFill>
    </fill>
    <fill>
      <patternFill patternType="lightUp">
        <fgColor auto="1"/>
        <bgColor theme="6" tint="0.39994506668294322"/>
      </patternFill>
    </fill>
  </fills>
  <borders count="14">
    <border>
      <left/>
      <right/>
      <top/>
      <bottom/>
      <diagonal/>
    </border>
    <border>
      <left/>
      <right/>
      <top/>
      <bottom style="thin">
        <color theme="0" tint="-0.14996795556505021"/>
      </bottom>
      <diagonal/>
    </border>
    <border>
      <left/>
      <right/>
      <top/>
      <bottom style="thick">
        <color theme="0"/>
      </bottom>
      <diagonal/>
    </border>
    <border>
      <left/>
      <right/>
      <top style="thick">
        <color theme="0"/>
      </top>
      <bottom style="thick">
        <color theme="0"/>
      </bottom>
      <diagonal/>
    </border>
    <border>
      <left/>
      <right/>
      <top/>
      <bottom style="thin">
        <color rgb="FF91E0FF"/>
      </bottom>
      <diagonal/>
    </border>
    <border>
      <left/>
      <right/>
      <top style="thin">
        <color rgb="FF91E0FF"/>
      </top>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right/>
      <top style="thin">
        <color rgb="FF86CCA4"/>
      </top>
      <bottom/>
      <diagonal/>
    </border>
    <border>
      <left/>
      <right style="double">
        <color theme="9"/>
      </right>
      <top/>
      <bottom/>
      <diagonal/>
    </border>
    <border>
      <left style="thin">
        <color theme="9"/>
      </left>
      <right style="thin">
        <color theme="9"/>
      </right>
      <top style="thin">
        <color theme="9"/>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
    <xf numFmtId="0" fontId="0" fillId="0" borderId="0"/>
    <xf numFmtId="0" fontId="16" fillId="0" borderId="0"/>
  </cellStyleXfs>
  <cellXfs count="72">
    <xf numFmtId="0" fontId="0" fillId="0" borderId="0" xfId="0"/>
    <xf numFmtId="0" fontId="1" fillId="2" borderId="1" xfId="0" applyFont="1" applyFill="1" applyBorder="1" applyAlignment="1">
      <alignment vertical="center"/>
    </xf>
    <xf numFmtId="14" fontId="1" fillId="2" borderId="1" xfId="0" applyNumberFormat="1" applyFont="1" applyFill="1" applyBorder="1" applyAlignment="1">
      <alignment horizontal="center" vertical="center"/>
    </xf>
    <xf numFmtId="0" fontId="2" fillId="3" borderId="0" xfId="0" applyFont="1" applyFill="1"/>
    <xf numFmtId="0" fontId="3" fillId="2" borderId="0" xfId="0" applyFont="1" applyFill="1" applyAlignment="1">
      <alignment horizontal="center" vertical="center"/>
    </xf>
    <xf numFmtId="0" fontId="1" fillId="2" borderId="2" xfId="0" applyFont="1" applyFill="1" applyBorder="1" applyAlignment="1">
      <alignment vertical="center"/>
    </xf>
    <xf numFmtId="0" fontId="1" fillId="2" borderId="2" xfId="0" applyFont="1" applyFill="1" applyBorder="1" applyAlignment="1">
      <alignment horizontal="center" vertical="center"/>
    </xf>
    <xf numFmtId="0" fontId="4" fillId="4" borderId="3" xfId="0" applyFont="1" applyFill="1" applyBorder="1" applyAlignment="1">
      <alignment vertical="center"/>
    </xf>
    <xf numFmtId="0" fontId="5" fillId="4" borderId="3" xfId="0" applyFont="1" applyFill="1" applyBorder="1" applyAlignment="1">
      <alignment vertical="center"/>
    </xf>
    <xf numFmtId="0" fontId="6" fillId="5" borderId="4" xfId="0" applyFont="1" applyFill="1" applyBorder="1" applyAlignment="1">
      <alignment vertical="center"/>
    </xf>
    <xf numFmtId="0" fontId="7" fillId="5" borderId="4" xfId="0" applyFont="1" applyFill="1" applyBorder="1" applyAlignment="1">
      <alignment vertical="center"/>
    </xf>
    <xf numFmtId="0" fontId="8" fillId="6" borderId="0" xfId="0" applyFont="1" applyFill="1" applyAlignment="1">
      <alignment horizontal="center" vertical="center"/>
    </xf>
    <xf numFmtId="0" fontId="8" fillId="6" borderId="5" xfId="0" applyFont="1" applyFill="1" applyBorder="1" applyAlignment="1">
      <alignment vertical="center"/>
    </xf>
    <xf numFmtId="0" fontId="9" fillId="7" borderId="0" xfId="0" applyFont="1" applyFill="1" applyAlignment="1">
      <alignment horizontal="center" vertical="center" wrapText="1"/>
    </xf>
    <xf numFmtId="0" fontId="10" fillId="0" borderId="0" xfId="0" applyFont="1" applyAlignment="1">
      <alignment horizontal="left" vertical="center" wrapText="1"/>
    </xf>
    <xf numFmtId="0" fontId="10" fillId="0" borderId="0" xfId="0" applyFont="1" applyAlignment="1">
      <alignment horizontal="center" vertical="center" wrapText="1"/>
    </xf>
    <xf numFmtId="0" fontId="11" fillId="0" borderId="0" xfId="0" applyFont="1" applyAlignment="1" applyProtection="1">
      <alignment horizontal="center" vertical="center" wrapText="1"/>
      <protection locked="0"/>
    </xf>
    <xf numFmtId="0" fontId="12" fillId="0" borderId="0" xfId="0" applyFont="1"/>
    <xf numFmtId="0" fontId="12" fillId="0" borderId="0" xfId="0" applyFont="1" applyProtection="1">
      <protection locked="0"/>
    </xf>
    <xf numFmtId="1" fontId="12" fillId="0" borderId="0" xfId="0" applyNumberFormat="1" applyFont="1" applyAlignment="1" applyProtection="1">
      <alignment horizontal="center" vertical="center"/>
      <protection locked="0"/>
    </xf>
    <xf numFmtId="0" fontId="11" fillId="8" borderId="6" xfId="0" applyFont="1" applyFill="1" applyBorder="1" applyAlignment="1">
      <alignment horizontal="center" vertical="center" wrapText="1"/>
    </xf>
    <xf numFmtId="0" fontId="11" fillId="8" borderId="7" xfId="0" applyFont="1" applyFill="1" applyBorder="1" applyAlignment="1">
      <alignment horizontal="center" vertical="center" wrapText="1"/>
    </xf>
    <xf numFmtId="0" fontId="11" fillId="8" borderId="8" xfId="0" applyFont="1" applyFill="1" applyBorder="1" applyAlignment="1">
      <alignment horizontal="center" vertical="center" wrapText="1"/>
    </xf>
    <xf numFmtId="0" fontId="10" fillId="0" borderId="0" xfId="0" applyFont="1" applyAlignment="1">
      <alignment horizontal="left" vertical="center"/>
    </xf>
    <xf numFmtId="0" fontId="14" fillId="0" borderId="0" xfId="0" applyFont="1"/>
    <xf numFmtId="1" fontId="12" fillId="0" borderId="0" xfId="0" applyNumberFormat="1" applyFont="1" applyAlignment="1">
      <alignment horizontal="center" vertical="center"/>
    </xf>
    <xf numFmtId="0" fontId="1" fillId="2" borderId="2" xfId="0" applyFont="1" applyFill="1" applyBorder="1" applyAlignment="1">
      <alignment horizontal="left" vertical="center"/>
    </xf>
    <xf numFmtId="0" fontId="1" fillId="2" borderId="1" xfId="0" applyFont="1" applyFill="1" applyBorder="1" applyAlignment="1">
      <alignment horizontal="left" vertical="center"/>
    </xf>
    <xf numFmtId="0" fontId="2" fillId="3" borderId="0" xfId="0" applyFont="1" applyFill="1" applyAlignment="1">
      <alignment horizontal="left"/>
    </xf>
    <xf numFmtId="0" fontId="9" fillId="7" borderId="10" xfId="0" applyFont="1" applyFill="1" applyBorder="1" applyAlignment="1">
      <alignment horizontal="center" vertical="center" wrapText="1"/>
    </xf>
    <xf numFmtId="0" fontId="15" fillId="10" borderId="0" xfId="1" applyFont="1" applyFill="1" applyAlignment="1">
      <alignment horizontal="left" vertical="center"/>
    </xf>
    <xf numFmtId="0" fontId="19" fillId="13" borderId="0" xfId="0" applyFont="1" applyFill="1" applyAlignment="1" applyProtection="1">
      <alignment horizontal="center" vertical="center"/>
      <protection locked="0"/>
    </xf>
    <xf numFmtId="0" fontId="17" fillId="10" borderId="0" xfId="1" applyFont="1" applyFill="1" applyAlignment="1">
      <alignment horizontal="center" vertical="center"/>
    </xf>
    <xf numFmtId="0" fontId="20" fillId="9" borderId="0" xfId="1" applyFont="1" applyFill="1" applyAlignment="1">
      <alignment horizontal="left" vertical="center"/>
    </xf>
    <xf numFmtId="0" fontId="21" fillId="12" borderId="0" xfId="0" applyFont="1" applyFill="1"/>
    <xf numFmtId="0" fontId="19" fillId="11" borderId="0" xfId="0" applyFont="1" applyFill="1" applyAlignment="1" applyProtection="1">
      <alignment horizontal="center" vertical="center"/>
      <protection locked="0"/>
    </xf>
    <xf numFmtId="0" fontId="13" fillId="15" borderId="0" xfId="0" applyFont="1" applyFill="1"/>
    <xf numFmtId="0" fontId="20" fillId="11" borderId="0" xfId="0" applyFont="1" applyFill="1"/>
    <xf numFmtId="0" fontId="5" fillId="4" borderId="3" xfId="0" applyFont="1" applyFill="1" applyBorder="1" applyAlignment="1">
      <alignment horizontal="left" vertical="center"/>
    </xf>
    <xf numFmtId="0" fontId="10" fillId="0" borderId="0" xfId="0" applyFont="1" applyAlignment="1">
      <alignment vertical="center" wrapText="1"/>
    </xf>
    <xf numFmtId="14" fontId="10" fillId="0" borderId="0" xfId="0" applyNumberFormat="1" applyFont="1" applyAlignment="1">
      <alignment horizontal="center" vertical="center" wrapText="1"/>
    </xf>
    <xf numFmtId="0" fontId="10" fillId="0" borderId="10" xfId="0" applyFont="1" applyBorder="1" applyAlignment="1">
      <alignment horizontal="center" vertical="center" wrapText="1"/>
    </xf>
    <xf numFmtId="0" fontId="23" fillId="16" borderId="0" xfId="1" applyFont="1" applyFill="1" applyAlignment="1">
      <alignment horizontal="left" vertical="center"/>
    </xf>
    <xf numFmtId="0" fontId="24" fillId="17" borderId="0" xfId="0" applyFont="1" applyFill="1"/>
    <xf numFmtId="0" fontId="0" fillId="0" borderId="0" xfId="0" applyAlignment="1">
      <alignment horizontal="left"/>
    </xf>
    <xf numFmtId="0" fontId="4" fillId="4" borderId="3" xfId="0" applyFont="1" applyFill="1" applyBorder="1" applyAlignment="1">
      <alignment horizontal="left" vertical="center"/>
    </xf>
    <xf numFmtId="0" fontId="6" fillId="5" borderId="4" xfId="0" applyFont="1" applyFill="1" applyBorder="1" applyAlignment="1">
      <alignment horizontal="left" vertical="center"/>
    </xf>
    <xf numFmtId="0" fontId="8" fillId="6" borderId="0" xfId="0" applyFont="1" applyFill="1" applyAlignment="1">
      <alignment horizontal="left" vertical="center"/>
    </xf>
    <xf numFmtId="0" fontId="14" fillId="0" borderId="0" xfId="0" applyFont="1" applyAlignment="1">
      <alignment horizontal="left"/>
    </xf>
    <xf numFmtId="0" fontId="0" fillId="0" borderId="0" xfId="0" applyAlignment="1">
      <alignment horizontal="left" vertical="center"/>
    </xf>
    <xf numFmtId="0" fontId="14" fillId="0" borderId="0" xfId="0" applyFont="1" applyAlignment="1">
      <alignment horizontal="left" vertical="center"/>
    </xf>
    <xf numFmtId="0" fontId="25" fillId="0" borderId="0" xfId="0" applyFont="1" applyAlignment="1" applyProtection="1">
      <alignment horizontal="center" vertical="center"/>
      <protection locked="0"/>
    </xf>
    <xf numFmtId="0" fontId="25" fillId="0" borderId="0" xfId="0" applyFont="1"/>
    <xf numFmtId="0" fontId="9" fillId="18" borderId="0" xfId="0" applyFont="1" applyFill="1" applyAlignment="1">
      <alignment horizontal="center" vertical="center" wrapText="1"/>
    </xf>
    <xf numFmtId="0" fontId="10" fillId="18" borderId="0" xfId="0" applyFont="1" applyFill="1" applyAlignment="1">
      <alignment horizontal="center" vertical="center" wrapText="1"/>
    </xf>
    <xf numFmtId="0" fontId="4" fillId="19" borderId="3" xfId="0" applyFont="1" applyFill="1" applyBorder="1" applyAlignment="1">
      <alignment horizontal="center" vertical="center"/>
    </xf>
    <xf numFmtId="0" fontId="0" fillId="18" borderId="0" xfId="0" applyFill="1" applyAlignment="1">
      <alignment horizontal="center" vertical="center"/>
    </xf>
    <xf numFmtId="0" fontId="5" fillId="4" borderId="3" xfId="0" applyFont="1"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wrapText="1"/>
    </xf>
    <xf numFmtId="0" fontId="11" fillId="8" borderId="11" xfId="0" applyFont="1" applyFill="1" applyBorder="1"/>
    <xf numFmtId="0" fontId="11" fillId="8" borderId="12" xfId="0" applyFont="1" applyFill="1" applyBorder="1" applyAlignment="1">
      <alignment horizontal="center" vertical="center" wrapText="1"/>
    </xf>
    <xf numFmtId="0" fontId="11" fillId="8" borderId="13" xfId="0" applyFont="1" applyFill="1" applyBorder="1" applyAlignment="1">
      <alignment horizontal="center" vertical="center" wrapText="1"/>
    </xf>
    <xf numFmtId="0" fontId="7" fillId="5" borderId="0" xfId="0" applyFont="1" applyFill="1" applyAlignment="1">
      <alignment vertical="center"/>
    </xf>
    <xf numFmtId="0" fontId="8" fillId="6" borderId="0" xfId="0" applyFont="1" applyFill="1" applyAlignment="1">
      <alignment vertical="center"/>
    </xf>
    <xf numFmtId="0" fontId="26" fillId="4" borderId="3" xfId="0" applyFont="1" applyFill="1" applyBorder="1" applyAlignment="1">
      <alignment horizontal="center" vertical="center"/>
    </xf>
    <xf numFmtId="0" fontId="18" fillId="14" borderId="0" xfId="0" applyFont="1" applyFill="1" applyAlignment="1">
      <alignment horizontal="center" vertical="center" wrapText="1"/>
    </xf>
    <xf numFmtId="0" fontId="6" fillId="5" borderId="4" xfId="0" applyFont="1" applyFill="1" applyBorder="1" applyAlignment="1">
      <alignment horizontal="left" vertical="center"/>
    </xf>
    <xf numFmtId="0" fontId="22" fillId="14" borderId="9" xfId="0" applyFont="1" applyFill="1" applyBorder="1" applyAlignment="1">
      <alignment horizontal="center" vertical="center" wrapText="1"/>
    </xf>
    <xf numFmtId="0" fontId="22" fillId="14" borderId="0" xfId="0" applyFont="1" applyFill="1" applyAlignment="1">
      <alignment horizontal="center" vertical="center" wrapText="1"/>
    </xf>
    <xf numFmtId="0" fontId="22" fillId="14" borderId="10" xfId="0" applyFont="1" applyFill="1" applyBorder="1" applyAlignment="1">
      <alignment horizontal="center" vertical="center" wrapText="1"/>
    </xf>
  </cellXfs>
  <cellStyles count="2">
    <cellStyle name="Normal" xfId="0" builtinId="0"/>
    <cellStyle name="Normal 3" xfId="1" xr:uid="{37384669-6CFC-4267-B564-B372DB213ADD}"/>
  </cellStyles>
  <dxfs count="112">
    <dxf>
      <font>
        <b val="0"/>
        <i val="0"/>
        <color rgb="FFB0AC14"/>
      </font>
      <fill>
        <patternFill>
          <fgColor indexed="64"/>
          <bgColor rgb="FFFFF9E7"/>
        </patternFill>
      </fill>
    </dxf>
    <dxf>
      <font>
        <b val="0"/>
        <i val="0"/>
        <color theme="5"/>
      </font>
      <fill>
        <patternFill patternType="solid">
          <fgColor indexed="64"/>
          <bgColor theme="7" tint="0.79998168889431442"/>
        </patternFill>
      </fill>
    </dxf>
    <dxf>
      <font>
        <b val="0"/>
        <i val="0"/>
        <color theme="5"/>
      </font>
      <fill>
        <patternFill patternType="solid">
          <fgColor indexed="64"/>
          <bgColor theme="5" tint="0.79998168889431442"/>
        </patternFill>
      </fill>
    </dxf>
    <dxf>
      <font>
        <b/>
        <i val="0"/>
        <color rgb="FFFF0000"/>
      </font>
      <fill>
        <patternFill patternType="solid">
          <fgColor indexed="64"/>
          <bgColor theme="5" tint="0.59999389629810485"/>
        </patternFill>
      </fill>
    </dxf>
    <dxf>
      <font>
        <b val="0"/>
        <i val="0"/>
        <color theme="1" tint="4.9989318521683403E-2"/>
      </font>
      <fill>
        <patternFill>
          <fgColor indexed="64"/>
          <bgColor rgb="FFF5F5F5"/>
        </patternFill>
      </fill>
    </dxf>
    <dxf>
      <font>
        <b val="0"/>
        <i val="0"/>
        <color theme="4" tint="-0.499984740745262"/>
      </font>
      <fill>
        <patternFill patternType="solid">
          <fgColor indexed="64"/>
          <bgColor theme="4" tint="0.79998168889431442"/>
        </patternFill>
      </fill>
    </dxf>
    <dxf>
      <font>
        <b val="0"/>
        <i val="0"/>
        <color rgb="FF00863D"/>
      </font>
      <fill>
        <patternFill>
          <fgColor indexed="64"/>
          <bgColor rgb="FFEFF6EA"/>
        </patternFill>
      </fill>
    </dxf>
    <dxf>
      <font>
        <b val="0"/>
        <i val="0"/>
        <color rgb="FFFF0000"/>
      </font>
      <fill>
        <patternFill patternType="solid">
          <fgColor indexed="64"/>
          <bgColor theme="5" tint="0.59999389629810485"/>
        </patternFill>
      </fill>
    </dxf>
    <dxf>
      <font>
        <b val="0"/>
        <i val="0"/>
        <color theme="7" tint="-0.499984740745262"/>
      </font>
      <fill>
        <patternFill patternType="solid">
          <fgColor indexed="64"/>
          <bgColor theme="7" tint="0.39997558519241921"/>
        </patternFill>
      </fill>
    </dxf>
    <dxf>
      <font>
        <b val="0"/>
        <i val="0"/>
        <color theme="7" tint="-0.499984740745262"/>
      </font>
      <fill>
        <patternFill patternType="solid">
          <fgColor indexed="64"/>
          <bgColor theme="7" tint="0.79998168889431442"/>
        </patternFill>
      </fill>
    </dxf>
    <dxf>
      <alignment horizontal="left" textRotation="0" wrapText="0"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0" indent="0" justifyLastLine="0" shrinkToFit="0" readingOrder="0"/>
    </dxf>
    <dxf>
      <numFmt numFmtId="0" formatCode="General"/>
      <alignment horizontal="left" textRotation="0" wrapText="0"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b val="0"/>
        <strike val="0"/>
        <outline val="0"/>
        <shadow val="0"/>
        <u val="none"/>
        <vertAlign val="baseline"/>
        <sz val="11"/>
        <color auto="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protection locked="0" hidden="0"/>
    </dxf>
    <dxf>
      <font>
        <strike val="0"/>
        <outline val="0"/>
        <shadow val="0"/>
        <u val="none"/>
        <vertAlign val="baseline"/>
        <sz val="11"/>
        <name val="Calibri"/>
        <family val="2"/>
        <scheme val="minor"/>
      </font>
      <fill>
        <patternFill patternType="none">
          <fgColor indexed="64"/>
          <bgColor auto="1"/>
        </patternFill>
      </fill>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2" tint="-0.749992370372631"/>
        <name val="Calibri"/>
        <family val="2"/>
        <scheme val="minor"/>
      </font>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2" tint="-0.749992370372631"/>
        <name val="Calibri"/>
        <family val="2"/>
        <scheme val="minor"/>
      </font>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b val="0"/>
        <strike val="0"/>
        <outline val="0"/>
        <shadow val="0"/>
        <u val="none"/>
        <vertAlign val="baseline"/>
        <sz val="11"/>
        <name val="Calibri"/>
        <family val="2"/>
        <scheme val="minor"/>
      </font>
    </dxf>
    <dxf>
      <font>
        <b val="0"/>
        <strike val="0"/>
        <outline val="0"/>
        <shadow val="0"/>
        <u val="none"/>
        <vertAlign val="baseline"/>
        <sz val="1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color theme="2" tint="-0.749992370372631"/>
        <name val="Calibri"/>
        <family val="2"/>
        <scheme val="minor"/>
      </font>
    </dxf>
    <dxf>
      <font>
        <strike val="0"/>
        <outline val="0"/>
        <shadow val="0"/>
        <u val="none"/>
        <vertAlign val="baseline"/>
        <sz val="11"/>
        <name val="Calibri"/>
        <family val="2"/>
        <scheme val="minor"/>
      </font>
    </dxf>
    <dxf>
      <font>
        <strike val="0"/>
        <outline val="0"/>
        <shadow val="0"/>
        <u val="none"/>
        <vertAlign val="baseline"/>
        <sz val="11"/>
        <color theme="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164" formatCode="m/d/yy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double">
          <color theme="9"/>
        </right>
        <top/>
        <bottom/>
      </border>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164" formatCode="m/d/yy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val="0"/>
        <i val="0"/>
        <color rgb="FFB0AC14"/>
      </font>
      <fill>
        <patternFill>
          <fgColor indexed="64"/>
          <bgColor rgb="FFFFF9E7"/>
        </patternFill>
      </fill>
    </dxf>
    <dxf>
      <font>
        <b val="0"/>
        <i val="0"/>
        <color theme="5"/>
      </font>
      <fill>
        <patternFill patternType="solid">
          <fgColor indexed="64"/>
          <bgColor theme="7" tint="0.79998168889431442"/>
        </patternFill>
      </fill>
    </dxf>
    <dxf>
      <font>
        <b val="0"/>
        <i val="0"/>
        <color theme="5"/>
      </font>
      <fill>
        <patternFill patternType="solid">
          <fgColor indexed="64"/>
          <bgColor theme="5" tint="0.79998168889431442"/>
        </patternFill>
      </fill>
    </dxf>
    <dxf>
      <font>
        <b/>
        <i val="0"/>
        <color rgb="FFFF0000"/>
      </font>
      <fill>
        <patternFill patternType="solid">
          <fgColor indexed="64"/>
          <bgColor theme="5" tint="0.59999389629810485"/>
        </patternFill>
      </fill>
    </dxf>
    <dxf>
      <font>
        <b val="0"/>
        <i val="0"/>
        <color theme="1" tint="4.9989318521683403E-2"/>
      </font>
      <fill>
        <patternFill>
          <fgColor indexed="64"/>
          <bgColor rgb="FFF5F5F5"/>
        </patternFill>
      </fill>
    </dxf>
    <dxf>
      <font>
        <b val="0"/>
        <i val="0"/>
        <color theme="4" tint="-0.499984740745262"/>
      </font>
      <fill>
        <patternFill patternType="solid">
          <fgColor indexed="64"/>
          <bgColor theme="4" tint="0.79998168889431442"/>
        </patternFill>
      </fill>
    </dxf>
    <dxf>
      <font>
        <b val="0"/>
        <i val="0"/>
        <color rgb="FF00863D"/>
      </font>
      <fill>
        <patternFill>
          <fgColor indexed="64"/>
          <bgColor rgb="FFEFF6EA"/>
        </patternFill>
      </fill>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lightUp">
          <fgColor indexed="64"/>
          <bgColor theme="6" tint="0.3999450666829432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lightUp">
          <fgColor indexed="64"/>
          <bgColor theme="6" tint="0.3999450666829432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val="0"/>
        <i val="0"/>
        <color rgb="FFFF0000"/>
      </font>
      <fill>
        <patternFill patternType="solid">
          <fgColor indexed="64"/>
          <bgColor theme="5" tint="0.59999389629810485"/>
        </patternFill>
      </fill>
    </dxf>
    <dxf>
      <font>
        <b val="0"/>
        <i val="0"/>
        <color theme="7" tint="-0.499984740745262"/>
      </font>
      <fill>
        <patternFill patternType="solid">
          <fgColor indexed="64"/>
          <bgColor theme="7" tint="0.39997558519241921"/>
        </patternFill>
      </fill>
    </dxf>
    <dxf>
      <font>
        <b val="0"/>
        <i val="0"/>
        <color theme="7" tint="-0.499984740745262"/>
      </font>
      <fill>
        <patternFill patternType="solid">
          <fgColor indexed="64"/>
          <bgColor theme="7" tint="0.79998168889431442"/>
        </patternFill>
      </fill>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theme="1" tint="0.14999847407452621"/>
        <name val="Calibri"/>
        <family val="2"/>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rgb="FF262626"/>
        <name val="Calibri"/>
        <family val="2"/>
        <scheme val="none"/>
      </font>
      <alignment horizontal="left" vertical="center" textRotation="0" wrapText="1" indent="0" justifyLastLine="0" shrinkToFit="0" readingOrder="0"/>
    </dxf>
    <dxf>
      <font>
        <b/>
        <i val="0"/>
        <strike val="0"/>
        <condense val="0"/>
        <extend val="0"/>
        <outline val="0"/>
        <shadow val="0"/>
        <u val="none"/>
        <vertAlign val="baseline"/>
        <sz val="11"/>
        <color rgb="FF2C6646"/>
        <name val="Calibri"/>
        <family val="2"/>
        <scheme val="minor"/>
      </font>
      <fill>
        <patternFill patternType="solid">
          <fgColor indexed="64"/>
          <bgColor rgb="FFB9E1CB"/>
        </patternFill>
      </fill>
      <alignment horizontal="center" vertical="center" textRotation="0" wrapText="1" indent="0" justifyLastLine="0" shrinkToFit="0" readingOrder="0"/>
    </dxf>
    <dxf>
      <font>
        <b/>
        <i val="0"/>
        <color theme="7" tint="-0.499984740745262"/>
      </font>
      <fill>
        <patternFill patternType="solid">
          <fgColor indexed="64"/>
          <bgColor theme="7" tint="0.39997558519241921"/>
        </patternFill>
      </fill>
    </dxf>
    <dxf>
      <font>
        <b/>
        <i val="0"/>
        <color rgb="FFEB6E19"/>
      </font>
      <fill>
        <patternFill>
          <fgColor indexed="64"/>
          <bgColor rgb="FFFBD8C5"/>
        </patternFill>
      </fill>
    </dxf>
    <dxf>
      <font>
        <b/>
        <i val="0"/>
        <color rgb="FFC00000"/>
      </font>
      <fill>
        <patternFill>
          <fgColor indexed="64"/>
          <bgColor rgb="FFF19D69"/>
        </patternFill>
      </fill>
    </dxf>
  </dxfs>
  <tableStyles count="0" defaultTableStyle="TableStyleMedium2" defaultPivotStyle="PivotStyleLight16"/>
  <colors>
    <mruColors>
      <color rgb="FFEFF6EA"/>
      <color rgb="FF00863D"/>
      <color rgb="FFF5F5F5"/>
      <color rgb="FFEFF6FB"/>
      <color rgb="FFF2F8EE"/>
      <color rgb="FF009242"/>
      <color rgb="FF92D050"/>
      <color rgb="FFFFFFFF"/>
      <color rgb="FFECF4FA"/>
      <color rgb="FFB0AC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Lines="2" dropStyle="combo" dx="26" fmlaLink="$N$6" fmlaRange="Langue!$F$2:$F$3"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risques/"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risques/"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risques/" TargetMode="Externa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hyperlink" Target="https://blog-gestion-de-projet.com/docs/kit-management-projet/initialisation/matrice-des-risques/" TargetMode="External"/><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png"/><Relationship Id="rId2" Type="http://schemas.openxmlformats.org/officeDocument/2006/relationships/image" Target="../media/image2.png"/><Relationship Id="rId1" Type="http://schemas.openxmlformats.org/officeDocument/2006/relationships/hyperlink" Target="https://blog-gestion-de-projet.com/docs/kit-management-projet/initialisation/matrice-des-risques/" TargetMode="External"/><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0" Type="http://schemas.openxmlformats.org/officeDocument/2006/relationships/image" Target="../media/image10.svg"/><Relationship Id="rId4" Type="http://schemas.openxmlformats.org/officeDocument/2006/relationships/image" Target="../media/image4.png"/><Relationship Id="rId9"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1446706</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1752600</xdr:colOff>
      <xdr:row>5</xdr:row>
      <xdr:rowOff>53340</xdr:rowOff>
    </xdr:from>
    <xdr:to>
      <xdr:col>11</xdr:col>
      <xdr:colOff>41460</xdr:colOff>
      <xdr:row>5</xdr:row>
      <xdr:rowOff>312245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3238500" y="807720"/>
          <a:ext cx="7966260" cy="258905"/>
          <a:chOff x="3238500" y="807720"/>
          <a:chExt cx="7981500" cy="258905"/>
        </a:xfrm>
      </xdr:grpSpPr>
      <xdr:grpSp>
        <xdr:nvGrpSpPr>
          <xdr:cNvPr id="11" name="Group 10">
            <a:extLst>
              <a:ext uri="{FF2B5EF4-FFF2-40B4-BE49-F238E27FC236}">
                <a16:creationId xmlns:a16="http://schemas.microsoft.com/office/drawing/2014/main" id="{00000000-0008-0000-0000-00000B000000}"/>
              </a:ext>
            </a:extLst>
          </xdr:cNvPr>
          <xdr:cNvGrpSpPr/>
        </xdr:nvGrpSpPr>
        <xdr:grpSpPr>
          <a:xfrm>
            <a:off x="3238500" y="815340"/>
            <a:ext cx="7981500" cy="251285"/>
            <a:chOff x="3238500" y="815340"/>
            <a:chExt cx="7981500" cy="251285"/>
          </a:xfrm>
        </xdr:grpSpPr>
        <xdr:sp macro="[0]!NavBar" textlink="">
          <xdr:nvSpPr>
            <xdr:cNvPr id="4" name="BtnGuide">
              <a:extLst>
                <a:ext uri="{FF2B5EF4-FFF2-40B4-BE49-F238E27FC236}">
                  <a16:creationId xmlns:a16="http://schemas.microsoft.com/office/drawing/2014/main" id="{00000000-0008-0000-0000-000004000000}"/>
                </a:ext>
              </a:extLst>
            </xdr:cNvPr>
            <xdr:cNvSpPr/>
          </xdr:nvSpPr>
          <xdr:spPr>
            <a:xfrm>
              <a:off x="3238500" y="815340"/>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sp macro="[0]!NavBar" textlink="">
          <xdr:nvSpPr>
            <xdr:cNvPr id="5" name="BtnRisques">
              <a:extLst>
                <a:ext uri="{FF2B5EF4-FFF2-40B4-BE49-F238E27FC236}">
                  <a16:creationId xmlns:a16="http://schemas.microsoft.com/office/drawing/2014/main" id="{00000000-0008-0000-0000-000005000000}"/>
                </a:ext>
              </a:extLst>
            </xdr:cNvPr>
            <xdr:cNvSpPr/>
          </xdr:nvSpPr>
          <xdr:spPr>
            <a:xfrm>
              <a:off x="54100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sp macro="[0]!NavBar" textlink="">
          <xdr:nvSpPr>
            <xdr:cNvPr id="6" name="BtnProblemes">
              <a:extLst>
                <a:ext uri="{FF2B5EF4-FFF2-40B4-BE49-F238E27FC236}">
                  <a16:creationId xmlns:a16="http://schemas.microsoft.com/office/drawing/2014/main" id="{00000000-0008-0000-0000-000006000000}"/>
                </a:ext>
              </a:extLst>
            </xdr:cNvPr>
            <xdr:cNvSpPr/>
          </xdr:nvSpPr>
          <xdr:spPr>
            <a:xfrm>
              <a:off x="6868059" y="815609"/>
              <a:ext cx="157989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a:t>
              </a:r>
              <a:r>
                <a:rPr lang="en-GB" sz="1050" b="0" baseline="0"/>
                <a:t> des problèmes</a:t>
              </a:r>
              <a:endParaRPr lang="en-GB" sz="1050" b="0"/>
            </a:p>
          </xdr:txBody>
        </xdr:sp>
        <xdr:sp macro="[0]!NavBar" textlink="">
          <xdr:nvSpPr>
            <xdr:cNvPr id="7" name="BtnSettings">
              <a:extLst>
                <a:ext uri="{FF2B5EF4-FFF2-40B4-BE49-F238E27FC236}">
                  <a16:creationId xmlns:a16="http://schemas.microsoft.com/office/drawing/2014/main" id="{00000000-0008-0000-0000-000007000000}"/>
                </a:ext>
              </a:extLst>
            </xdr:cNvPr>
            <xdr:cNvSpPr/>
          </xdr:nvSpPr>
          <xdr:spPr>
            <a:xfrm>
              <a:off x="99446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sp macro="[0]!NavBar" textlink="">
          <xdr:nvSpPr>
            <xdr:cNvPr id="10" name="BtnMatrice">
              <a:extLst>
                <a:ext uri="{FF2B5EF4-FFF2-40B4-BE49-F238E27FC236}">
                  <a16:creationId xmlns:a16="http://schemas.microsoft.com/office/drawing/2014/main" id="{00000000-0008-0000-0000-00000A000000}"/>
                </a:ext>
              </a:extLst>
            </xdr:cNvPr>
            <xdr:cNvSpPr/>
          </xdr:nvSpPr>
          <xdr:spPr>
            <a:xfrm>
              <a:off x="8481061" y="815340"/>
              <a:ext cx="140208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grpSp>
      <xdr:sp macro="[0]!NavBar" textlink="">
        <xdr:nvSpPr>
          <xdr:cNvPr id="3" name="BtnEchelles">
            <a:extLst>
              <a:ext uri="{FF2B5EF4-FFF2-40B4-BE49-F238E27FC236}">
                <a16:creationId xmlns:a16="http://schemas.microsoft.com/office/drawing/2014/main" id="{00000000-0008-0000-0000-000003000000}"/>
              </a:ext>
            </a:extLst>
          </xdr:cNvPr>
          <xdr:cNvSpPr/>
        </xdr:nvSpPr>
        <xdr:spPr>
          <a:xfrm>
            <a:off x="4511041" y="807720"/>
            <a:ext cx="861060"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1362886</xdr:colOff>
      <xdr:row>4</xdr:row>
      <xdr:rowOff>76200</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1562100</xdr:colOff>
      <xdr:row>5</xdr:row>
      <xdr:rowOff>60960</xdr:rowOff>
    </xdr:from>
    <xdr:to>
      <xdr:col>4</xdr:col>
      <xdr:colOff>749018</xdr:colOff>
      <xdr:row>5</xdr:row>
      <xdr:rowOff>309117</xdr:rowOff>
    </xdr:to>
    <xdr:sp macro="[0]!NavBar" textlink="">
      <xdr:nvSpPr>
        <xdr:cNvPr id="14" name="BtnGuide">
          <a:hlinkClick xmlns:r="http://schemas.openxmlformats.org/officeDocument/2006/relationships" r:id="rId2"/>
          <a:extLst>
            <a:ext uri="{FF2B5EF4-FFF2-40B4-BE49-F238E27FC236}">
              <a16:creationId xmlns:a16="http://schemas.microsoft.com/office/drawing/2014/main" id="{00000000-0008-0000-0100-00000E000000}"/>
            </a:ext>
          </a:extLst>
        </xdr:cNvPr>
        <xdr:cNvSpPr/>
      </xdr:nvSpPr>
      <xdr:spPr>
        <a:xfrm>
          <a:off x="3095625" y="803910"/>
          <a:ext cx="1263368"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5</xdr:col>
      <xdr:colOff>528474</xdr:colOff>
      <xdr:row>5</xdr:row>
      <xdr:rowOff>64088</xdr:rowOff>
    </xdr:from>
    <xdr:to>
      <xdr:col>7</xdr:col>
      <xdr:colOff>611442</xdr:colOff>
      <xdr:row>5</xdr:row>
      <xdr:rowOff>312245</xdr:rowOff>
    </xdr:to>
    <xdr:sp macro="[0]!NavBar" textlink="">
      <xdr:nvSpPr>
        <xdr:cNvPr id="15" name="BtnRisques">
          <a:extLst>
            <a:ext uri="{FF2B5EF4-FFF2-40B4-BE49-F238E27FC236}">
              <a16:creationId xmlns:a16="http://schemas.microsoft.com/office/drawing/2014/main" id="{00000000-0008-0000-0100-00000F000000}"/>
            </a:ext>
          </a:extLst>
        </xdr:cNvPr>
        <xdr:cNvSpPr/>
      </xdr:nvSpPr>
      <xdr:spPr>
        <a:xfrm>
          <a:off x="5397654" y="818468"/>
          <a:ext cx="1393608"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xdr:from>
      <xdr:col>7</xdr:col>
      <xdr:colOff>667448</xdr:colOff>
      <xdr:row>5</xdr:row>
      <xdr:rowOff>61229</xdr:rowOff>
    </xdr:from>
    <xdr:to>
      <xdr:col>8</xdr:col>
      <xdr:colOff>577137</xdr:colOff>
      <xdr:row>5</xdr:row>
      <xdr:rowOff>309386</xdr:rowOff>
    </xdr:to>
    <xdr:sp macro="[0]!NavBar" textlink="">
      <xdr:nvSpPr>
        <xdr:cNvPr id="16" name="BtnProblemes">
          <a:extLst>
            <a:ext uri="{FF2B5EF4-FFF2-40B4-BE49-F238E27FC236}">
              <a16:creationId xmlns:a16="http://schemas.microsoft.com/office/drawing/2014/main" id="{00000000-0008-0000-0100-000010000000}"/>
            </a:ext>
          </a:extLst>
        </xdr:cNvPr>
        <xdr:cNvSpPr/>
      </xdr:nvSpPr>
      <xdr:spPr>
        <a:xfrm>
          <a:off x="6847268" y="815609"/>
          <a:ext cx="157084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xdr:from>
      <xdr:col>8</xdr:col>
      <xdr:colOff>2065213</xdr:colOff>
      <xdr:row>5</xdr:row>
      <xdr:rowOff>62332</xdr:rowOff>
    </xdr:from>
    <xdr:to>
      <xdr:col>8</xdr:col>
      <xdr:colOff>3333300</xdr:colOff>
      <xdr:row>5</xdr:row>
      <xdr:rowOff>310489</xdr:rowOff>
    </xdr:to>
    <xdr:sp macro="[0]!NavBar" textlink="">
      <xdr:nvSpPr>
        <xdr:cNvPr id="17" name="BtnSettings">
          <a:extLst>
            <a:ext uri="{FF2B5EF4-FFF2-40B4-BE49-F238E27FC236}">
              <a16:creationId xmlns:a16="http://schemas.microsoft.com/office/drawing/2014/main" id="{00000000-0008-0000-0100-000011000000}"/>
            </a:ext>
          </a:extLst>
        </xdr:cNvPr>
        <xdr:cNvSpPr/>
      </xdr:nvSpPr>
      <xdr:spPr>
        <a:xfrm>
          <a:off x="9906193" y="816712"/>
          <a:ext cx="1268087"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8</xdr:col>
      <xdr:colOff>610050</xdr:colOff>
      <xdr:row>5</xdr:row>
      <xdr:rowOff>60960</xdr:rowOff>
    </xdr:from>
    <xdr:to>
      <xdr:col>8</xdr:col>
      <xdr:colOff>2004099</xdr:colOff>
      <xdr:row>5</xdr:row>
      <xdr:rowOff>309117</xdr:rowOff>
    </xdr:to>
    <xdr:sp macro="[0]!NavBar" textlink="">
      <xdr:nvSpPr>
        <xdr:cNvPr id="18" name="BtnMatrice">
          <a:extLst>
            <a:ext uri="{FF2B5EF4-FFF2-40B4-BE49-F238E27FC236}">
              <a16:creationId xmlns:a16="http://schemas.microsoft.com/office/drawing/2014/main" id="{00000000-0008-0000-0100-000012000000}"/>
            </a:ext>
          </a:extLst>
        </xdr:cNvPr>
        <xdr:cNvSpPr/>
      </xdr:nvSpPr>
      <xdr:spPr>
        <a:xfrm>
          <a:off x="8451030" y="815340"/>
          <a:ext cx="1394049"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xdr:from>
      <xdr:col>4</xdr:col>
      <xdr:colOff>800432</xdr:colOff>
      <xdr:row>5</xdr:row>
      <xdr:rowOff>53340</xdr:rowOff>
    </xdr:from>
    <xdr:to>
      <xdr:col>5</xdr:col>
      <xdr:colOff>490700</xdr:colOff>
      <xdr:row>5</xdr:row>
      <xdr:rowOff>301497</xdr:rowOff>
    </xdr:to>
    <xdr:sp macro="[0]!NavBar" textlink="">
      <xdr:nvSpPr>
        <xdr:cNvPr id="13" name="BtnEchelles">
          <a:extLst>
            <a:ext uri="{FF2B5EF4-FFF2-40B4-BE49-F238E27FC236}">
              <a16:creationId xmlns:a16="http://schemas.microsoft.com/office/drawing/2014/main" id="{00000000-0008-0000-0100-00000D000000}"/>
            </a:ext>
          </a:extLst>
        </xdr:cNvPr>
        <xdr:cNvSpPr/>
      </xdr:nvSpPr>
      <xdr:spPr>
        <a:xfrm>
          <a:off x="4503752" y="807720"/>
          <a:ext cx="856128"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83820</xdr:rowOff>
    </xdr:from>
    <xdr:to>
      <xdr:col>5</xdr:col>
      <xdr:colOff>15240</xdr:colOff>
      <xdr:row>4</xdr:row>
      <xdr:rowOff>7620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3820"/>
          <a:ext cx="223266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22860</xdr:colOff>
      <xdr:row>10</xdr:row>
      <xdr:rowOff>76200</xdr:rowOff>
    </xdr:from>
    <xdr:to>
      <xdr:col>4</xdr:col>
      <xdr:colOff>792480</xdr:colOff>
      <xdr:row>10</xdr:row>
      <xdr:rowOff>381000</xdr:rowOff>
    </xdr:to>
    <xdr:sp macro="[0]!AddRow" textlink="">
      <xdr:nvSpPr>
        <xdr:cNvPr id="5" name="BtnAddRisk">
          <a:extLst>
            <a:ext uri="{FF2B5EF4-FFF2-40B4-BE49-F238E27FC236}">
              <a16:creationId xmlns:a16="http://schemas.microsoft.com/office/drawing/2014/main" id="{00000000-0008-0000-0200-000005000000}"/>
            </a:ext>
          </a:extLst>
        </xdr:cNvPr>
        <xdr:cNvSpPr/>
      </xdr:nvSpPr>
      <xdr:spPr>
        <a:xfrm>
          <a:off x="236220" y="1318260"/>
          <a:ext cx="1249680" cy="304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Ajouter un risque</a:t>
          </a:r>
        </a:p>
      </xdr:txBody>
    </xdr:sp>
    <xdr:clientData/>
  </xdr:twoCellAnchor>
  <xdr:twoCellAnchor editAs="absolute">
    <xdr:from>
      <xdr:col>4</xdr:col>
      <xdr:colOff>914400</xdr:colOff>
      <xdr:row>10</xdr:row>
      <xdr:rowOff>76200</xdr:rowOff>
    </xdr:from>
    <xdr:to>
      <xdr:col>5</xdr:col>
      <xdr:colOff>784860</xdr:colOff>
      <xdr:row>10</xdr:row>
      <xdr:rowOff>381000</xdr:rowOff>
    </xdr:to>
    <xdr:sp macro="[0]!DeleteRow" textlink="">
      <xdr:nvSpPr>
        <xdr:cNvPr id="6" name="BtnRemoveRisk">
          <a:extLst>
            <a:ext uri="{FF2B5EF4-FFF2-40B4-BE49-F238E27FC236}">
              <a16:creationId xmlns:a16="http://schemas.microsoft.com/office/drawing/2014/main" id="{00000000-0008-0000-0200-000006000000}"/>
            </a:ext>
          </a:extLst>
        </xdr:cNvPr>
        <xdr:cNvSpPr/>
      </xdr:nvSpPr>
      <xdr:spPr>
        <a:xfrm>
          <a:off x="1607820" y="1318260"/>
          <a:ext cx="1394460" cy="3048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100"/>
            <a:t>Supprimer un risque</a:t>
          </a:r>
        </a:p>
      </xdr:txBody>
    </xdr:sp>
    <xdr:clientData/>
  </xdr:twoCellAnchor>
  <xdr:twoCellAnchor>
    <xdr:from>
      <xdr:col>6</xdr:col>
      <xdr:colOff>327660</xdr:colOff>
      <xdr:row>5</xdr:row>
      <xdr:rowOff>60741</xdr:rowOff>
    </xdr:from>
    <xdr:to>
      <xdr:col>7</xdr:col>
      <xdr:colOff>839521</xdr:colOff>
      <xdr:row>5</xdr:row>
      <xdr:rowOff>301762</xdr:rowOff>
    </xdr:to>
    <xdr:sp macro="[0]!NavBar" textlink="">
      <xdr:nvSpPr>
        <xdr:cNvPr id="8" name="BtnGuide">
          <a:hlinkClick xmlns:r="http://schemas.openxmlformats.org/officeDocument/2006/relationships" r:id="rId2"/>
          <a:extLst>
            <a:ext uri="{FF2B5EF4-FFF2-40B4-BE49-F238E27FC236}">
              <a16:creationId xmlns:a16="http://schemas.microsoft.com/office/drawing/2014/main" id="{00000000-0008-0000-0200-000008000000}"/>
            </a:ext>
          </a:extLst>
        </xdr:cNvPr>
        <xdr:cNvSpPr/>
      </xdr:nvSpPr>
      <xdr:spPr>
        <a:xfrm>
          <a:off x="5288280" y="815121"/>
          <a:ext cx="1677721" cy="241021"/>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xdr:from>
      <xdr:col>8</xdr:col>
      <xdr:colOff>949762</xdr:colOff>
      <xdr:row>5</xdr:row>
      <xdr:rowOff>63779</xdr:rowOff>
    </xdr:from>
    <xdr:to>
      <xdr:col>10</xdr:col>
      <xdr:colOff>635675</xdr:colOff>
      <xdr:row>5</xdr:row>
      <xdr:rowOff>304800</xdr:rowOff>
    </xdr:to>
    <xdr:sp macro="[0]!NavBar" textlink="">
      <xdr:nvSpPr>
        <xdr:cNvPr id="9" name="BtnRisques">
          <a:extLst>
            <a:ext uri="{FF2B5EF4-FFF2-40B4-BE49-F238E27FC236}">
              <a16:creationId xmlns:a16="http://schemas.microsoft.com/office/drawing/2014/main" id="{00000000-0008-0000-0200-000009000000}"/>
            </a:ext>
          </a:extLst>
        </xdr:cNvPr>
        <xdr:cNvSpPr/>
      </xdr:nvSpPr>
      <xdr:spPr>
        <a:xfrm>
          <a:off x="8272582" y="818159"/>
          <a:ext cx="1926193" cy="241021"/>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xdr:from>
      <xdr:col>10</xdr:col>
      <xdr:colOff>713085</xdr:colOff>
      <xdr:row>5</xdr:row>
      <xdr:rowOff>61002</xdr:rowOff>
    </xdr:from>
    <xdr:to>
      <xdr:col>12</xdr:col>
      <xdr:colOff>1063074</xdr:colOff>
      <xdr:row>5</xdr:row>
      <xdr:rowOff>302023</xdr:rowOff>
    </xdr:to>
    <xdr:sp macro="[0]!NavBar" textlink="">
      <xdr:nvSpPr>
        <xdr:cNvPr id="10" name="BtnProblemes">
          <a:extLst>
            <a:ext uri="{FF2B5EF4-FFF2-40B4-BE49-F238E27FC236}">
              <a16:creationId xmlns:a16="http://schemas.microsoft.com/office/drawing/2014/main" id="{00000000-0008-0000-0200-00000A000000}"/>
            </a:ext>
          </a:extLst>
        </xdr:cNvPr>
        <xdr:cNvSpPr/>
      </xdr:nvSpPr>
      <xdr:spPr>
        <a:xfrm>
          <a:off x="10276185" y="815382"/>
          <a:ext cx="2171169" cy="241021"/>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xdr:from>
      <xdr:col>12</xdr:col>
      <xdr:colOff>3119837</xdr:colOff>
      <xdr:row>5</xdr:row>
      <xdr:rowOff>62074</xdr:rowOff>
    </xdr:from>
    <xdr:to>
      <xdr:col>13</xdr:col>
      <xdr:colOff>1291140</xdr:colOff>
      <xdr:row>5</xdr:row>
      <xdr:rowOff>303095</xdr:rowOff>
    </xdr:to>
    <xdr:sp macro="[0]!NavBar" textlink="">
      <xdr:nvSpPr>
        <xdr:cNvPr id="11" name="BtnSettings">
          <a:extLst>
            <a:ext uri="{FF2B5EF4-FFF2-40B4-BE49-F238E27FC236}">
              <a16:creationId xmlns:a16="http://schemas.microsoft.com/office/drawing/2014/main" id="{00000000-0008-0000-0200-00000B000000}"/>
            </a:ext>
          </a:extLst>
        </xdr:cNvPr>
        <xdr:cNvSpPr/>
      </xdr:nvSpPr>
      <xdr:spPr>
        <a:xfrm>
          <a:off x="14504117" y="816454"/>
          <a:ext cx="1752703" cy="241021"/>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xdr:from>
      <xdr:col>12</xdr:col>
      <xdr:colOff>1108566</xdr:colOff>
      <xdr:row>5</xdr:row>
      <xdr:rowOff>60741</xdr:rowOff>
    </xdr:from>
    <xdr:to>
      <xdr:col>12</xdr:col>
      <xdr:colOff>3035368</xdr:colOff>
      <xdr:row>5</xdr:row>
      <xdr:rowOff>301762</xdr:rowOff>
    </xdr:to>
    <xdr:sp macro="[0]!NavBar" textlink="">
      <xdr:nvSpPr>
        <xdr:cNvPr id="12" name="BtnMatrice">
          <a:extLst>
            <a:ext uri="{FF2B5EF4-FFF2-40B4-BE49-F238E27FC236}">
              <a16:creationId xmlns:a16="http://schemas.microsoft.com/office/drawing/2014/main" id="{00000000-0008-0000-0200-00000C000000}"/>
            </a:ext>
          </a:extLst>
        </xdr:cNvPr>
        <xdr:cNvSpPr/>
      </xdr:nvSpPr>
      <xdr:spPr>
        <a:xfrm>
          <a:off x="12492846" y="815121"/>
          <a:ext cx="1926802" cy="241021"/>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xdr:from>
      <xdr:col>7</xdr:col>
      <xdr:colOff>910584</xdr:colOff>
      <xdr:row>5</xdr:row>
      <xdr:rowOff>53340</xdr:rowOff>
    </xdr:from>
    <xdr:to>
      <xdr:col>8</xdr:col>
      <xdr:colOff>897552</xdr:colOff>
      <xdr:row>5</xdr:row>
      <xdr:rowOff>294361</xdr:rowOff>
    </xdr:to>
    <xdr:sp macro="[0]!NavBar" textlink="">
      <xdr:nvSpPr>
        <xdr:cNvPr id="7" name="BtnEchelles">
          <a:extLst>
            <a:ext uri="{FF2B5EF4-FFF2-40B4-BE49-F238E27FC236}">
              <a16:creationId xmlns:a16="http://schemas.microsoft.com/office/drawing/2014/main" id="{00000000-0008-0000-0200-000007000000}"/>
            </a:ext>
          </a:extLst>
        </xdr:cNvPr>
        <xdr:cNvSpPr/>
      </xdr:nvSpPr>
      <xdr:spPr>
        <a:xfrm>
          <a:off x="7037064" y="807720"/>
          <a:ext cx="1183308" cy="241021"/>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2</xdr:col>
      <xdr:colOff>2330626</xdr:colOff>
      <xdr:row>4</xdr:row>
      <xdr:rowOff>76200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52400"/>
          <a:ext cx="2719246"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30480</xdr:colOff>
      <xdr:row>11</xdr:row>
      <xdr:rowOff>15240</xdr:rowOff>
    </xdr:from>
    <xdr:to>
      <xdr:col>2</xdr:col>
      <xdr:colOff>1097280</xdr:colOff>
      <xdr:row>11</xdr:row>
      <xdr:rowOff>320040</xdr:rowOff>
    </xdr:to>
    <xdr:sp macro="[0]!AddRow" textlink="">
      <xdr:nvSpPr>
        <xdr:cNvPr id="8" name="BtnAddProblem">
          <a:extLst>
            <a:ext uri="{FF2B5EF4-FFF2-40B4-BE49-F238E27FC236}">
              <a16:creationId xmlns:a16="http://schemas.microsoft.com/office/drawing/2014/main" id="{00000000-0008-0000-0300-000008000000}"/>
            </a:ext>
          </a:extLst>
        </xdr:cNvPr>
        <xdr:cNvSpPr/>
      </xdr:nvSpPr>
      <xdr:spPr>
        <a:xfrm>
          <a:off x="243840" y="1280160"/>
          <a:ext cx="1455420" cy="30480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ctr"/>
          <a:r>
            <a:rPr lang="en-US" sz="1100"/>
            <a:t>Ajouter un problème</a:t>
          </a:r>
        </a:p>
      </xdr:txBody>
    </xdr:sp>
    <xdr:clientData/>
  </xdr:twoCellAnchor>
  <xdr:twoCellAnchor editAs="absolute">
    <xdr:from>
      <xdr:col>2</xdr:col>
      <xdr:colOff>1219200</xdr:colOff>
      <xdr:row>11</xdr:row>
      <xdr:rowOff>15240</xdr:rowOff>
    </xdr:from>
    <xdr:to>
      <xdr:col>3</xdr:col>
      <xdr:colOff>22860</xdr:colOff>
      <xdr:row>11</xdr:row>
      <xdr:rowOff>320040</xdr:rowOff>
    </xdr:to>
    <xdr:sp macro="[0]!DeleteRow" textlink="">
      <xdr:nvSpPr>
        <xdr:cNvPr id="9" name="BtnDeleteProblem">
          <a:extLst>
            <a:ext uri="{FF2B5EF4-FFF2-40B4-BE49-F238E27FC236}">
              <a16:creationId xmlns:a16="http://schemas.microsoft.com/office/drawing/2014/main" id="{00000000-0008-0000-0300-000009000000}"/>
            </a:ext>
          </a:extLst>
        </xdr:cNvPr>
        <xdr:cNvSpPr/>
      </xdr:nvSpPr>
      <xdr:spPr>
        <a:xfrm>
          <a:off x="1821180" y="1280160"/>
          <a:ext cx="1554480" cy="3048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050"/>
            <a:t>Supprimer un problème</a:t>
          </a:r>
        </a:p>
      </xdr:txBody>
    </xdr:sp>
    <xdr:clientData/>
  </xdr:twoCellAnchor>
  <xdr:twoCellAnchor editAs="absolute">
    <xdr:from>
      <xdr:col>2</xdr:col>
      <xdr:colOff>2571750</xdr:colOff>
      <xdr:row>5</xdr:row>
      <xdr:rowOff>60960</xdr:rowOff>
    </xdr:from>
    <xdr:to>
      <xdr:col>3</xdr:col>
      <xdr:colOff>1106531</xdr:colOff>
      <xdr:row>5</xdr:row>
      <xdr:rowOff>309117</xdr:rowOff>
    </xdr:to>
    <xdr:sp macro="[0]!NavBar" textlink="">
      <xdr:nvSpPr>
        <xdr:cNvPr id="6" name="BtnGuide">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3162300" y="803910"/>
          <a:ext cx="1211306"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3</xdr:col>
      <xdr:colOff>2057293</xdr:colOff>
      <xdr:row>5</xdr:row>
      <xdr:rowOff>64088</xdr:rowOff>
    </xdr:from>
    <xdr:to>
      <xdr:col>5</xdr:col>
      <xdr:colOff>52790</xdr:colOff>
      <xdr:row>5</xdr:row>
      <xdr:rowOff>312245</xdr:rowOff>
    </xdr:to>
    <xdr:sp macro="[0]!NavBar" textlink="">
      <xdr:nvSpPr>
        <xdr:cNvPr id="7" name="BtnRisques">
          <a:extLst>
            <a:ext uri="{FF2B5EF4-FFF2-40B4-BE49-F238E27FC236}">
              <a16:creationId xmlns:a16="http://schemas.microsoft.com/office/drawing/2014/main" id="{00000000-0008-0000-0300-000007000000}"/>
            </a:ext>
          </a:extLst>
        </xdr:cNvPr>
        <xdr:cNvSpPr/>
      </xdr:nvSpPr>
      <xdr:spPr>
        <a:xfrm>
          <a:off x="54100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5</xdr:col>
      <xdr:colOff>109119</xdr:colOff>
      <xdr:row>5</xdr:row>
      <xdr:rowOff>61229</xdr:rowOff>
    </xdr:from>
    <xdr:to>
      <xdr:col>7</xdr:col>
      <xdr:colOff>225978</xdr:colOff>
      <xdr:row>5</xdr:row>
      <xdr:rowOff>309386</xdr:rowOff>
    </xdr:to>
    <xdr:sp macro="[0]!NavBar" textlink="">
      <xdr:nvSpPr>
        <xdr:cNvPr id="16" name="BtnProblemes">
          <a:extLst>
            <a:ext uri="{FF2B5EF4-FFF2-40B4-BE49-F238E27FC236}">
              <a16:creationId xmlns:a16="http://schemas.microsoft.com/office/drawing/2014/main" id="{00000000-0008-0000-0300-000010000000}"/>
            </a:ext>
          </a:extLst>
        </xdr:cNvPr>
        <xdr:cNvSpPr/>
      </xdr:nvSpPr>
      <xdr:spPr>
        <a:xfrm>
          <a:off x="6868059" y="815609"/>
          <a:ext cx="157989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editAs="absolute">
    <xdr:from>
      <xdr:col>8</xdr:col>
      <xdr:colOff>846327</xdr:colOff>
      <xdr:row>5</xdr:row>
      <xdr:rowOff>62332</xdr:rowOff>
    </xdr:from>
    <xdr:to>
      <xdr:col>9</xdr:col>
      <xdr:colOff>1070160</xdr:colOff>
      <xdr:row>5</xdr:row>
      <xdr:rowOff>310489</xdr:rowOff>
    </xdr:to>
    <xdr:sp macro="[0]!NavBar" textlink="">
      <xdr:nvSpPr>
        <xdr:cNvPr id="17" name="BtnSettings">
          <a:extLst>
            <a:ext uri="{FF2B5EF4-FFF2-40B4-BE49-F238E27FC236}">
              <a16:creationId xmlns:a16="http://schemas.microsoft.com/office/drawing/2014/main" id="{00000000-0008-0000-0300-000011000000}"/>
            </a:ext>
          </a:extLst>
        </xdr:cNvPr>
        <xdr:cNvSpPr/>
      </xdr:nvSpPr>
      <xdr:spPr>
        <a:xfrm>
          <a:off x="99446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7</xdr:col>
      <xdr:colOff>259081</xdr:colOff>
      <xdr:row>5</xdr:row>
      <xdr:rowOff>60960</xdr:rowOff>
    </xdr:from>
    <xdr:to>
      <xdr:col>8</xdr:col>
      <xdr:colOff>784861</xdr:colOff>
      <xdr:row>5</xdr:row>
      <xdr:rowOff>309117</xdr:rowOff>
    </xdr:to>
    <xdr:sp macro="[0]!NavBar" textlink="">
      <xdr:nvSpPr>
        <xdr:cNvPr id="18" name="BtnMatrice">
          <a:extLst>
            <a:ext uri="{FF2B5EF4-FFF2-40B4-BE49-F238E27FC236}">
              <a16:creationId xmlns:a16="http://schemas.microsoft.com/office/drawing/2014/main" id="{00000000-0008-0000-0300-000012000000}"/>
            </a:ext>
          </a:extLst>
        </xdr:cNvPr>
        <xdr:cNvSpPr/>
      </xdr:nvSpPr>
      <xdr:spPr>
        <a:xfrm>
          <a:off x="8481061" y="815340"/>
          <a:ext cx="140208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editAs="absolute">
    <xdr:from>
      <xdr:col>3</xdr:col>
      <xdr:colOff>1158241</xdr:colOff>
      <xdr:row>5</xdr:row>
      <xdr:rowOff>53340</xdr:rowOff>
    </xdr:from>
    <xdr:to>
      <xdr:col>3</xdr:col>
      <xdr:colOff>2019301</xdr:colOff>
      <xdr:row>5</xdr:row>
      <xdr:rowOff>301497</xdr:rowOff>
    </xdr:to>
    <xdr:sp macro="[0]!NavBar" textlink="">
      <xdr:nvSpPr>
        <xdr:cNvPr id="5" name="BtnEchelles">
          <a:extLst>
            <a:ext uri="{FF2B5EF4-FFF2-40B4-BE49-F238E27FC236}">
              <a16:creationId xmlns:a16="http://schemas.microsoft.com/office/drawing/2014/main" id="{00000000-0008-0000-0300-000005000000}"/>
            </a:ext>
          </a:extLst>
        </xdr:cNvPr>
        <xdr:cNvSpPr/>
      </xdr:nvSpPr>
      <xdr:spPr>
        <a:xfrm>
          <a:off x="4511041" y="807720"/>
          <a:ext cx="861060"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152400</xdr:rowOff>
    </xdr:from>
    <xdr:to>
      <xdr:col>3</xdr:col>
      <xdr:colOff>1691640</xdr:colOff>
      <xdr:row>4</xdr:row>
      <xdr:rowOff>76200</xdr:rowOff>
    </xdr:to>
    <xdr:pic>
      <xdr:nvPicPr>
        <xdr:cNvPr id="2" name="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260" y="152400"/>
          <a:ext cx="237744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8</xdr:col>
      <xdr:colOff>716280</xdr:colOff>
      <xdr:row>13</xdr:row>
      <xdr:rowOff>0</xdr:rowOff>
    </xdr:from>
    <xdr:to>
      <xdr:col>9</xdr:col>
      <xdr:colOff>153601</xdr:colOff>
      <xdr:row>18</xdr:row>
      <xdr:rowOff>175260</xdr:rowOff>
    </xdr:to>
    <xdr:sp macro="" textlink="">
      <xdr:nvSpPr>
        <xdr:cNvPr id="18" name="Gravite1">
          <a:extLst>
            <a:ext uri="{FF2B5EF4-FFF2-40B4-BE49-F238E27FC236}">
              <a16:creationId xmlns:a16="http://schemas.microsoft.com/office/drawing/2014/main" id="{00000000-0008-0000-0400-000012000000}"/>
            </a:ext>
          </a:extLst>
        </xdr:cNvPr>
        <xdr:cNvSpPr/>
      </xdr:nvSpPr>
      <xdr:spPr>
        <a:xfrm>
          <a:off x="8161020" y="2346960"/>
          <a:ext cx="290761" cy="1028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Catastrophique</a:t>
          </a:r>
        </a:p>
      </xdr:txBody>
    </xdr:sp>
    <xdr:clientData/>
  </xdr:twoCellAnchor>
  <xdr:twoCellAnchor editAs="absolute">
    <xdr:from>
      <xdr:col>9</xdr:col>
      <xdr:colOff>189126</xdr:colOff>
      <xdr:row>11</xdr:row>
      <xdr:rowOff>205740</xdr:rowOff>
    </xdr:from>
    <xdr:to>
      <xdr:col>9</xdr:col>
      <xdr:colOff>1211580</xdr:colOff>
      <xdr:row>12</xdr:row>
      <xdr:rowOff>228271</xdr:rowOff>
    </xdr:to>
    <xdr:sp macro="" textlink="">
      <xdr:nvSpPr>
        <xdr:cNvPr id="19" name="Probabilite1">
          <a:extLst>
            <a:ext uri="{FF2B5EF4-FFF2-40B4-BE49-F238E27FC236}">
              <a16:creationId xmlns:a16="http://schemas.microsoft.com/office/drawing/2014/main" id="{00000000-0008-0000-0400-000013000000}"/>
            </a:ext>
          </a:extLst>
        </xdr:cNvPr>
        <xdr:cNvSpPr/>
      </xdr:nvSpPr>
      <xdr:spPr>
        <a:xfrm>
          <a:off x="8487306"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Improbable</a:t>
          </a:r>
          <a:endParaRPr lang="fr-BE" sz="1200" b="0">
            <a:solidFill>
              <a:schemeClr val="bg1"/>
            </a:solidFill>
          </a:endParaRPr>
        </a:p>
      </xdr:txBody>
    </xdr:sp>
    <xdr:clientData/>
  </xdr:twoCellAnchor>
  <xdr:twoCellAnchor editAs="absolute">
    <xdr:from>
      <xdr:col>9</xdr:col>
      <xdr:colOff>211987</xdr:colOff>
      <xdr:row>13</xdr:row>
      <xdr:rowOff>0</xdr:rowOff>
    </xdr:from>
    <xdr:to>
      <xdr:col>9</xdr:col>
      <xdr:colOff>1226821</xdr:colOff>
      <xdr:row>18</xdr:row>
      <xdr:rowOff>175260</xdr:rowOff>
    </xdr:to>
    <xdr:sp macro="" textlink="">
      <xdr:nvSpPr>
        <xdr:cNvPr id="20" name="Matrice11">
          <a:extLst>
            <a:ext uri="{FF2B5EF4-FFF2-40B4-BE49-F238E27FC236}">
              <a16:creationId xmlns:a16="http://schemas.microsoft.com/office/drawing/2014/main" id="{00000000-0008-0000-0400-000014000000}"/>
            </a:ext>
          </a:extLst>
        </xdr:cNvPr>
        <xdr:cNvSpPr/>
      </xdr:nvSpPr>
      <xdr:spPr>
        <a:xfrm>
          <a:off x="8510167" y="23469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3</xdr:col>
      <xdr:colOff>2286000</xdr:colOff>
      <xdr:row>5</xdr:row>
      <xdr:rowOff>60960</xdr:rowOff>
    </xdr:from>
    <xdr:to>
      <xdr:col>4</xdr:col>
      <xdr:colOff>870311</xdr:colOff>
      <xdr:row>5</xdr:row>
      <xdr:rowOff>309117</xdr:rowOff>
    </xdr:to>
    <xdr:sp macro="[0]!NavBar" textlink="">
      <xdr:nvSpPr>
        <xdr:cNvPr id="1590" name="BtnGuide">
          <a:hlinkClick xmlns:r="http://schemas.openxmlformats.org/officeDocument/2006/relationships" r:id="rId2"/>
          <a:extLst>
            <a:ext uri="{FF2B5EF4-FFF2-40B4-BE49-F238E27FC236}">
              <a16:creationId xmlns:a16="http://schemas.microsoft.com/office/drawing/2014/main" id="{00000000-0008-0000-0400-000036060000}"/>
            </a:ext>
          </a:extLst>
        </xdr:cNvPr>
        <xdr:cNvSpPr/>
      </xdr:nvSpPr>
      <xdr:spPr>
        <a:xfrm>
          <a:off x="3124200" y="803910"/>
          <a:ext cx="123226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220873</xdr:colOff>
      <xdr:row>5</xdr:row>
      <xdr:rowOff>64088</xdr:rowOff>
    </xdr:from>
    <xdr:to>
      <xdr:col>7</xdr:col>
      <xdr:colOff>159470</xdr:colOff>
      <xdr:row>5</xdr:row>
      <xdr:rowOff>312245</xdr:rowOff>
    </xdr:to>
    <xdr:sp macro="[0]!NavBar" textlink="">
      <xdr:nvSpPr>
        <xdr:cNvPr id="1591" name="BtnRisques">
          <a:extLst>
            <a:ext uri="{FF2B5EF4-FFF2-40B4-BE49-F238E27FC236}">
              <a16:creationId xmlns:a16="http://schemas.microsoft.com/office/drawing/2014/main" id="{00000000-0008-0000-0400-000037060000}"/>
            </a:ext>
          </a:extLst>
        </xdr:cNvPr>
        <xdr:cNvSpPr/>
      </xdr:nvSpPr>
      <xdr:spPr>
        <a:xfrm>
          <a:off x="5410093" y="818468"/>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7</xdr:col>
      <xdr:colOff>215799</xdr:colOff>
      <xdr:row>5</xdr:row>
      <xdr:rowOff>61229</xdr:rowOff>
    </xdr:from>
    <xdr:to>
      <xdr:col>9</xdr:col>
      <xdr:colOff>149778</xdr:colOff>
      <xdr:row>5</xdr:row>
      <xdr:rowOff>309386</xdr:rowOff>
    </xdr:to>
    <xdr:sp macro="[0]!NavBar" textlink="">
      <xdr:nvSpPr>
        <xdr:cNvPr id="1592" name="BtnProblemes">
          <a:extLst>
            <a:ext uri="{FF2B5EF4-FFF2-40B4-BE49-F238E27FC236}">
              <a16:creationId xmlns:a16="http://schemas.microsoft.com/office/drawing/2014/main" id="{00000000-0008-0000-0400-000038060000}"/>
            </a:ext>
          </a:extLst>
        </xdr:cNvPr>
        <xdr:cNvSpPr/>
      </xdr:nvSpPr>
      <xdr:spPr>
        <a:xfrm>
          <a:off x="6868059" y="815609"/>
          <a:ext cx="1579899"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editAs="absolute">
    <xdr:from>
      <xdr:col>9</xdr:col>
      <xdr:colOff>1646427</xdr:colOff>
      <xdr:row>5</xdr:row>
      <xdr:rowOff>62332</xdr:rowOff>
    </xdr:from>
    <xdr:to>
      <xdr:col>10</xdr:col>
      <xdr:colOff>110040</xdr:colOff>
      <xdr:row>5</xdr:row>
      <xdr:rowOff>310489</xdr:rowOff>
    </xdr:to>
    <xdr:sp macro="[0]!NavBar" textlink="">
      <xdr:nvSpPr>
        <xdr:cNvPr id="1593" name="BtnSettings">
          <a:extLst>
            <a:ext uri="{FF2B5EF4-FFF2-40B4-BE49-F238E27FC236}">
              <a16:creationId xmlns:a16="http://schemas.microsoft.com/office/drawing/2014/main" id="{00000000-0008-0000-0400-000039060000}"/>
            </a:ext>
          </a:extLst>
        </xdr:cNvPr>
        <xdr:cNvSpPr/>
      </xdr:nvSpPr>
      <xdr:spPr>
        <a:xfrm>
          <a:off x="9944607" y="816712"/>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9</xdr:col>
      <xdr:colOff>182881</xdr:colOff>
      <xdr:row>5</xdr:row>
      <xdr:rowOff>60960</xdr:rowOff>
    </xdr:from>
    <xdr:to>
      <xdr:col>9</xdr:col>
      <xdr:colOff>1584961</xdr:colOff>
      <xdr:row>5</xdr:row>
      <xdr:rowOff>309117</xdr:rowOff>
    </xdr:to>
    <xdr:sp macro="[0]!NavBar" textlink="">
      <xdr:nvSpPr>
        <xdr:cNvPr id="1594" name="BtnMatrice">
          <a:extLst>
            <a:ext uri="{FF2B5EF4-FFF2-40B4-BE49-F238E27FC236}">
              <a16:creationId xmlns:a16="http://schemas.microsoft.com/office/drawing/2014/main" id="{00000000-0008-0000-0400-00003A060000}"/>
            </a:ext>
          </a:extLst>
        </xdr:cNvPr>
        <xdr:cNvSpPr/>
      </xdr:nvSpPr>
      <xdr:spPr>
        <a:xfrm>
          <a:off x="8481061" y="815340"/>
          <a:ext cx="140208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editAs="absolute">
    <xdr:from>
      <xdr:col>4</xdr:col>
      <xdr:colOff>922021</xdr:colOff>
      <xdr:row>5</xdr:row>
      <xdr:rowOff>53340</xdr:rowOff>
    </xdr:from>
    <xdr:to>
      <xdr:col>5</xdr:col>
      <xdr:colOff>182881</xdr:colOff>
      <xdr:row>5</xdr:row>
      <xdr:rowOff>301497</xdr:rowOff>
    </xdr:to>
    <xdr:sp macro="[0]!NavBar" textlink="">
      <xdr:nvSpPr>
        <xdr:cNvPr id="1589" name="BtnEchelles">
          <a:extLst>
            <a:ext uri="{FF2B5EF4-FFF2-40B4-BE49-F238E27FC236}">
              <a16:creationId xmlns:a16="http://schemas.microsoft.com/office/drawing/2014/main" id="{00000000-0008-0000-0400-000035060000}"/>
            </a:ext>
          </a:extLst>
        </xdr:cNvPr>
        <xdr:cNvSpPr/>
      </xdr:nvSpPr>
      <xdr:spPr>
        <a:xfrm>
          <a:off x="4511041" y="807720"/>
          <a:ext cx="861060"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563" name="Probabilite1">
          <a:extLst>
            <a:ext uri="{FF2B5EF4-FFF2-40B4-BE49-F238E27FC236}">
              <a16:creationId xmlns:a16="http://schemas.microsoft.com/office/drawing/2014/main" id="{00000000-0008-0000-0400-00001B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597" name="Probabilite1">
          <a:extLst>
            <a:ext uri="{FF2B5EF4-FFF2-40B4-BE49-F238E27FC236}">
              <a16:creationId xmlns:a16="http://schemas.microsoft.com/office/drawing/2014/main" id="{00000000-0008-0000-0400-00003D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623" name="Probabilite1">
          <a:extLst>
            <a:ext uri="{FF2B5EF4-FFF2-40B4-BE49-F238E27FC236}">
              <a16:creationId xmlns:a16="http://schemas.microsoft.com/office/drawing/2014/main" id="{00000000-0008-0000-0400-000057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649" name="Probabilite1">
          <a:extLst>
            <a:ext uri="{FF2B5EF4-FFF2-40B4-BE49-F238E27FC236}">
              <a16:creationId xmlns:a16="http://schemas.microsoft.com/office/drawing/2014/main" id="{00000000-0008-0000-0400-000071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675" name="Probabilite1">
          <a:extLst>
            <a:ext uri="{FF2B5EF4-FFF2-40B4-BE49-F238E27FC236}">
              <a16:creationId xmlns:a16="http://schemas.microsoft.com/office/drawing/2014/main" id="{00000000-0008-0000-0400-00008B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701" name="Probabilite1">
          <a:extLst>
            <a:ext uri="{FF2B5EF4-FFF2-40B4-BE49-F238E27FC236}">
              <a16:creationId xmlns:a16="http://schemas.microsoft.com/office/drawing/2014/main" id="{00000000-0008-0000-0400-0000A5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727" name="Probabilite1">
          <a:extLst>
            <a:ext uri="{FF2B5EF4-FFF2-40B4-BE49-F238E27FC236}">
              <a16:creationId xmlns:a16="http://schemas.microsoft.com/office/drawing/2014/main" id="{00000000-0008-0000-0400-0000BF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753" name="Probabilite1">
          <a:extLst>
            <a:ext uri="{FF2B5EF4-FFF2-40B4-BE49-F238E27FC236}">
              <a16:creationId xmlns:a16="http://schemas.microsoft.com/office/drawing/2014/main" id="{00000000-0008-0000-0400-0000D9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1779" name="Probabilite1">
          <a:extLst>
            <a:ext uri="{FF2B5EF4-FFF2-40B4-BE49-F238E27FC236}">
              <a16:creationId xmlns:a16="http://schemas.microsoft.com/office/drawing/2014/main" id="{00000000-0008-0000-0400-0000F3060000}"/>
            </a:ext>
          </a:extLst>
        </xdr:cNvPr>
        <xdr:cNvSpPr/>
      </xdr:nvSpPr>
      <xdr:spPr>
        <a:xfrm>
          <a:off x="957326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1</xdr:col>
      <xdr:colOff>228600</xdr:colOff>
      <xdr:row>11</xdr:row>
      <xdr:rowOff>190500</xdr:rowOff>
    </xdr:from>
    <xdr:to>
      <xdr:col>6</xdr:col>
      <xdr:colOff>342900</xdr:colOff>
      <xdr:row>12</xdr:row>
      <xdr:rowOff>171957</xdr:rowOff>
    </xdr:to>
    <xdr:sp macro="" textlink="">
      <xdr:nvSpPr>
        <xdr:cNvPr id="1637" name="BtnGuide">
          <a:extLst>
            <a:ext uri="{FF2B5EF4-FFF2-40B4-BE49-F238E27FC236}">
              <a16:creationId xmlns:a16="http://schemas.microsoft.com/office/drawing/2014/main" id="{00000000-0008-0000-0400-000065060000}"/>
            </a:ext>
          </a:extLst>
        </xdr:cNvPr>
        <xdr:cNvSpPr/>
      </xdr:nvSpPr>
      <xdr:spPr>
        <a:xfrm>
          <a:off x="403860" y="2004060"/>
          <a:ext cx="5935980" cy="248157"/>
        </a:xfrm>
        <a:prstGeom prst="roundRect">
          <a:avLst>
            <a:gd name="adj" fmla="val 0"/>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0" cap="all" baseline="0">
              <a:solidFill>
                <a:srgbClr val="00668A"/>
              </a:solidFill>
              <a:latin typeface="+mn-lt"/>
              <a:ea typeface="+mn-ea"/>
              <a:cs typeface="+mn-cs"/>
            </a:rPr>
            <a:t>Légende »</a:t>
          </a:r>
        </a:p>
      </xdr:txBody>
    </xdr:sp>
    <xdr:clientData/>
  </xdr:twoCellAnchor>
  <xdr:twoCellAnchor editAs="absolute">
    <xdr:from>
      <xdr:col>9</xdr:col>
      <xdr:colOff>1275080</xdr:colOff>
      <xdr:row>11</xdr:row>
      <xdr:rowOff>205740</xdr:rowOff>
    </xdr:from>
    <xdr:to>
      <xdr:col>9</xdr:col>
      <xdr:colOff>2297534</xdr:colOff>
      <xdr:row>12</xdr:row>
      <xdr:rowOff>228271</xdr:rowOff>
    </xdr:to>
    <xdr:sp macro="" textlink="">
      <xdr:nvSpPr>
        <xdr:cNvPr id="3" name="Probabilite2">
          <a:extLst>
            <a:ext uri="{FF2B5EF4-FFF2-40B4-BE49-F238E27FC236}">
              <a16:creationId xmlns:a16="http://schemas.microsoft.com/office/drawing/2014/main" id="{6C481C3B-1131-F612-F446-F08FA0091693}"/>
            </a:ext>
          </a:extLst>
        </xdr:cNvPr>
        <xdr:cNvSpPr/>
      </xdr:nvSpPr>
      <xdr:spPr>
        <a:xfrm>
          <a:off x="9558020"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Peu probable</a:t>
          </a:r>
          <a:endParaRPr lang="fr-BE" sz="1200" b="0">
            <a:solidFill>
              <a:schemeClr val="bg1"/>
            </a:solidFill>
          </a:endParaRPr>
        </a:p>
      </xdr:txBody>
    </xdr:sp>
    <xdr:clientData/>
  </xdr:twoCellAnchor>
  <xdr:twoCellAnchor editAs="absolute">
    <xdr:from>
      <xdr:col>9</xdr:col>
      <xdr:colOff>1290321</xdr:colOff>
      <xdr:row>13</xdr:row>
      <xdr:rowOff>0</xdr:rowOff>
    </xdr:from>
    <xdr:to>
      <xdr:col>9</xdr:col>
      <xdr:colOff>2305155</xdr:colOff>
      <xdr:row>18</xdr:row>
      <xdr:rowOff>175260</xdr:rowOff>
    </xdr:to>
    <xdr:sp macro="" textlink="">
      <xdr:nvSpPr>
        <xdr:cNvPr id="4" name="Matrice12">
          <a:extLst>
            <a:ext uri="{FF2B5EF4-FFF2-40B4-BE49-F238E27FC236}">
              <a16:creationId xmlns:a16="http://schemas.microsoft.com/office/drawing/2014/main" id="{691F2812-AC60-30B3-32D7-2E7DB19B6E3E}"/>
            </a:ext>
          </a:extLst>
        </xdr:cNvPr>
        <xdr:cNvSpPr/>
      </xdr:nvSpPr>
      <xdr:spPr>
        <a:xfrm>
          <a:off x="9573261" y="23469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9</xdr:col>
      <xdr:colOff>2361034</xdr:colOff>
      <xdr:row>11</xdr:row>
      <xdr:rowOff>205740</xdr:rowOff>
    </xdr:from>
    <xdr:to>
      <xdr:col>10</xdr:col>
      <xdr:colOff>571708</xdr:colOff>
      <xdr:row>12</xdr:row>
      <xdr:rowOff>228271</xdr:rowOff>
    </xdr:to>
    <xdr:sp macro="" textlink="">
      <xdr:nvSpPr>
        <xdr:cNvPr id="5" name="Probabilite3">
          <a:extLst>
            <a:ext uri="{FF2B5EF4-FFF2-40B4-BE49-F238E27FC236}">
              <a16:creationId xmlns:a16="http://schemas.microsoft.com/office/drawing/2014/main" id="{48AFE9F6-0782-8C2A-F34F-A8FB643BB74C}"/>
            </a:ext>
          </a:extLst>
        </xdr:cNvPr>
        <xdr:cNvSpPr/>
      </xdr:nvSpPr>
      <xdr:spPr>
        <a:xfrm>
          <a:off x="10643974"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Probable</a:t>
          </a:r>
          <a:endParaRPr lang="fr-BE" sz="1200" b="0">
            <a:solidFill>
              <a:schemeClr val="bg1"/>
            </a:solidFill>
          </a:endParaRPr>
        </a:p>
      </xdr:txBody>
    </xdr:sp>
    <xdr:clientData/>
  </xdr:twoCellAnchor>
  <xdr:twoCellAnchor editAs="absolute">
    <xdr:from>
      <xdr:col>9</xdr:col>
      <xdr:colOff>2368655</xdr:colOff>
      <xdr:row>13</xdr:row>
      <xdr:rowOff>0</xdr:rowOff>
    </xdr:from>
    <xdr:to>
      <xdr:col>10</xdr:col>
      <xdr:colOff>571709</xdr:colOff>
      <xdr:row>18</xdr:row>
      <xdr:rowOff>175260</xdr:rowOff>
    </xdr:to>
    <xdr:sp macro="" textlink="">
      <xdr:nvSpPr>
        <xdr:cNvPr id="6" name="Matrice13">
          <a:extLst>
            <a:ext uri="{FF2B5EF4-FFF2-40B4-BE49-F238E27FC236}">
              <a16:creationId xmlns:a16="http://schemas.microsoft.com/office/drawing/2014/main" id="{9A302A25-7416-3CCA-B478-7E7D22E1A4A5}"/>
            </a:ext>
          </a:extLst>
        </xdr:cNvPr>
        <xdr:cNvSpPr/>
      </xdr:nvSpPr>
      <xdr:spPr>
        <a:xfrm>
          <a:off x="10651595" y="2346960"/>
          <a:ext cx="1014834" cy="1028700"/>
        </a:xfrm>
        <a:prstGeom prst="roundRect">
          <a:avLst>
            <a:gd name="adj" fmla="val 6516"/>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FF0000"/>
            </a:solidFill>
          </a:endParaRPr>
        </a:p>
      </xdr:txBody>
    </xdr:sp>
    <xdr:clientData/>
  </xdr:twoCellAnchor>
  <xdr:twoCellAnchor editAs="absolute">
    <xdr:from>
      <xdr:col>10</xdr:col>
      <xdr:colOff>635207</xdr:colOff>
      <xdr:row>11</xdr:row>
      <xdr:rowOff>205740</xdr:rowOff>
    </xdr:from>
    <xdr:to>
      <xdr:col>11</xdr:col>
      <xdr:colOff>583241</xdr:colOff>
      <xdr:row>12</xdr:row>
      <xdr:rowOff>228271</xdr:rowOff>
    </xdr:to>
    <xdr:sp macro="" textlink="">
      <xdr:nvSpPr>
        <xdr:cNvPr id="7" name="Probabilite4">
          <a:extLst>
            <a:ext uri="{FF2B5EF4-FFF2-40B4-BE49-F238E27FC236}">
              <a16:creationId xmlns:a16="http://schemas.microsoft.com/office/drawing/2014/main" id="{E3E1FC46-3100-17DE-363B-7572D77529F6}"/>
            </a:ext>
          </a:extLst>
        </xdr:cNvPr>
        <xdr:cNvSpPr/>
      </xdr:nvSpPr>
      <xdr:spPr>
        <a:xfrm>
          <a:off x="11729927" y="2019300"/>
          <a:ext cx="1022454" cy="289231"/>
        </a:xfrm>
        <a:prstGeom prst="roundRect">
          <a:avLst/>
        </a:prstGeom>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Très probable</a:t>
          </a:r>
          <a:endParaRPr lang="fr-BE" sz="1200" b="0">
            <a:solidFill>
              <a:schemeClr val="bg1"/>
            </a:solidFill>
          </a:endParaRPr>
        </a:p>
      </xdr:txBody>
    </xdr:sp>
    <xdr:clientData/>
  </xdr:twoCellAnchor>
  <xdr:twoCellAnchor editAs="absolute">
    <xdr:from>
      <xdr:col>10</xdr:col>
      <xdr:colOff>635209</xdr:colOff>
      <xdr:row>13</xdr:row>
      <xdr:rowOff>0</xdr:rowOff>
    </xdr:from>
    <xdr:to>
      <xdr:col>11</xdr:col>
      <xdr:colOff>575623</xdr:colOff>
      <xdr:row>18</xdr:row>
      <xdr:rowOff>175260</xdr:rowOff>
    </xdr:to>
    <xdr:sp macro="" textlink="">
      <xdr:nvSpPr>
        <xdr:cNvPr id="8" name="Matrice14">
          <a:extLst>
            <a:ext uri="{FF2B5EF4-FFF2-40B4-BE49-F238E27FC236}">
              <a16:creationId xmlns:a16="http://schemas.microsoft.com/office/drawing/2014/main" id="{6B5331F2-8E20-A25A-A3FF-2724D4EC2AF7}"/>
            </a:ext>
          </a:extLst>
        </xdr:cNvPr>
        <xdr:cNvSpPr/>
      </xdr:nvSpPr>
      <xdr:spPr>
        <a:xfrm>
          <a:off x="11729929" y="2346960"/>
          <a:ext cx="1014834" cy="1028700"/>
        </a:xfrm>
        <a:prstGeom prst="roundRect">
          <a:avLst>
            <a:gd name="adj" fmla="val 6516"/>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FF0000"/>
              </a:solidFill>
            </a:rPr>
            <a:t>R3</a:t>
          </a:r>
        </a:p>
      </xdr:txBody>
    </xdr:sp>
    <xdr:clientData/>
  </xdr:twoCellAnchor>
  <xdr:twoCellAnchor editAs="absolute">
    <xdr:from>
      <xdr:col>8</xdr:col>
      <xdr:colOff>716280</xdr:colOff>
      <xdr:row>19</xdr:row>
      <xdr:rowOff>25400</xdr:rowOff>
    </xdr:from>
    <xdr:to>
      <xdr:col>9</xdr:col>
      <xdr:colOff>153601</xdr:colOff>
      <xdr:row>23</xdr:row>
      <xdr:rowOff>200660</xdr:rowOff>
    </xdr:to>
    <xdr:sp macro="" textlink="">
      <xdr:nvSpPr>
        <xdr:cNvPr id="9" name="Gravite2">
          <a:extLst>
            <a:ext uri="{FF2B5EF4-FFF2-40B4-BE49-F238E27FC236}">
              <a16:creationId xmlns:a16="http://schemas.microsoft.com/office/drawing/2014/main" id="{06BCC522-D51C-A967-B2C3-F3831F9597AF}"/>
            </a:ext>
          </a:extLst>
        </xdr:cNvPr>
        <xdr:cNvSpPr/>
      </xdr:nvSpPr>
      <xdr:spPr>
        <a:xfrm>
          <a:off x="8145780" y="3439160"/>
          <a:ext cx="290761" cy="1028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Grave</a:t>
          </a:r>
        </a:p>
      </xdr:txBody>
    </xdr:sp>
    <xdr:clientData/>
  </xdr:twoCellAnchor>
  <xdr:twoCellAnchor editAs="absolute">
    <xdr:from>
      <xdr:col>9</xdr:col>
      <xdr:colOff>211987</xdr:colOff>
      <xdr:row>19</xdr:row>
      <xdr:rowOff>25400</xdr:rowOff>
    </xdr:from>
    <xdr:to>
      <xdr:col>9</xdr:col>
      <xdr:colOff>1226821</xdr:colOff>
      <xdr:row>23</xdr:row>
      <xdr:rowOff>200660</xdr:rowOff>
    </xdr:to>
    <xdr:sp macro="" textlink="">
      <xdr:nvSpPr>
        <xdr:cNvPr id="10" name="Matrice21">
          <a:extLst>
            <a:ext uri="{FF2B5EF4-FFF2-40B4-BE49-F238E27FC236}">
              <a16:creationId xmlns:a16="http://schemas.microsoft.com/office/drawing/2014/main" id="{1B38E005-6592-5AD8-9982-D7FC03CF3592}"/>
            </a:ext>
          </a:extLst>
        </xdr:cNvPr>
        <xdr:cNvSpPr/>
      </xdr:nvSpPr>
      <xdr:spPr>
        <a:xfrm>
          <a:off x="8494927" y="34391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R1  R6</a:t>
          </a:r>
        </a:p>
      </xdr:txBody>
    </xdr:sp>
    <xdr:clientData/>
  </xdr:twoCellAnchor>
  <xdr:twoCellAnchor editAs="absolute">
    <xdr:from>
      <xdr:col>9</xdr:col>
      <xdr:colOff>1290321</xdr:colOff>
      <xdr:row>19</xdr:row>
      <xdr:rowOff>25400</xdr:rowOff>
    </xdr:from>
    <xdr:to>
      <xdr:col>9</xdr:col>
      <xdr:colOff>2305155</xdr:colOff>
      <xdr:row>23</xdr:row>
      <xdr:rowOff>200660</xdr:rowOff>
    </xdr:to>
    <xdr:sp macro="" textlink="">
      <xdr:nvSpPr>
        <xdr:cNvPr id="11" name="Matrice22">
          <a:extLst>
            <a:ext uri="{FF2B5EF4-FFF2-40B4-BE49-F238E27FC236}">
              <a16:creationId xmlns:a16="http://schemas.microsoft.com/office/drawing/2014/main" id="{1A0A5388-D980-D68E-37AB-F9D9184AABF0}"/>
            </a:ext>
          </a:extLst>
        </xdr:cNvPr>
        <xdr:cNvSpPr/>
      </xdr:nvSpPr>
      <xdr:spPr>
        <a:xfrm>
          <a:off x="9573261" y="34391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R4</a:t>
          </a:r>
        </a:p>
      </xdr:txBody>
    </xdr:sp>
    <xdr:clientData/>
  </xdr:twoCellAnchor>
  <xdr:twoCellAnchor editAs="absolute">
    <xdr:from>
      <xdr:col>9</xdr:col>
      <xdr:colOff>2368655</xdr:colOff>
      <xdr:row>19</xdr:row>
      <xdr:rowOff>25400</xdr:rowOff>
    </xdr:from>
    <xdr:to>
      <xdr:col>10</xdr:col>
      <xdr:colOff>571709</xdr:colOff>
      <xdr:row>23</xdr:row>
      <xdr:rowOff>200660</xdr:rowOff>
    </xdr:to>
    <xdr:sp macro="" textlink="">
      <xdr:nvSpPr>
        <xdr:cNvPr id="12" name="Matrice23">
          <a:extLst>
            <a:ext uri="{FF2B5EF4-FFF2-40B4-BE49-F238E27FC236}">
              <a16:creationId xmlns:a16="http://schemas.microsoft.com/office/drawing/2014/main" id="{7BD50517-7131-4844-3781-D0667EBB0AAB}"/>
            </a:ext>
          </a:extLst>
        </xdr:cNvPr>
        <xdr:cNvSpPr/>
      </xdr:nvSpPr>
      <xdr:spPr>
        <a:xfrm>
          <a:off x="10651595" y="3439160"/>
          <a:ext cx="1014834" cy="1028700"/>
        </a:xfrm>
        <a:prstGeom prst="roundRect">
          <a:avLst>
            <a:gd name="adj" fmla="val 6516"/>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FF0000"/>
            </a:solidFill>
          </a:endParaRPr>
        </a:p>
      </xdr:txBody>
    </xdr:sp>
    <xdr:clientData/>
  </xdr:twoCellAnchor>
  <xdr:twoCellAnchor editAs="absolute">
    <xdr:from>
      <xdr:col>10</xdr:col>
      <xdr:colOff>635209</xdr:colOff>
      <xdr:row>19</xdr:row>
      <xdr:rowOff>25400</xdr:rowOff>
    </xdr:from>
    <xdr:to>
      <xdr:col>11</xdr:col>
      <xdr:colOff>575623</xdr:colOff>
      <xdr:row>23</xdr:row>
      <xdr:rowOff>200660</xdr:rowOff>
    </xdr:to>
    <xdr:sp macro="" textlink="">
      <xdr:nvSpPr>
        <xdr:cNvPr id="13" name="Matrice24">
          <a:extLst>
            <a:ext uri="{FF2B5EF4-FFF2-40B4-BE49-F238E27FC236}">
              <a16:creationId xmlns:a16="http://schemas.microsoft.com/office/drawing/2014/main" id="{B8CD8129-996B-86C5-0080-918D250796C1}"/>
            </a:ext>
          </a:extLst>
        </xdr:cNvPr>
        <xdr:cNvSpPr/>
      </xdr:nvSpPr>
      <xdr:spPr>
        <a:xfrm>
          <a:off x="11729929" y="3439160"/>
          <a:ext cx="1014834" cy="1028700"/>
        </a:xfrm>
        <a:prstGeom prst="roundRect">
          <a:avLst>
            <a:gd name="adj" fmla="val 6516"/>
          </a:avLst>
        </a:prstGeom>
        <a:solidFill>
          <a:srgbClr val="F8CB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FF0000"/>
              </a:solidFill>
            </a:rPr>
            <a:t>R2</a:t>
          </a:r>
        </a:p>
      </xdr:txBody>
    </xdr:sp>
    <xdr:clientData/>
  </xdr:twoCellAnchor>
  <xdr:twoCellAnchor editAs="absolute">
    <xdr:from>
      <xdr:col>8</xdr:col>
      <xdr:colOff>716280</xdr:colOff>
      <xdr:row>24</xdr:row>
      <xdr:rowOff>50800</xdr:rowOff>
    </xdr:from>
    <xdr:to>
      <xdr:col>9</xdr:col>
      <xdr:colOff>153601</xdr:colOff>
      <xdr:row>29</xdr:row>
      <xdr:rowOff>12700</xdr:rowOff>
    </xdr:to>
    <xdr:sp macro="" textlink="">
      <xdr:nvSpPr>
        <xdr:cNvPr id="14" name="Gravite3">
          <a:extLst>
            <a:ext uri="{FF2B5EF4-FFF2-40B4-BE49-F238E27FC236}">
              <a16:creationId xmlns:a16="http://schemas.microsoft.com/office/drawing/2014/main" id="{A9F58486-544B-3426-6280-8B11C4D19695}"/>
            </a:ext>
          </a:extLst>
        </xdr:cNvPr>
        <xdr:cNvSpPr/>
      </xdr:nvSpPr>
      <xdr:spPr>
        <a:xfrm>
          <a:off x="8145780" y="4531360"/>
          <a:ext cx="290761" cy="1028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Majeur</a:t>
          </a:r>
        </a:p>
      </xdr:txBody>
    </xdr:sp>
    <xdr:clientData/>
  </xdr:twoCellAnchor>
  <xdr:twoCellAnchor editAs="absolute">
    <xdr:from>
      <xdr:col>9</xdr:col>
      <xdr:colOff>211987</xdr:colOff>
      <xdr:row>24</xdr:row>
      <xdr:rowOff>50800</xdr:rowOff>
    </xdr:from>
    <xdr:to>
      <xdr:col>9</xdr:col>
      <xdr:colOff>1226821</xdr:colOff>
      <xdr:row>29</xdr:row>
      <xdr:rowOff>12700</xdr:rowOff>
    </xdr:to>
    <xdr:sp macro="" textlink="">
      <xdr:nvSpPr>
        <xdr:cNvPr id="15" name="Matrice31">
          <a:extLst>
            <a:ext uri="{FF2B5EF4-FFF2-40B4-BE49-F238E27FC236}">
              <a16:creationId xmlns:a16="http://schemas.microsoft.com/office/drawing/2014/main" id="{CA4BDC3C-6390-293A-9CB6-CC762A2CC569}"/>
            </a:ext>
          </a:extLst>
        </xdr:cNvPr>
        <xdr:cNvSpPr/>
      </xdr:nvSpPr>
      <xdr:spPr>
        <a:xfrm>
          <a:off x="8494927" y="4531360"/>
          <a:ext cx="1014834" cy="1028700"/>
        </a:xfrm>
        <a:prstGeom prst="roundRect">
          <a:avLst>
            <a:gd name="adj" fmla="val 6516"/>
          </a:avLst>
        </a:prstGeom>
        <a:solidFill>
          <a:srgbClr val="FFF2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9</xdr:col>
      <xdr:colOff>1290321</xdr:colOff>
      <xdr:row>24</xdr:row>
      <xdr:rowOff>50800</xdr:rowOff>
    </xdr:from>
    <xdr:to>
      <xdr:col>9</xdr:col>
      <xdr:colOff>2305155</xdr:colOff>
      <xdr:row>29</xdr:row>
      <xdr:rowOff>12700</xdr:rowOff>
    </xdr:to>
    <xdr:sp macro="" textlink="">
      <xdr:nvSpPr>
        <xdr:cNvPr id="16" name="Matrice32">
          <a:extLst>
            <a:ext uri="{FF2B5EF4-FFF2-40B4-BE49-F238E27FC236}">
              <a16:creationId xmlns:a16="http://schemas.microsoft.com/office/drawing/2014/main" id="{9C1509C3-7500-BCB2-B8C1-8B2E83891FE4}"/>
            </a:ext>
          </a:extLst>
        </xdr:cNvPr>
        <xdr:cNvSpPr/>
      </xdr:nvSpPr>
      <xdr:spPr>
        <a:xfrm>
          <a:off x="9573261" y="45313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9</xdr:col>
      <xdr:colOff>2368655</xdr:colOff>
      <xdr:row>24</xdr:row>
      <xdr:rowOff>50800</xdr:rowOff>
    </xdr:from>
    <xdr:to>
      <xdr:col>10</xdr:col>
      <xdr:colOff>571709</xdr:colOff>
      <xdr:row>29</xdr:row>
      <xdr:rowOff>12700</xdr:rowOff>
    </xdr:to>
    <xdr:sp macro="" textlink="">
      <xdr:nvSpPr>
        <xdr:cNvPr id="17" name="Matrice33">
          <a:extLst>
            <a:ext uri="{FF2B5EF4-FFF2-40B4-BE49-F238E27FC236}">
              <a16:creationId xmlns:a16="http://schemas.microsoft.com/office/drawing/2014/main" id="{766085DB-0152-7D67-01E4-31C4DDA48E91}"/>
            </a:ext>
          </a:extLst>
        </xdr:cNvPr>
        <xdr:cNvSpPr/>
      </xdr:nvSpPr>
      <xdr:spPr>
        <a:xfrm>
          <a:off x="10651595" y="45313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10</xdr:col>
      <xdr:colOff>635209</xdr:colOff>
      <xdr:row>24</xdr:row>
      <xdr:rowOff>50800</xdr:rowOff>
    </xdr:from>
    <xdr:to>
      <xdr:col>11</xdr:col>
      <xdr:colOff>575623</xdr:colOff>
      <xdr:row>29</xdr:row>
      <xdr:rowOff>12700</xdr:rowOff>
    </xdr:to>
    <xdr:sp macro="" textlink="">
      <xdr:nvSpPr>
        <xdr:cNvPr id="21" name="Matrice34">
          <a:extLst>
            <a:ext uri="{FF2B5EF4-FFF2-40B4-BE49-F238E27FC236}">
              <a16:creationId xmlns:a16="http://schemas.microsoft.com/office/drawing/2014/main" id="{6EB77853-0D36-879D-669D-9163E4556B0E}"/>
            </a:ext>
          </a:extLst>
        </xdr:cNvPr>
        <xdr:cNvSpPr/>
      </xdr:nvSpPr>
      <xdr:spPr>
        <a:xfrm>
          <a:off x="11729929" y="45313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R5</a:t>
          </a:r>
        </a:p>
      </xdr:txBody>
    </xdr:sp>
    <xdr:clientData/>
  </xdr:twoCellAnchor>
  <xdr:twoCellAnchor editAs="absolute">
    <xdr:from>
      <xdr:col>8</xdr:col>
      <xdr:colOff>716280</xdr:colOff>
      <xdr:row>29</xdr:row>
      <xdr:rowOff>76200</xdr:rowOff>
    </xdr:from>
    <xdr:to>
      <xdr:col>9</xdr:col>
      <xdr:colOff>153601</xdr:colOff>
      <xdr:row>34</xdr:row>
      <xdr:rowOff>38100</xdr:rowOff>
    </xdr:to>
    <xdr:sp macro="" textlink="">
      <xdr:nvSpPr>
        <xdr:cNvPr id="22" name="Gravite4">
          <a:extLst>
            <a:ext uri="{FF2B5EF4-FFF2-40B4-BE49-F238E27FC236}">
              <a16:creationId xmlns:a16="http://schemas.microsoft.com/office/drawing/2014/main" id="{06343B4C-1733-0C3B-7B98-F9905F2332F5}"/>
            </a:ext>
          </a:extLst>
        </xdr:cNvPr>
        <xdr:cNvSpPr/>
      </xdr:nvSpPr>
      <xdr:spPr>
        <a:xfrm>
          <a:off x="8145780" y="5623560"/>
          <a:ext cx="290761" cy="1028700"/>
        </a:xfrm>
        <a:prstGeom prst="roundRect">
          <a:avLst/>
        </a:prstGeom>
        <a:ln/>
      </xdr:spPr>
      <xdr:style>
        <a:lnRef idx="1">
          <a:schemeClr val="accent6"/>
        </a:lnRef>
        <a:fillRef idx="3">
          <a:schemeClr val="accent6"/>
        </a:fillRef>
        <a:effectRef idx="2">
          <a:schemeClr val="accent6"/>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0">
              <a:solidFill>
                <a:schemeClr val="bg1"/>
              </a:solidFill>
            </a:rPr>
            <a:t>Mineur</a:t>
          </a:r>
        </a:p>
      </xdr:txBody>
    </xdr:sp>
    <xdr:clientData/>
  </xdr:twoCellAnchor>
  <xdr:twoCellAnchor editAs="absolute">
    <xdr:from>
      <xdr:col>9</xdr:col>
      <xdr:colOff>211987</xdr:colOff>
      <xdr:row>29</xdr:row>
      <xdr:rowOff>76200</xdr:rowOff>
    </xdr:from>
    <xdr:to>
      <xdr:col>9</xdr:col>
      <xdr:colOff>1226821</xdr:colOff>
      <xdr:row>34</xdr:row>
      <xdr:rowOff>38100</xdr:rowOff>
    </xdr:to>
    <xdr:sp macro="" textlink="">
      <xdr:nvSpPr>
        <xdr:cNvPr id="23" name="Matrice41">
          <a:extLst>
            <a:ext uri="{FF2B5EF4-FFF2-40B4-BE49-F238E27FC236}">
              <a16:creationId xmlns:a16="http://schemas.microsoft.com/office/drawing/2014/main" id="{83EA9C06-4169-931F-4760-E8DECFC2E78D}"/>
            </a:ext>
          </a:extLst>
        </xdr:cNvPr>
        <xdr:cNvSpPr/>
      </xdr:nvSpPr>
      <xdr:spPr>
        <a:xfrm>
          <a:off x="8494927" y="5623560"/>
          <a:ext cx="1014834" cy="1028700"/>
        </a:xfrm>
        <a:prstGeom prst="roundRect">
          <a:avLst>
            <a:gd name="adj" fmla="val 6516"/>
          </a:avLst>
        </a:prstGeom>
        <a:solidFill>
          <a:srgbClr val="FFF2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R8  R9  R10  R11  R12  R13  R14  R15  R16  R17</a:t>
          </a:r>
        </a:p>
      </xdr:txBody>
    </xdr:sp>
    <xdr:clientData/>
  </xdr:twoCellAnchor>
  <xdr:twoCellAnchor editAs="absolute">
    <xdr:from>
      <xdr:col>9</xdr:col>
      <xdr:colOff>1290321</xdr:colOff>
      <xdr:row>29</xdr:row>
      <xdr:rowOff>76200</xdr:rowOff>
    </xdr:from>
    <xdr:to>
      <xdr:col>9</xdr:col>
      <xdr:colOff>2305155</xdr:colOff>
      <xdr:row>34</xdr:row>
      <xdr:rowOff>38100</xdr:rowOff>
    </xdr:to>
    <xdr:sp macro="" textlink="">
      <xdr:nvSpPr>
        <xdr:cNvPr id="24" name="Matrice42">
          <a:extLst>
            <a:ext uri="{FF2B5EF4-FFF2-40B4-BE49-F238E27FC236}">
              <a16:creationId xmlns:a16="http://schemas.microsoft.com/office/drawing/2014/main" id="{5A652826-1567-4D58-D38E-301E5D530929}"/>
            </a:ext>
          </a:extLst>
        </xdr:cNvPr>
        <xdr:cNvSpPr/>
      </xdr:nvSpPr>
      <xdr:spPr>
        <a:xfrm>
          <a:off x="9573261" y="5623560"/>
          <a:ext cx="1014834" cy="1028700"/>
        </a:xfrm>
        <a:prstGeom prst="roundRect">
          <a:avLst>
            <a:gd name="adj" fmla="val 6516"/>
          </a:avLst>
        </a:prstGeom>
        <a:solidFill>
          <a:srgbClr val="FFF2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9</xdr:col>
      <xdr:colOff>2368655</xdr:colOff>
      <xdr:row>29</xdr:row>
      <xdr:rowOff>76200</xdr:rowOff>
    </xdr:from>
    <xdr:to>
      <xdr:col>10</xdr:col>
      <xdr:colOff>571709</xdr:colOff>
      <xdr:row>34</xdr:row>
      <xdr:rowOff>38100</xdr:rowOff>
    </xdr:to>
    <xdr:sp macro="" textlink="">
      <xdr:nvSpPr>
        <xdr:cNvPr id="25" name="Matrice43">
          <a:extLst>
            <a:ext uri="{FF2B5EF4-FFF2-40B4-BE49-F238E27FC236}">
              <a16:creationId xmlns:a16="http://schemas.microsoft.com/office/drawing/2014/main" id="{8B112331-91ED-7F1B-99F4-90D8605583BF}"/>
            </a:ext>
          </a:extLst>
        </xdr:cNvPr>
        <xdr:cNvSpPr/>
      </xdr:nvSpPr>
      <xdr:spPr>
        <a:xfrm>
          <a:off x="10651595" y="56235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100" b="1">
            <a:solidFill>
              <a:srgbClr val="806000"/>
            </a:solidFill>
          </a:endParaRPr>
        </a:p>
      </xdr:txBody>
    </xdr:sp>
    <xdr:clientData/>
  </xdr:twoCellAnchor>
  <xdr:twoCellAnchor editAs="absolute">
    <xdr:from>
      <xdr:col>10</xdr:col>
      <xdr:colOff>635209</xdr:colOff>
      <xdr:row>29</xdr:row>
      <xdr:rowOff>76200</xdr:rowOff>
    </xdr:from>
    <xdr:to>
      <xdr:col>11</xdr:col>
      <xdr:colOff>575623</xdr:colOff>
      <xdr:row>34</xdr:row>
      <xdr:rowOff>38100</xdr:rowOff>
    </xdr:to>
    <xdr:sp macro="" textlink="">
      <xdr:nvSpPr>
        <xdr:cNvPr id="26" name="Matrice44">
          <a:extLst>
            <a:ext uri="{FF2B5EF4-FFF2-40B4-BE49-F238E27FC236}">
              <a16:creationId xmlns:a16="http://schemas.microsoft.com/office/drawing/2014/main" id="{5272C11E-D4E9-1E03-D85D-B9F3397837AF}"/>
            </a:ext>
          </a:extLst>
        </xdr:cNvPr>
        <xdr:cNvSpPr/>
      </xdr:nvSpPr>
      <xdr:spPr>
        <a:xfrm>
          <a:off x="11729929" y="5623560"/>
          <a:ext cx="1014834" cy="1028700"/>
        </a:xfrm>
        <a:prstGeom prst="roundRect">
          <a:avLst>
            <a:gd name="adj" fmla="val 6516"/>
          </a:avLst>
        </a:prstGeom>
        <a:solidFill>
          <a:srgbClr val="FFD96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100" b="1">
              <a:solidFill>
                <a:srgbClr val="806000"/>
              </a:solidFill>
            </a:rPr>
            <a:t>R7</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419100</xdr:colOff>
      <xdr:row>5</xdr:row>
      <xdr:rowOff>60960</xdr:rowOff>
    </xdr:from>
    <xdr:to>
      <xdr:col>4</xdr:col>
      <xdr:colOff>666638</xdr:colOff>
      <xdr:row>5</xdr:row>
      <xdr:rowOff>309117</xdr:rowOff>
    </xdr:to>
    <xdr:sp macro="[0]!NavBar" textlink="">
      <xdr:nvSpPr>
        <xdr:cNvPr id="6" name="BtnGuide">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a:off x="3032760" y="815340"/>
          <a:ext cx="1268618"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145856</xdr:colOff>
      <xdr:row>5</xdr:row>
      <xdr:rowOff>64088</xdr:rowOff>
    </xdr:from>
    <xdr:to>
      <xdr:col>7</xdr:col>
      <xdr:colOff>162177</xdr:colOff>
      <xdr:row>5</xdr:row>
      <xdr:rowOff>312245</xdr:rowOff>
    </xdr:to>
    <xdr:sp macro="[0]!NavBar" textlink="">
      <xdr:nvSpPr>
        <xdr:cNvPr id="7" name="BtnRisques">
          <a:extLst>
            <a:ext uri="{FF2B5EF4-FFF2-40B4-BE49-F238E27FC236}">
              <a16:creationId xmlns:a16="http://schemas.microsoft.com/office/drawing/2014/main" id="{00000000-0008-0000-0500-000007000000}"/>
            </a:ext>
          </a:extLst>
        </xdr:cNvPr>
        <xdr:cNvSpPr/>
      </xdr:nvSpPr>
      <xdr:spPr>
        <a:xfrm>
          <a:off x="5289356" y="818468"/>
          <a:ext cx="1456501"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7</xdr:col>
      <xdr:colOff>220711</xdr:colOff>
      <xdr:row>5</xdr:row>
      <xdr:rowOff>61229</xdr:rowOff>
    </xdr:from>
    <xdr:to>
      <xdr:col>8</xdr:col>
      <xdr:colOff>628012</xdr:colOff>
      <xdr:row>5</xdr:row>
      <xdr:rowOff>309386</xdr:rowOff>
    </xdr:to>
    <xdr:sp macro="[0]!NavBar" textlink="">
      <xdr:nvSpPr>
        <xdr:cNvPr id="8" name="BtnProblemes">
          <a:extLst>
            <a:ext uri="{FF2B5EF4-FFF2-40B4-BE49-F238E27FC236}">
              <a16:creationId xmlns:a16="http://schemas.microsoft.com/office/drawing/2014/main" id="{00000000-0008-0000-0500-000008000000}"/>
            </a:ext>
          </a:extLst>
        </xdr:cNvPr>
        <xdr:cNvSpPr/>
      </xdr:nvSpPr>
      <xdr:spPr>
        <a:xfrm>
          <a:off x="6804391" y="815609"/>
          <a:ext cx="1641741" cy="248157"/>
        </a:xfrm>
        <a:prstGeom prst="roundRect">
          <a:avLst/>
        </a:prstGeom>
        <a:solidFill>
          <a:srgbClr val="C0000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problèmes</a:t>
          </a:r>
        </a:p>
      </xdr:txBody>
    </xdr:sp>
    <xdr:clientData/>
  </xdr:twoCellAnchor>
  <xdr:twoCellAnchor editAs="absolute">
    <xdr:from>
      <xdr:col>10</xdr:col>
      <xdr:colOff>933564</xdr:colOff>
      <xdr:row>5</xdr:row>
      <xdr:rowOff>62332</xdr:rowOff>
    </xdr:from>
    <xdr:to>
      <xdr:col>11</xdr:col>
      <xdr:colOff>1115880</xdr:colOff>
      <xdr:row>5</xdr:row>
      <xdr:rowOff>310489</xdr:rowOff>
    </xdr:to>
    <xdr:sp macro="[0]!NavBar" textlink="">
      <xdr:nvSpPr>
        <xdr:cNvPr id="9" name="BtnSettings">
          <a:extLst>
            <a:ext uri="{FF2B5EF4-FFF2-40B4-BE49-F238E27FC236}">
              <a16:creationId xmlns:a16="http://schemas.microsoft.com/office/drawing/2014/main" id="{00000000-0008-0000-0500-000009000000}"/>
            </a:ext>
          </a:extLst>
        </xdr:cNvPr>
        <xdr:cNvSpPr/>
      </xdr:nvSpPr>
      <xdr:spPr>
        <a:xfrm>
          <a:off x="10001364" y="816712"/>
          <a:ext cx="1325316"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8</xdr:col>
      <xdr:colOff>662411</xdr:colOff>
      <xdr:row>5</xdr:row>
      <xdr:rowOff>60960</xdr:rowOff>
    </xdr:from>
    <xdr:to>
      <xdr:col>10</xdr:col>
      <xdr:colOff>869693</xdr:colOff>
      <xdr:row>5</xdr:row>
      <xdr:rowOff>309117</xdr:rowOff>
    </xdr:to>
    <xdr:sp macro="[0]!NavBar" textlink="">
      <xdr:nvSpPr>
        <xdr:cNvPr id="10" name="BtnMatrice">
          <a:extLst>
            <a:ext uri="{FF2B5EF4-FFF2-40B4-BE49-F238E27FC236}">
              <a16:creationId xmlns:a16="http://schemas.microsoft.com/office/drawing/2014/main" id="{00000000-0008-0000-0500-00000A000000}"/>
            </a:ext>
          </a:extLst>
        </xdr:cNvPr>
        <xdr:cNvSpPr/>
      </xdr:nvSpPr>
      <xdr:spPr>
        <a:xfrm>
          <a:off x="8480531" y="815340"/>
          <a:ext cx="1456962"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Matrice</a:t>
          </a:r>
        </a:p>
      </xdr:txBody>
    </xdr:sp>
    <xdr:clientData/>
  </xdr:twoCellAnchor>
  <xdr:twoCellAnchor editAs="absolute">
    <xdr:from>
      <xdr:col>4</xdr:col>
      <xdr:colOff>720372</xdr:colOff>
      <xdr:row>5</xdr:row>
      <xdr:rowOff>53340</xdr:rowOff>
    </xdr:from>
    <xdr:to>
      <xdr:col>5</xdr:col>
      <xdr:colOff>106376</xdr:colOff>
      <xdr:row>5</xdr:row>
      <xdr:rowOff>301497</xdr:rowOff>
    </xdr:to>
    <xdr:sp macro="[0]!NavBar" textlink="">
      <xdr:nvSpPr>
        <xdr:cNvPr id="5" name="BtnEchelles">
          <a:extLst>
            <a:ext uri="{FF2B5EF4-FFF2-40B4-BE49-F238E27FC236}">
              <a16:creationId xmlns:a16="http://schemas.microsoft.com/office/drawing/2014/main" id="{00000000-0008-0000-0500-000005000000}"/>
            </a:ext>
          </a:extLst>
        </xdr:cNvPr>
        <xdr:cNvSpPr/>
      </xdr:nvSpPr>
      <xdr:spPr>
        <a:xfrm>
          <a:off x="4355112" y="807720"/>
          <a:ext cx="894764" cy="248157"/>
        </a:xfrm>
        <a:prstGeom prst="roundRect">
          <a:avLst/>
        </a:prstGeom>
        <a:solidFill>
          <a:srgbClr val="92D05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Echelles</a:t>
          </a:r>
        </a:p>
      </xdr:txBody>
    </xdr:sp>
    <xdr:clientData/>
  </xdr:twoCellAnchor>
  <xdr:twoCellAnchor editAs="oneCell">
    <xdr:from>
      <xdr:col>4</xdr:col>
      <xdr:colOff>1097280</xdr:colOff>
      <xdr:row>20</xdr:row>
      <xdr:rowOff>30900</xdr:rowOff>
    </xdr:from>
    <xdr:to>
      <xdr:col>4</xdr:col>
      <xdr:colOff>1223280</xdr:colOff>
      <xdr:row>20</xdr:row>
      <xdr:rowOff>156900</xdr:rowOff>
    </xdr:to>
    <xdr:pic macro="[0]!AddRow">
      <xdr:nvPicPr>
        <xdr:cNvPr id="13" name="BtnAddConsequence" descr="Add with solid fill">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732020" y="3429420"/>
          <a:ext cx="126000" cy="126000"/>
        </a:xfrm>
        <a:prstGeom prst="rect">
          <a:avLst/>
        </a:prstGeom>
      </xdr:spPr>
    </xdr:pic>
    <xdr:clientData/>
  </xdr:twoCellAnchor>
  <xdr:twoCellAnchor editAs="oneCell">
    <xdr:from>
      <xdr:col>4</xdr:col>
      <xdr:colOff>1333080</xdr:colOff>
      <xdr:row>20</xdr:row>
      <xdr:rowOff>30480</xdr:rowOff>
    </xdr:from>
    <xdr:to>
      <xdr:col>4</xdr:col>
      <xdr:colOff>1459080</xdr:colOff>
      <xdr:row>20</xdr:row>
      <xdr:rowOff>156480</xdr:rowOff>
    </xdr:to>
    <xdr:pic macro="[0]!DeleteRow">
      <xdr:nvPicPr>
        <xdr:cNvPr id="14" name="BtnDeleteConsequence" descr="Close with solid fill">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967820" y="3429000"/>
          <a:ext cx="126000" cy="126000"/>
        </a:xfrm>
        <a:prstGeom prst="rect">
          <a:avLst/>
        </a:prstGeom>
      </xdr:spPr>
    </xdr:pic>
    <xdr:clientData/>
  </xdr:twoCellAnchor>
  <xdr:twoCellAnchor editAs="oneCell">
    <xdr:from>
      <xdr:col>4</xdr:col>
      <xdr:colOff>1089660</xdr:colOff>
      <xdr:row>26</xdr:row>
      <xdr:rowOff>30900</xdr:rowOff>
    </xdr:from>
    <xdr:to>
      <xdr:col>4</xdr:col>
      <xdr:colOff>1215660</xdr:colOff>
      <xdr:row>26</xdr:row>
      <xdr:rowOff>156900</xdr:rowOff>
    </xdr:to>
    <xdr:pic macro="[0]!AddRow">
      <xdr:nvPicPr>
        <xdr:cNvPr id="15" name="BtnAddTendance" descr="Add with solid fill">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724400" y="4526700"/>
          <a:ext cx="126000" cy="126000"/>
        </a:xfrm>
        <a:prstGeom prst="rect">
          <a:avLst/>
        </a:prstGeom>
      </xdr:spPr>
    </xdr:pic>
    <xdr:clientData/>
  </xdr:twoCellAnchor>
  <xdr:twoCellAnchor editAs="oneCell">
    <xdr:from>
      <xdr:col>4</xdr:col>
      <xdr:colOff>1325460</xdr:colOff>
      <xdr:row>26</xdr:row>
      <xdr:rowOff>30480</xdr:rowOff>
    </xdr:from>
    <xdr:to>
      <xdr:col>4</xdr:col>
      <xdr:colOff>1451460</xdr:colOff>
      <xdr:row>26</xdr:row>
      <xdr:rowOff>156480</xdr:rowOff>
    </xdr:to>
    <xdr:pic macro="[0]!DeleteRow">
      <xdr:nvPicPr>
        <xdr:cNvPr id="16" name="BtnDeleteTendance" descr="Close with solid fill">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960200" y="4526280"/>
          <a:ext cx="126000" cy="126000"/>
        </a:xfrm>
        <a:prstGeom prst="rect">
          <a:avLst/>
        </a:prstGeom>
      </xdr:spPr>
    </xdr:pic>
    <xdr:clientData/>
  </xdr:twoCellAnchor>
  <xdr:twoCellAnchor editAs="oneCell">
    <xdr:from>
      <xdr:col>2</xdr:col>
      <xdr:colOff>1417320</xdr:colOff>
      <xdr:row>19</xdr:row>
      <xdr:rowOff>30900</xdr:rowOff>
    </xdr:from>
    <xdr:to>
      <xdr:col>2</xdr:col>
      <xdr:colOff>1543320</xdr:colOff>
      <xdr:row>19</xdr:row>
      <xdr:rowOff>156900</xdr:rowOff>
    </xdr:to>
    <xdr:pic macro="[0]!AddRow">
      <xdr:nvPicPr>
        <xdr:cNvPr id="19" name="BtnAddResponsable" descr="Add with solid fil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25040" y="3246540"/>
          <a:ext cx="126000" cy="126000"/>
        </a:xfrm>
        <a:prstGeom prst="rect">
          <a:avLst/>
        </a:prstGeom>
      </xdr:spPr>
    </xdr:pic>
    <xdr:clientData/>
  </xdr:twoCellAnchor>
  <xdr:twoCellAnchor editAs="oneCell">
    <xdr:from>
      <xdr:col>2</xdr:col>
      <xdr:colOff>1653120</xdr:colOff>
      <xdr:row>19</xdr:row>
      <xdr:rowOff>30480</xdr:rowOff>
    </xdr:from>
    <xdr:to>
      <xdr:col>2</xdr:col>
      <xdr:colOff>1779120</xdr:colOff>
      <xdr:row>19</xdr:row>
      <xdr:rowOff>156480</xdr:rowOff>
    </xdr:to>
    <xdr:pic macro="[0]!DeleteRow">
      <xdr:nvPicPr>
        <xdr:cNvPr id="20" name="BtnDeleteResponsable" descr="Close with solid fill">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60840" y="3246120"/>
          <a:ext cx="126000" cy="126000"/>
        </a:xfrm>
        <a:prstGeom prst="rect">
          <a:avLst/>
        </a:prstGeom>
      </xdr:spPr>
    </xdr:pic>
    <xdr:clientData/>
  </xdr:twoCellAnchor>
  <xdr:twoCellAnchor editAs="oneCell">
    <xdr:from>
      <xdr:col>2</xdr:col>
      <xdr:colOff>1417320</xdr:colOff>
      <xdr:row>24</xdr:row>
      <xdr:rowOff>38520</xdr:rowOff>
    </xdr:from>
    <xdr:to>
      <xdr:col>2</xdr:col>
      <xdr:colOff>1543320</xdr:colOff>
      <xdr:row>24</xdr:row>
      <xdr:rowOff>164520</xdr:rowOff>
    </xdr:to>
    <xdr:pic macro="[0]!AddRow">
      <xdr:nvPicPr>
        <xdr:cNvPr id="21" name="BtnAddPriorite" descr="Add with solid fill">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225040" y="4168560"/>
          <a:ext cx="126000" cy="126000"/>
        </a:xfrm>
        <a:prstGeom prst="rect">
          <a:avLst/>
        </a:prstGeom>
      </xdr:spPr>
    </xdr:pic>
    <xdr:clientData/>
  </xdr:twoCellAnchor>
  <xdr:twoCellAnchor editAs="oneCell">
    <xdr:from>
      <xdr:col>2</xdr:col>
      <xdr:colOff>1653120</xdr:colOff>
      <xdr:row>24</xdr:row>
      <xdr:rowOff>38100</xdr:rowOff>
    </xdr:from>
    <xdr:to>
      <xdr:col>2</xdr:col>
      <xdr:colOff>1779120</xdr:colOff>
      <xdr:row>24</xdr:row>
      <xdr:rowOff>164100</xdr:rowOff>
    </xdr:to>
    <xdr:pic macro="[0]!DeleteRow">
      <xdr:nvPicPr>
        <xdr:cNvPr id="22" name="BtnDeletePriorite" descr="Close with solid fill">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60840" y="4168140"/>
          <a:ext cx="126000" cy="126000"/>
        </a:xfrm>
        <a:prstGeom prst="rect">
          <a:avLst/>
        </a:prstGeom>
      </xdr:spPr>
    </xdr:pic>
    <xdr:clientData/>
  </xdr:twoCellAnchor>
  <xdr:twoCellAnchor editAs="oneCell">
    <xdr:from>
      <xdr:col>8</xdr:col>
      <xdr:colOff>411480</xdr:colOff>
      <xdr:row>12</xdr:row>
      <xdr:rowOff>38520</xdr:rowOff>
    </xdr:from>
    <xdr:to>
      <xdr:col>8</xdr:col>
      <xdr:colOff>537480</xdr:colOff>
      <xdr:row>12</xdr:row>
      <xdr:rowOff>164520</xdr:rowOff>
    </xdr:to>
    <xdr:pic macro="[0]!AddRow">
      <xdr:nvPicPr>
        <xdr:cNvPr id="23" name="BtnAddProbabilite" descr="Add with solid fill">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858000" y="1852080"/>
          <a:ext cx="126000" cy="126000"/>
        </a:xfrm>
        <a:prstGeom prst="rect">
          <a:avLst/>
        </a:prstGeom>
      </xdr:spPr>
    </xdr:pic>
    <xdr:clientData/>
  </xdr:twoCellAnchor>
  <xdr:twoCellAnchor editAs="oneCell">
    <xdr:from>
      <xdr:col>8</xdr:col>
      <xdr:colOff>647280</xdr:colOff>
      <xdr:row>12</xdr:row>
      <xdr:rowOff>38100</xdr:rowOff>
    </xdr:from>
    <xdr:to>
      <xdr:col>8</xdr:col>
      <xdr:colOff>773280</xdr:colOff>
      <xdr:row>12</xdr:row>
      <xdr:rowOff>164100</xdr:rowOff>
    </xdr:to>
    <xdr:pic macro="[0]!DeleteRow">
      <xdr:nvPicPr>
        <xdr:cNvPr id="24" name="BtnDeleteProbabilite" descr="Close with solid fill">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093800" y="1851660"/>
          <a:ext cx="126000" cy="126000"/>
        </a:xfrm>
        <a:prstGeom prst="rect">
          <a:avLst/>
        </a:prstGeom>
      </xdr:spPr>
    </xdr:pic>
    <xdr:clientData/>
  </xdr:twoCellAnchor>
  <xdr:twoCellAnchor editAs="oneCell">
    <xdr:from>
      <xdr:col>5</xdr:col>
      <xdr:colOff>441960</xdr:colOff>
      <xdr:row>12</xdr:row>
      <xdr:rowOff>30900</xdr:rowOff>
    </xdr:from>
    <xdr:to>
      <xdr:col>5</xdr:col>
      <xdr:colOff>567960</xdr:colOff>
      <xdr:row>12</xdr:row>
      <xdr:rowOff>156900</xdr:rowOff>
    </xdr:to>
    <xdr:pic macro="[0]!AddRow">
      <xdr:nvPicPr>
        <xdr:cNvPr id="25" name="BtnAddGravite" descr="Add with solid fill">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585460" y="1760640"/>
          <a:ext cx="126000" cy="126000"/>
        </a:xfrm>
        <a:prstGeom prst="rect">
          <a:avLst/>
        </a:prstGeom>
      </xdr:spPr>
    </xdr:pic>
    <xdr:clientData/>
  </xdr:twoCellAnchor>
  <xdr:twoCellAnchor editAs="oneCell">
    <xdr:from>
      <xdr:col>5</xdr:col>
      <xdr:colOff>677760</xdr:colOff>
      <xdr:row>12</xdr:row>
      <xdr:rowOff>30480</xdr:rowOff>
    </xdr:from>
    <xdr:to>
      <xdr:col>5</xdr:col>
      <xdr:colOff>803760</xdr:colOff>
      <xdr:row>12</xdr:row>
      <xdr:rowOff>156480</xdr:rowOff>
    </xdr:to>
    <xdr:pic macro="[0]!DeleteRow">
      <xdr:nvPicPr>
        <xdr:cNvPr id="26" name="BtnDeleteGravite" descr="Close with solid fill">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821260" y="1760220"/>
          <a:ext cx="126000" cy="126000"/>
        </a:xfrm>
        <a:prstGeom prst="rect">
          <a:avLst/>
        </a:prstGeom>
      </xdr:spPr>
    </xdr:pic>
    <xdr:clientData/>
  </xdr:twoCellAnchor>
  <xdr:twoCellAnchor editAs="oneCell">
    <xdr:from>
      <xdr:col>12</xdr:col>
      <xdr:colOff>754380</xdr:colOff>
      <xdr:row>12</xdr:row>
      <xdr:rowOff>30900</xdr:rowOff>
    </xdr:from>
    <xdr:to>
      <xdr:col>12</xdr:col>
      <xdr:colOff>880380</xdr:colOff>
      <xdr:row>12</xdr:row>
      <xdr:rowOff>156900</xdr:rowOff>
    </xdr:to>
    <xdr:pic macro="[0]!AddRow">
      <xdr:nvPicPr>
        <xdr:cNvPr id="27" name="BtnAddCriticite" descr="Add with solid fill">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711940" y="1844460"/>
          <a:ext cx="126000" cy="126000"/>
        </a:xfrm>
        <a:prstGeom prst="rect">
          <a:avLst/>
        </a:prstGeom>
      </xdr:spPr>
    </xdr:pic>
    <xdr:clientData/>
  </xdr:twoCellAnchor>
  <xdr:twoCellAnchor editAs="oneCell">
    <xdr:from>
      <xdr:col>12</xdr:col>
      <xdr:colOff>990180</xdr:colOff>
      <xdr:row>12</xdr:row>
      <xdr:rowOff>30480</xdr:rowOff>
    </xdr:from>
    <xdr:to>
      <xdr:col>12</xdr:col>
      <xdr:colOff>1116180</xdr:colOff>
      <xdr:row>12</xdr:row>
      <xdr:rowOff>156480</xdr:rowOff>
    </xdr:to>
    <xdr:pic macro="[0]!DeleteRow">
      <xdr:nvPicPr>
        <xdr:cNvPr id="28" name="BtnDeleteCriticite" descr="Close with solid fill">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947740" y="1844040"/>
          <a:ext cx="126000" cy="126000"/>
        </a:xfrm>
        <a:prstGeom prst="rect">
          <a:avLst/>
        </a:prstGeom>
      </xdr:spPr>
    </xdr:pic>
    <xdr:clientData/>
  </xdr:twoCellAnchor>
  <xdr:twoCellAnchor editAs="oneCell">
    <xdr:from>
      <xdr:col>0</xdr:col>
      <xdr:colOff>175260</xdr:colOff>
      <xdr:row>0</xdr:row>
      <xdr:rowOff>152400</xdr:rowOff>
    </xdr:from>
    <xdr:to>
      <xdr:col>3</xdr:col>
      <xdr:colOff>30480</xdr:colOff>
      <xdr:row>4</xdr:row>
      <xdr:rowOff>76200</xdr:rowOff>
    </xdr:to>
    <xdr:pic>
      <xdr:nvPicPr>
        <xdr:cNvPr id="31" name="logo">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75260" y="152400"/>
          <a:ext cx="2468880" cy="42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12</xdr:col>
          <xdr:colOff>1066800</xdr:colOff>
          <xdr:row>5</xdr:row>
          <xdr:rowOff>76200</xdr:rowOff>
        </xdr:from>
        <xdr:to>
          <xdr:col>13</xdr:col>
          <xdr:colOff>1242060</xdr:colOff>
          <xdr:row>5</xdr:row>
          <xdr:rowOff>297180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3</xdr:col>
      <xdr:colOff>998220</xdr:colOff>
      <xdr:row>10</xdr:row>
      <xdr:rowOff>167640</xdr:rowOff>
    </xdr:from>
    <xdr:to>
      <xdr:col>13</xdr:col>
      <xdr:colOff>53340</xdr:colOff>
      <xdr:row>11</xdr:row>
      <xdr:rowOff>232917</xdr:rowOff>
    </xdr:to>
    <xdr:sp macro="" textlink="">
      <xdr:nvSpPr>
        <xdr:cNvPr id="2" name="BtnGuide">
          <a:extLst>
            <a:ext uri="{FF2B5EF4-FFF2-40B4-BE49-F238E27FC236}">
              <a16:creationId xmlns:a16="http://schemas.microsoft.com/office/drawing/2014/main" id="{00000000-0008-0000-0500-000002000000}"/>
            </a:ext>
          </a:extLst>
        </xdr:cNvPr>
        <xdr:cNvSpPr/>
      </xdr:nvSpPr>
      <xdr:spPr>
        <a:xfrm>
          <a:off x="3611880" y="1409700"/>
          <a:ext cx="8953500" cy="248157"/>
        </a:xfrm>
        <a:prstGeom prst="roundRect">
          <a:avLst>
            <a:gd name="adj" fmla="val 0"/>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0" cap="all" baseline="0">
              <a:solidFill>
                <a:srgbClr val="00668A"/>
              </a:solidFill>
              <a:latin typeface="+mn-lt"/>
              <a:ea typeface="+mn-ea"/>
              <a:cs typeface="+mn-cs"/>
            </a:rPr>
            <a:t>Registre des risques »</a:t>
          </a:r>
        </a:p>
      </xdr:txBody>
    </xdr:sp>
    <xdr:clientData/>
  </xdr:twoCellAnchor>
  <xdr:twoCellAnchor editAs="absolute">
    <xdr:from>
      <xdr:col>2</xdr:col>
      <xdr:colOff>7620</xdr:colOff>
      <xdr:row>10</xdr:row>
      <xdr:rowOff>167640</xdr:rowOff>
    </xdr:from>
    <xdr:to>
      <xdr:col>3</xdr:col>
      <xdr:colOff>327660</xdr:colOff>
      <xdr:row>11</xdr:row>
      <xdr:rowOff>232917</xdr:rowOff>
    </xdr:to>
    <xdr:sp macro="" textlink="">
      <xdr:nvSpPr>
        <xdr:cNvPr id="3" name="BtnGuide">
          <a:extLst>
            <a:ext uri="{FF2B5EF4-FFF2-40B4-BE49-F238E27FC236}">
              <a16:creationId xmlns:a16="http://schemas.microsoft.com/office/drawing/2014/main" id="{00000000-0008-0000-0500-000003000000}"/>
            </a:ext>
          </a:extLst>
        </xdr:cNvPr>
        <xdr:cNvSpPr/>
      </xdr:nvSpPr>
      <xdr:spPr>
        <a:xfrm>
          <a:off x="815340" y="1409700"/>
          <a:ext cx="2125980" cy="248157"/>
        </a:xfrm>
        <a:prstGeom prst="roundRect">
          <a:avLst>
            <a:gd name="adj" fmla="val 0"/>
          </a:avLst>
        </a:prstGeom>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108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200" b="0" cap="all" baseline="0">
              <a:solidFill>
                <a:srgbClr val="00668A"/>
              </a:solidFill>
              <a:latin typeface="+mn-lt"/>
              <a:ea typeface="+mn-ea"/>
              <a:cs typeface="+mn-cs"/>
            </a:rPr>
            <a:t>Registre des problèmes »</a:t>
          </a:r>
        </a:p>
      </xdr:txBody>
    </xdr:sp>
    <xdr:clientData/>
  </xdr:twoCellAnchor>
  <xdr:oneCellAnchor>
    <xdr:from>
      <xdr:col>7</xdr:col>
      <xdr:colOff>784860</xdr:colOff>
      <xdr:row>20</xdr:row>
      <xdr:rowOff>30900</xdr:rowOff>
    </xdr:from>
    <xdr:ext cx="126000" cy="126000"/>
    <xdr:pic macro="[0]!AddRow">
      <xdr:nvPicPr>
        <xdr:cNvPr id="4" name="BtnAddNature" descr="Add with solid fill">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680960" y="3223680"/>
          <a:ext cx="126000" cy="126000"/>
        </a:xfrm>
        <a:prstGeom prst="rect">
          <a:avLst/>
        </a:prstGeom>
      </xdr:spPr>
    </xdr:pic>
    <xdr:clientData/>
  </xdr:oneCellAnchor>
  <xdr:oneCellAnchor>
    <xdr:from>
      <xdr:col>7</xdr:col>
      <xdr:colOff>1020660</xdr:colOff>
      <xdr:row>20</xdr:row>
      <xdr:rowOff>30480</xdr:rowOff>
    </xdr:from>
    <xdr:ext cx="126000" cy="126000"/>
    <xdr:pic macro="[0]!DeleteRow">
      <xdr:nvPicPr>
        <xdr:cNvPr id="29" name="BtnDeleteNature" descr="Close with solid fill">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7916760" y="3223260"/>
          <a:ext cx="126000" cy="126000"/>
        </a:xfrm>
        <a:prstGeom prst="rect">
          <a:avLst/>
        </a:prstGeom>
      </xdr:spPr>
    </xdr:pic>
    <xdr:clientData/>
  </xdr:oneCellAnchor>
  <xdr:oneCellAnchor>
    <xdr:from>
      <xdr:col>2</xdr:col>
      <xdr:colOff>1386840</xdr:colOff>
      <xdr:row>13</xdr:row>
      <xdr:rowOff>30900</xdr:rowOff>
    </xdr:from>
    <xdr:ext cx="126000" cy="126000"/>
    <xdr:pic macro="[0]!AddRow">
      <xdr:nvPicPr>
        <xdr:cNvPr id="30" name="BtnAddStatut" descr="Add with solid fill">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194560" y="2126400"/>
          <a:ext cx="126000" cy="126000"/>
        </a:xfrm>
        <a:prstGeom prst="rect">
          <a:avLst/>
        </a:prstGeom>
      </xdr:spPr>
    </xdr:pic>
    <xdr:clientData/>
  </xdr:oneCellAnchor>
  <xdr:oneCellAnchor>
    <xdr:from>
      <xdr:col>2</xdr:col>
      <xdr:colOff>1622640</xdr:colOff>
      <xdr:row>13</xdr:row>
      <xdr:rowOff>30480</xdr:rowOff>
    </xdr:from>
    <xdr:ext cx="126000" cy="126000"/>
    <xdr:pic macro="[0]!DeleteRow">
      <xdr:nvPicPr>
        <xdr:cNvPr id="32" name="BtnDeleteStatut" descr="Close with solid fill">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30360" y="2125980"/>
          <a:ext cx="126000" cy="126000"/>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0739A52-0519-4B3A-9248-8521597E3DC5}" name="TabEchelle1" displayName="TabEchelle1" ref="C14:F18" totalsRowShown="0" headerRowDxfId="108" dataDxfId="107">
  <autoFilter ref="C14:F18" xr:uid="{33E3240D-BF9D-4573-B8FB-069805BF94DF}">
    <filterColumn colId="0" hiddenButton="1"/>
    <filterColumn colId="1" hiddenButton="1"/>
    <filterColumn colId="2" hiddenButton="1"/>
    <filterColumn colId="3" hiddenButton="1"/>
  </autoFilter>
  <tableColumns count="4">
    <tableColumn id="1" xr3:uid="{B99E03C9-5BE0-4BFC-8F77-89BD9F89A9F9}" name="Classe de vraisemblance" dataDxfId="106"/>
    <tableColumn id="3" xr3:uid="{806AFEB0-7726-40D9-80F6-552E5420C685}" name="Intitulé générique" dataDxfId="105"/>
    <tableColumn id="4" xr3:uid="{258D0C6E-BB3E-49CD-BBA4-93042D12CAA9}" name="Données quantitatives" dataDxfId="104"/>
    <tableColumn id="12" xr3:uid="{F171386B-7FD9-427E-83B8-6E087F44029F}" name="Données qualitatives" dataDxfId="103"/>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C2B4C8C-0733-4FBE-9BE9-0F4C56A86150}" name="TabRegistresRisques314" displayName="TabRegistresRisques314" ref="H14:I18" totalsRowShown="0" headerRowDxfId="102" dataDxfId="101">
  <autoFilter ref="H14:I18" xr:uid="{2C2B4C8C-0733-4FBE-9BE9-0F4C56A86150}">
    <filterColumn colId="0" hiddenButton="1"/>
    <filterColumn colId="1" hiddenButton="1"/>
  </autoFilter>
  <tableColumns count="2">
    <tableColumn id="1" xr3:uid="{164317F9-AED8-42EA-8FD2-27ACD6A5B747}" name="Niveau  " dataDxfId="100"/>
    <tableColumn id="3" xr3:uid="{A34021E7-EE81-43E0-9B80-FDC83071B0FD}" name="Description synthétique de la gravité" dataDxfId="99"/>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762953-8AF9-4D1F-B711-8A3DA5A4E1BD}" name="TabRegistresRisques" displayName="TabRegistresRisques" ref="B13:N30" totalsRowShown="0" headerRowDxfId="95" dataDxfId="94">
  <autoFilter ref="B13:N30" xr:uid="{33E3240D-BF9D-4573-B8FB-069805BF94D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C6AFDC86-425B-4C98-AEA5-154D37D11AA7}" name="ID" dataDxfId="93">
      <calculatedColumnFormula>"R" &amp; ROW() - ROW(TabRegistresRisques[[#Headers],[ID]])</calculatedColumnFormula>
    </tableColumn>
    <tableColumn id="13" xr3:uid="{9E00B21C-9A6D-42AE-95C1-D593E8BC318A}" name="Poids" dataDxfId="92">
      <calculatedColumnFormula>IFERROR(VLOOKUP(TabRegistresRisques[[#This Row],[Gravité]],TabGravite[],2,FALSE) * VLOOKUP(TabRegistresRisques[[#This Row],[Probabilité]],TabProbabilite[],2,FALSE),"")</calculatedColumnFormula>
    </tableColumn>
    <tableColumn id="2" xr3:uid="{5B3C7E24-0096-460C-A9B4-405AB08185AE}" name="Matrice" dataDxfId="91">
      <calculatedColumnFormula>IFERROR("Matrice" &amp; MATCH(TabRegistresRisques[[#This Row],[Gravité]],TabGravite[Gravité],0) &amp; COUNTA(TabProbabilite[Probabilité])-MATCH(TabRegistresRisques[[#This Row],[Probabilité]],TabProbabilite[Probabilité],0) + 1,"")</calculatedColumnFormula>
    </tableColumn>
    <tableColumn id="3" xr3:uid="{09984EE0-6E70-49FB-B6A2-4CD5E3CFD8E9}" name="Nature de risque" dataDxfId="90"/>
    <tableColumn id="4" xr3:uid="{EFA05E07-C59A-4232-922F-F08CD26486E5}" name="Description" dataDxfId="89"/>
    <tableColumn id="12" xr3:uid="{C0376BB8-0A87-43D5-B4B2-BD45FBA4AF7D}" name="Gravité" dataDxfId="88"/>
    <tableColumn id="5" xr3:uid="{6588FBC4-FB2B-4FAF-BB78-D3B8C250D067}" name="Probabilité" dataDxfId="87"/>
    <tableColumn id="6" xr3:uid="{6163C790-864C-442C-AEF6-3CB9E38FF10A}" name="Criticité" dataDxfId="86">
      <calculatedColumnFormula array="1">IFERROR(INDEX(TabCriticite[],FindValueInRange(TabRegistresRisques[[#This Row],[Poids]],TabCriticite[]),2),"")</calculatedColumnFormula>
    </tableColumn>
    <tableColumn id="7" xr3:uid="{2F79E7AB-AC0B-4289-8E0C-7C79FEBE4A7B}" name="Conséquence si avéré" dataDxfId="85"/>
    <tableColumn id="8" xr3:uid="{AE0D409C-4406-4D26-9092-790A264AFFDE}" name="Tendance" dataDxfId="84"/>
    <tableColumn id="9" xr3:uid="{9443BB8B-B7C9-4D7B-A4CB-4355B6B09F46}" name="Responsable" dataDxfId="83"/>
    <tableColumn id="10" xr3:uid="{E9601144-1EF5-4388-AE11-EAF5440EFD45}" name="Actions préventives" dataDxfId="82"/>
    <tableColumn id="11" xr3:uid="{D1F9822C-2566-4636-94D0-82F8A319994E}" name="Actions correctrices" dataDxfId="8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B1E4A06-8CF2-438D-99DA-44716C93A46C}" name="TabRegistresProblemes" displayName="TabRegistresProblemes" ref="B15:M18" totalsRowShown="0" headerRowDxfId="73" dataDxfId="72">
  <autoFilter ref="B15:M18" xr:uid="{5B1E4A06-8CF2-438D-99DA-44716C93A46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CF993A5B-181D-4699-A510-955E01785049}" name="ID" dataDxfId="71">
      <calculatedColumnFormula>ROW() - ROW(TabRegistresProblemes[[#Headers],[ID]])</calculatedColumnFormula>
    </tableColumn>
    <tableColumn id="3" xr3:uid="{2D296B09-7349-4D3B-BB07-F29FF553B7BF}" name="Description du problème" dataDxfId="70"/>
    <tableColumn id="4" xr3:uid="{BCE6431B-8299-44C0-BA48-602224D2F876}" name="Sommaire d'impact" dataDxfId="69"/>
    <tableColumn id="12" xr3:uid="{49DF6995-7425-494F-8366-20FC481F06A0}" name="Date_x000d__x000a_Identifiée" dataDxfId="68"/>
    <tableColumn id="5" xr3:uid="{C104ED4F-246D-488A-A194-134CE8A9D92D}" name="Déclaré par" dataDxfId="67"/>
    <tableColumn id="13" xr3:uid="{6AA81827-B722-4677-B414-1CCA005561FE}" name="Priorité" dataDxfId="66"/>
    <tableColumn id="6" xr3:uid="{448BF3CE-60F7-46A6-BDBF-FA51EEBBB0CA}" name="Responsable" dataDxfId="65"/>
    <tableColumn id="7" xr3:uid="{C1ABC1A6-8E52-4E49-8A3F-121FB4B49BC5}" name="Statut" dataDxfId="64"/>
    <tableColumn id="8" xr3:uid="{E78C0928-2AEB-449D-9824-65CD6DC56F5C}" name="Actions correctives" dataDxfId="63"/>
    <tableColumn id="9" xr3:uid="{E900B230-5D04-4B70-A517-9F855A448B85}" name="Date de Résolution" dataDxfId="62"/>
    <tableColumn id="10" xr3:uid="{08A73127-3F16-4123-A6FF-FF2D607007BA}" name="Résolution finale" dataDxfId="61"/>
    <tableColumn id="11" xr3:uid="{DB4655C3-E990-4848-BEF9-80E056BD5B75}" name="Commentaire" dataDxfId="60"/>
  </tableColumns>
  <tableStyleInfo name="TableStyleMedium2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E6307FD-A9A8-425C-98EC-E751B63B9F47}" name="TabLegendeMatrice" displayName="TabLegendeMatrice" ref="C14:D31" totalsRowShown="0" headerRowDxfId="59" dataDxfId="10">
  <autoFilter ref="C14:D31" xr:uid="{AE6307FD-A9A8-425C-98EC-E751B63B9F47}">
    <filterColumn colId="0" hiddenButton="1"/>
    <filterColumn colId="1" hiddenButton="1"/>
  </autoFilter>
  <tableColumns count="2">
    <tableColumn id="1" xr3:uid="{4AD1296C-ABCD-4F3A-B534-55C8A9D68A06}" name="R" dataDxfId="12">
      <calculatedColumnFormula>"R" &amp; ROW() - ROW(TabLegendeMatrice[[#Headers],[R]])</calculatedColumnFormula>
    </tableColumn>
    <tableColumn id="2" xr3:uid="{E268CB91-6ED4-49D0-B96A-E5C259860A55}" name="Description" dataDxfId="1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2133962-1B2A-426B-9AB4-26C5D3E9480C}" name="TabNature" displayName="TabNature" ref="H21:H25" totalsRowShown="0" headerRowDxfId="58" dataDxfId="57">
  <autoFilter ref="H21:H25" xr:uid="{D2133962-1B2A-426B-9AB4-26C5D3E9480C}">
    <filterColumn colId="0" hiddenButton="1"/>
  </autoFilter>
  <tableColumns count="1">
    <tableColumn id="1" xr3:uid="{7DFE387B-3640-49A3-932B-495ED8B5F89F}" name="Nature" dataDxfId="5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A37BCCF-1FC2-4EBC-A2AD-286735914A2C}" name="TabConseq" displayName="TabConseq" ref="E21:E25" totalsRowShown="0" headerRowDxfId="55" dataDxfId="54">
  <autoFilter ref="E21:E25" xr:uid="{CA37BCCF-1FC2-4EBC-A2AD-286735914A2C}">
    <filterColumn colId="0" hiddenButton="1"/>
  </autoFilter>
  <tableColumns count="1">
    <tableColumn id="1" xr3:uid="{76E6C008-9534-40F0-B2A6-3A4544787929}" name="Conséquence" dataDxfId="5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3F78B1-FBD3-4C5F-A564-652200D80C32}" name="TabTendance" displayName="TabTendance" ref="E27:E30" totalsRowShown="0" headerRowDxfId="52" dataDxfId="51">
  <autoFilter ref="E27:E30" xr:uid="{863F78B1-FBD3-4C5F-A564-652200D80C32}">
    <filterColumn colId="0" hiddenButton="1"/>
  </autoFilter>
  <tableColumns count="1">
    <tableColumn id="1" xr3:uid="{D2B49916-CD39-42BE-95AA-87DFDACE54F3}" name="Tendance" dataDxfId="5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CC786AF-D19F-4740-B0F8-390F693DCF6F}" name="TabPriorite" displayName="TabPriorite" ref="C25:C29" totalsRowShown="0" headerRowDxfId="49" dataDxfId="48">
  <autoFilter ref="C25:C29" xr:uid="{ACC786AF-D19F-4740-B0F8-390F693DCF6F}">
    <filterColumn colId="0" hiddenButton="1"/>
  </autoFilter>
  <tableColumns count="1">
    <tableColumn id="1" xr3:uid="{363E4EBE-6E8D-4734-BF52-6DB41F274F18}" name="Priorité" dataDxfId="47"/>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08E2366-D736-428D-85B0-A6B12D57CDEA}" name="TabStatut" displayName="TabStatut" ref="C15:C18" totalsRowShown="0" headerRowDxfId="46" dataDxfId="45">
  <autoFilter ref="C15:C18" xr:uid="{C08E2366-D736-428D-85B0-A6B12D57CDEA}">
    <filterColumn colId="0" hiddenButton="1"/>
  </autoFilter>
  <tableColumns count="1">
    <tableColumn id="1" xr3:uid="{C1D994C3-90E1-4AA3-BE08-9694F77FB0DE}" name="Statut" dataDxfId="44"/>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416E25B-D99E-4611-BDB4-CBFCD5FEBE4E}" name="TabResponsable" displayName="TabResponsable" ref="C20:C23" totalsRowShown="0" headerRowDxfId="43" dataDxfId="42">
  <autoFilter ref="C20:C23" xr:uid="{1416E25B-D99E-4611-BDB4-CBFCD5FEBE4E}">
    <filterColumn colId="0" hiddenButton="1"/>
  </autoFilter>
  <tableColumns count="1">
    <tableColumn id="1" xr3:uid="{1FD431FC-471C-4476-8957-465E032CEEE5}" name="Responsable" dataDxfId="41"/>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DBFD5B-9A61-4A03-875E-897085A1E846}" name="TabGravite" displayName="TabGravite" ref="E15:F19" totalsRowShown="0" headerRowDxfId="40" dataDxfId="39">
  <autoFilter ref="E15:F19" xr:uid="{6FDBFD5B-9A61-4A03-875E-897085A1E846}">
    <filterColumn colId="0" hiddenButton="1"/>
    <filterColumn colId="1" hiddenButton="1"/>
  </autoFilter>
  <tableColumns count="2">
    <tableColumn id="1" xr3:uid="{4F65A7D3-810F-4839-975F-CCFEC9F57E03}" name="Gravité" dataDxfId="38"/>
    <tableColumn id="2" xr3:uid="{7BB25A10-1C9E-45BA-950B-B5847882B0FA}" name="Poids" dataDxfId="37"/>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609DC7-55ED-4B66-A7D2-FEF690D15FA7}" name="TabProbabilite" displayName="TabProbabilite" ref="H15:I19" totalsRowShown="0" headerRowDxfId="36" dataDxfId="35">
  <autoFilter ref="H15:I19" xr:uid="{2D609DC7-55ED-4B66-A7D2-FEF690D15FA7}">
    <filterColumn colId="0" hiddenButton="1"/>
    <filterColumn colId="1" hiddenButton="1"/>
  </autoFilter>
  <tableColumns count="2">
    <tableColumn id="1" xr3:uid="{7C2A4505-14BD-4EF4-9881-49A036808C06}" name="Probabilité" dataDxfId="34"/>
    <tableColumn id="2" xr3:uid="{79E2F35A-76A2-427E-AD15-1B8A3C7F2EC2}" name="Poids" dataDxfId="3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7E3E0AF-1FE8-44BE-8F53-78420D5CA485}" name="TabCriticite" displayName="TabCriticite" ref="K16:M18" headerRowCount="0" totalsRowShown="0" headerRowDxfId="32" dataDxfId="31">
  <tableColumns count="3">
    <tableColumn id="1" xr3:uid="{91C1F0CC-5020-4700-8701-4A213A96FD03}" name="Min" headerRowDxfId="30" dataDxfId="29">
      <calculatedColumnFormula array="1">IF(ISNUMBER(INDIRECT("L" &amp;ROW() - 1)),INDIRECT("L" &amp;ROW() - 1), "-")</calculatedColumnFormula>
    </tableColumn>
    <tableColumn id="2" xr3:uid="{89345363-5021-4237-B030-E6B54A6D510D}" name="Criticité" headerRowDxfId="28" dataDxfId="27"/>
    <tableColumn id="3" xr3:uid="{D337CD43-88F9-489F-B044-68FD77EB49B7}" name="Max" headerRowDxfId="26" dataDxfId="25"/>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63F7563-E06A-4764-AD96-8936BBA6EB78}" name="TabLangue" displayName="TabLangue" ref="A1:B169" totalsRowShown="0" headerRowDxfId="22" dataDxfId="21">
  <autoFilter ref="A1:B169" xr:uid="{463F7563-E06A-4764-AD96-8936BBA6EB78}"/>
  <sortState xmlns:xlrd2="http://schemas.microsoft.com/office/spreadsheetml/2017/richdata2" ref="A2:B2">
    <sortCondition ref="A1:A2"/>
  </sortState>
  <tableColumns count="2">
    <tableColumn id="1" xr3:uid="{24897054-D158-41B1-A746-2221582FE0DC}" name="Français" dataDxfId="20"/>
    <tableColumn id="2" xr3:uid="{61CA06A1-A618-424F-8F19-C371445DDA1B}" name="Anglais" dataDxfId="1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EE3273A-3665-4001-B70E-9302B3582171}" name="TabLang" displayName="TabLang" ref="F1:F3" totalsRowShown="0" headerRowDxfId="18" dataDxfId="17">
  <autoFilter ref="F1:F3" xr:uid="{BEE3273A-3665-4001-B70E-9302B3582171}"/>
  <tableColumns count="1">
    <tableColumn id="1" xr3:uid="{327BECD6-E10F-45EB-BF3E-8923B590F5AA}" name="Langue"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6B5CAD2-CC35-44C7-B00A-BF6F333886A8}" name="TabYesNo" displayName="TabYesNo" ref="H1:H3" totalsRowShown="0" headerRowDxfId="15" dataDxfId="14">
  <autoFilter ref="H1:H3" xr:uid="{26B5CAD2-CC35-44C7-B00A-BF6F333886A8}"/>
  <tableColumns count="1">
    <tableColumn id="1" xr3:uid="{BF21A367-BF02-4DEB-92AC-14764921F421}" name="Yes-No"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3" Type="http://schemas.openxmlformats.org/officeDocument/2006/relationships/vmlDrawing" Target="../drawings/vmlDrawing1.v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ctrlProp" Target="../ctrlProps/ctrlProp1.xml"/><Relationship Id="rId9" Type="http://schemas.openxmlformats.org/officeDocument/2006/relationships/table" Target="../tables/table10.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3.bin"/><Relationship Id="rId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D3FCC-62AB-448E-9317-F7CFF6A451BE}">
  <sheetPr codeName="ShGuide">
    <tabColor theme="4"/>
  </sheetPr>
  <dimension ref="A1:P20"/>
  <sheetViews>
    <sheetView showGridLines="0" workbookViewId="0">
      <selection activeCell="D24" sqref="D24"/>
    </sheetView>
  </sheetViews>
  <sheetFormatPr defaultColWidth="0" defaultRowHeight="14.4" x14ac:dyDescent="0.3"/>
  <cols>
    <col min="1" max="1" width="3.109375" customWidth="1"/>
    <col min="2" max="2" width="5.6640625" customWidth="1"/>
    <col min="3" max="3" width="12.88671875" customWidth="1"/>
    <col min="4" max="4" width="31.109375" customWidth="1"/>
    <col min="5" max="5" width="18.6640625" customWidth="1"/>
    <col min="6" max="6" width="16.109375" customWidth="1"/>
    <col min="7" max="7" width="12.88671875" customWidth="1"/>
    <col min="8" max="8" width="12.44140625" customWidth="1"/>
    <col min="9" max="9" width="10.6640625" customWidth="1"/>
    <col min="10" max="10" width="15.6640625" customWidth="1"/>
    <col min="11" max="11" width="23.5546875" customWidth="1"/>
    <col min="12" max="12" width="17" customWidth="1"/>
    <col min="13" max="15" width="8.88671875" customWidth="1"/>
    <col min="16" max="16" width="0" hidden="1" customWidth="1"/>
    <col min="17" max="16384" width="8.88671875" hidden="1"/>
  </cols>
  <sheetData>
    <row r="1" spans="2:12" ht="19.95" customHeight="1" x14ac:dyDescent="0.3">
      <c r="K1" s="1" t="s">
        <v>0</v>
      </c>
      <c r="L1" s="2">
        <v>44893</v>
      </c>
    </row>
    <row r="2" spans="2:12" ht="14.4" hidden="1" customHeight="1" x14ac:dyDescent="0.3">
      <c r="K2" s="3"/>
      <c r="L2" s="4"/>
    </row>
    <row r="3" spans="2:12" ht="19.95" customHeight="1" x14ac:dyDescent="0.3">
      <c r="K3" s="1" t="s">
        <v>1</v>
      </c>
      <c r="L3" s="2"/>
    </row>
    <row r="4" spans="2:12" ht="14.4" hidden="1" customHeight="1" x14ac:dyDescent="0.3">
      <c r="K4" s="3"/>
      <c r="L4" s="4"/>
    </row>
    <row r="5" spans="2:12" ht="19.95" customHeight="1" thickBot="1" x14ac:dyDescent="0.35">
      <c r="K5" s="5" t="s">
        <v>2</v>
      </c>
      <c r="L5" s="6" t="s">
        <v>3</v>
      </c>
    </row>
    <row r="6" spans="2:12" ht="28.2" customHeight="1" thickTop="1" thickBot="1" x14ac:dyDescent="0.35">
      <c r="B6" s="7"/>
      <c r="C6" s="8" t="s">
        <v>73</v>
      </c>
      <c r="D6" s="7"/>
      <c r="E6" s="7"/>
      <c r="F6" s="7"/>
      <c r="G6" s="7"/>
      <c r="H6" s="7"/>
      <c r="I6" s="7"/>
      <c r="J6" s="7"/>
      <c r="K6" s="7"/>
      <c r="L6" s="7"/>
    </row>
    <row r="7" spans="2:12" ht="10.199999999999999" customHeight="1" thickTop="1" x14ac:dyDescent="0.3"/>
    <row r="8" spans="2:12" x14ac:dyDescent="0.3">
      <c r="D8" s="9" t="s">
        <v>4</v>
      </c>
      <c r="E8" s="10" t="s">
        <v>5</v>
      </c>
      <c r="I8" s="9" t="s">
        <v>8</v>
      </c>
      <c r="J8" s="9"/>
      <c r="K8" s="10" t="s">
        <v>9</v>
      </c>
    </row>
    <row r="9" spans="2:12" ht="1.95" customHeight="1" x14ac:dyDescent="0.3">
      <c r="D9" s="11"/>
      <c r="E9" s="12"/>
      <c r="I9" s="11"/>
      <c r="J9" s="11"/>
      <c r="K9" s="12"/>
    </row>
    <row r="10" spans="2:12" x14ac:dyDescent="0.3">
      <c r="D10" s="9" t="s">
        <v>6</v>
      </c>
      <c r="E10" s="10" t="s">
        <v>7</v>
      </c>
      <c r="I10" s="9" t="s">
        <v>10</v>
      </c>
      <c r="J10" s="9"/>
      <c r="K10" s="10" t="s">
        <v>11</v>
      </c>
    </row>
    <row r="11" spans="2:12" ht="21" customHeight="1" x14ac:dyDescent="0.3"/>
    <row r="12" spans="2:12" ht="21" customHeight="1" x14ac:dyDescent="0.3"/>
    <row r="13" spans="2:12" ht="21" customHeight="1" x14ac:dyDescent="0.3"/>
    <row r="14" spans="2:12" ht="21" customHeight="1" x14ac:dyDescent="0.3"/>
    <row r="15" spans="2:12" ht="21" customHeight="1" x14ac:dyDescent="0.3"/>
    <row r="16" spans="2:12" ht="21" customHeight="1" x14ac:dyDescent="0.3"/>
    <row r="17" ht="21" customHeight="1" x14ac:dyDescent="0.3"/>
    <row r="18" ht="21" customHeight="1" x14ac:dyDescent="0.3"/>
    <row r="19" ht="21" customHeight="1" x14ac:dyDescent="0.3"/>
    <row r="20" ht="21" customHeight="1"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AA0-8E3F-417C-86AF-5C7851C67E5D}">
  <sheetPr codeName="ShEchelles">
    <tabColor rgb="FF92D050"/>
  </sheetPr>
  <dimension ref="B1:I43"/>
  <sheetViews>
    <sheetView showGridLines="0" tabSelected="1" workbookViewId="0">
      <selection activeCell="D20" sqref="D20"/>
    </sheetView>
  </sheetViews>
  <sheetFormatPr defaultColWidth="8.88671875" defaultRowHeight="14.4" x14ac:dyDescent="0.3"/>
  <cols>
    <col min="1" max="1" width="3.109375" customWidth="1"/>
    <col min="2" max="2" width="5.109375" customWidth="1"/>
    <col min="3" max="3" width="14.6640625" customWidth="1"/>
    <col min="4" max="4" width="31.109375" customWidth="1"/>
    <col min="5" max="5" width="17" customWidth="1"/>
    <col min="6" max="6" width="14.5546875" customWidth="1"/>
    <col min="7" max="7" width="4.5546875" customWidth="1"/>
    <col min="8" max="8" width="24.33203125" customWidth="1"/>
    <col min="9" max="9" width="77" customWidth="1"/>
    <col min="10" max="12" width="8.88671875" customWidth="1"/>
  </cols>
  <sheetData>
    <row r="1" spans="2:9" ht="19.95" customHeight="1" x14ac:dyDescent="0.3">
      <c r="H1" s="1" t="s">
        <v>0</v>
      </c>
      <c r="I1" s="2">
        <v>44893</v>
      </c>
    </row>
    <row r="2" spans="2:9" ht="14.4" hidden="1" customHeight="1" x14ac:dyDescent="0.3">
      <c r="H2" s="3"/>
      <c r="I2" s="4"/>
    </row>
    <row r="3" spans="2:9" ht="19.95" customHeight="1" x14ac:dyDescent="0.3">
      <c r="H3" s="1" t="s">
        <v>1</v>
      </c>
      <c r="I3" s="2"/>
    </row>
    <row r="4" spans="2:9" ht="14.4" hidden="1" customHeight="1" x14ac:dyDescent="0.3">
      <c r="H4" s="3"/>
      <c r="I4" s="4"/>
    </row>
    <row r="5" spans="2:9" ht="19.95" customHeight="1" thickBot="1" x14ac:dyDescent="0.35">
      <c r="H5" s="5" t="s">
        <v>2</v>
      </c>
      <c r="I5" s="6" t="s">
        <v>3</v>
      </c>
    </row>
    <row r="6" spans="2:9" ht="28.2" customHeight="1" thickTop="1" thickBot="1" x14ac:dyDescent="0.35">
      <c r="B6" s="7"/>
      <c r="C6" s="8" t="s">
        <v>104</v>
      </c>
      <c r="D6" s="7"/>
      <c r="E6" s="7"/>
      <c r="F6" s="7"/>
      <c r="G6" s="7"/>
      <c r="H6" s="7"/>
      <c r="I6" s="7"/>
    </row>
    <row r="7" spans="2:9" ht="10.199999999999999" customHeight="1" thickTop="1" x14ac:dyDescent="0.3"/>
    <row r="8" spans="2:9" x14ac:dyDescent="0.3">
      <c r="D8" s="9" t="s">
        <v>4</v>
      </c>
      <c r="E8" s="10" t="s">
        <v>5</v>
      </c>
      <c r="H8" s="9" t="s">
        <v>8</v>
      </c>
      <c r="I8" s="10" t="s">
        <v>9</v>
      </c>
    </row>
    <row r="9" spans="2:9" ht="1.95" customHeight="1" x14ac:dyDescent="0.3">
      <c r="D9" s="11"/>
      <c r="E9" s="12"/>
      <c r="H9" s="11"/>
      <c r="I9" s="12"/>
    </row>
    <row r="10" spans="2:9" x14ac:dyDescent="0.3">
      <c r="D10" s="9" t="s">
        <v>6</v>
      </c>
      <c r="E10" s="10" t="s">
        <v>7</v>
      </c>
      <c r="H10" s="9" t="s">
        <v>10</v>
      </c>
      <c r="I10" s="10" t="s">
        <v>11</v>
      </c>
    </row>
    <row r="12" spans="2:9" ht="19.2" customHeight="1" x14ac:dyDescent="0.3">
      <c r="C12" s="67" t="s">
        <v>252</v>
      </c>
      <c r="D12" s="67"/>
      <c r="E12" s="67"/>
      <c r="F12" s="67"/>
      <c r="H12" s="67" t="s">
        <v>107</v>
      </c>
      <c r="I12" s="67"/>
    </row>
    <row r="13" spans="2:9" ht="4.2" customHeight="1" x14ac:dyDescent="0.3"/>
    <row r="14" spans="2:9" ht="37.200000000000003" customHeight="1" x14ac:dyDescent="0.3">
      <c r="C14" s="13" t="s">
        <v>76</v>
      </c>
      <c r="D14" s="13" t="s">
        <v>77</v>
      </c>
      <c r="E14" s="13" t="s">
        <v>78</v>
      </c>
      <c r="F14" s="13" t="s">
        <v>79</v>
      </c>
      <c r="H14" s="13" t="s">
        <v>94</v>
      </c>
      <c r="I14" s="13" t="s">
        <v>95</v>
      </c>
    </row>
    <row r="15" spans="2:9" ht="39.6" customHeight="1" x14ac:dyDescent="0.3">
      <c r="C15" s="15" t="s">
        <v>80</v>
      </c>
      <c r="D15" s="14" t="s">
        <v>81</v>
      </c>
      <c r="E15" s="14" t="s">
        <v>82</v>
      </c>
      <c r="F15" s="14" t="s">
        <v>83</v>
      </c>
      <c r="H15" s="15" t="s">
        <v>96</v>
      </c>
      <c r="I15" s="14" t="s">
        <v>97</v>
      </c>
    </row>
    <row r="16" spans="2:9" ht="45" customHeight="1" x14ac:dyDescent="0.3">
      <c r="C16" s="15" t="s">
        <v>84</v>
      </c>
      <c r="D16" s="14" t="s">
        <v>29</v>
      </c>
      <c r="E16" s="14" t="s">
        <v>85</v>
      </c>
      <c r="F16" s="14" t="s">
        <v>86</v>
      </c>
      <c r="H16" s="15" t="s">
        <v>98</v>
      </c>
      <c r="I16" s="14" t="s">
        <v>99</v>
      </c>
    </row>
    <row r="17" spans="3:9" ht="43.2" x14ac:dyDescent="0.3">
      <c r="C17" s="15" t="s">
        <v>87</v>
      </c>
      <c r="D17" s="14" t="s">
        <v>33</v>
      </c>
      <c r="E17" s="14" t="s">
        <v>88</v>
      </c>
      <c r="F17" s="14" t="s">
        <v>89</v>
      </c>
      <c r="H17" s="15" t="s">
        <v>100</v>
      </c>
      <c r="I17" s="14" t="s">
        <v>101</v>
      </c>
    </row>
    <row r="18" spans="3:9" ht="57.6" x14ac:dyDescent="0.3">
      <c r="C18" s="15" t="s">
        <v>90</v>
      </c>
      <c r="D18" s="14" t="s">
        <v>91</v>
      </c>
      <c r="E18" s="14" t="s">
        <v>92</v>
      </c>
      <c r="F18" s="14" t="s">
        <v>93</v>
      </c>
      <c r="H18" s="15" t="s">
        <v>102</v>
      </c>
      <c r="I18" s="14" t="s">
        <v>103</v>
      </c>
    </row>
    <row r="19" spans="3:9" ht="21" customHeight="1" x14ac:dyDescent="0.3"/>
    <row r="20" spans="3:9" ht="21" customHeight="1" x14ac:dyDescent="0.3"/>
    <row r="21" spans="3:9" ht="21" customHeight="1" x14ac:dyDescent="0.3"/>
    <row r="22" spans="3:9" ht="21" customHeight="1" x14ac:dyDescent="0.3"/>
    <row r="23" spans="3:9" ht="21" customHeight="1" x14ac:dyDescent="0.3"/>
    <row r="24" spans="3:9" ht="21" customHeight="1" x14ac:dyDescent="0.3"/>
    <row r="25" spans="3:9" ht="21" customHeight="1" x14ac:dyDescent="0.3"/>
    <row r="26" spans="3:9" ht="21" customHeight="1" x14ac:dyDescent="0.3"/>
    <row r="27" spans="3:9" ht="21" customHeight="1" x14ac:dyDescent="0.3"/>
    <row r="28" spans="3:9" ht="21" customHeight="1" x14ac:dyDescent="0.3"/>
    <row r="29" spans="3:9" ht="21" customHeight="1" x14ac:dyDescent="0.3"/>
    <row r="30" spans="3:9" ht="21" customHeight="1" x14ac:dyDescent="0.3"/>
    <row r="31" spans="3:9" ht="21" customHeight="1" x14ac:dyDescent="0.3"/>
    <row r="32" spans="3:9"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sheetData>
  <mergeCells count="2">
    <mergeCell ref="C12:F12"/>
    <mergeCell ref="H12:I12"/>
  </mergeCells>
  <conditionalFormatting sqref="F15:F18">
    <cfRule type="expression" dxfId="111" priority="11">
      <formula>#REF!="Très critique"</formula>
    </cfRule>
    <cfRule type="expression" dxfId="110" priority="12">
      <formula>#REF!="Critique"</formula>
    </cfRule>
    <cfRule type="expression" dxfId="109" priority="13">
      <formula>#REF!="Modéré"</formula>
    </cfRule>
  </conditionalFormatting>
  <pageMargins left="0.7" right="0.7" top="0.75" bottom="0.75" header="0.3" footer="0.3"/>
  <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A947-56B9-402E-A5E0-3D721A741B85}">
  <sheetPr codeName="ShRegRisques">
    <tabColor rgb="FFFFC000"/>
  </sheetPr>
  <dimension ref="B1:N93"/>
  <sheetViews>
    <sheetView showGridLines="0" workbookViewId="0">
      <selection activeCell="K11" sqref="K11"/>
    </sheetView>
  </sheetViews>
  <sheetFormatPr defaultColWidth="8.88671875" defaultRowHeight="14.4" x14ac:dyDescent="0.3"/>
  <cols>
    <col min="1" max="1" width="3.109375" customWidth="1"/>
    <col min="2" max="2" width="7" bestFit="1" customWidth="1"/>
    <col min="3" max="3" width="5.5546875" style="56" hidden="1" customWidth="1"/>
    <col min="4" max="4" width="9.33203125" style="56" hidden="1" customWidth="1"/>
    <col min="5" max="5" width="22.33203125" customWidth="1"/>
    <col min="6" max="6" width="43.33203125" customWidth="1"/>
    <col min="7" max="7" width="17" customWidth="1"/>
    <col min="8" max="8" width="17.44140625" customWidth="1"/>
    <col min="9" max="9" width="19.109375" customWidth="1"/>
    <col min="10" max="10" width="13.5546875" customWidth="1"/>
    <col min="11" max="11" width="10.6640625" customWidth="1"/>
    <col min="12" max="12" width="15.6640625" customWidth="1"/>
    <col min="13" max="13" width="52.33203125" customWidth="1"/>
    <col min="14" max="14" width="44.33203125" customWidth="1"/>
    <col min="15" max="17" width="8.88671875" customWidth="1"/>
  </cols>
  <sheetData>
    <row r="1" spans="2:14" ht="19.95" customHeight="1" x14ac:dyDescent="0.3">
      <c r="F1" s="9" t="s">
        <v>4</v>
      </c>
      <c r="G1" s="10" t="s">
        <v>5</v>
      </c>
      <c r="H1" s="9" t="s">
        <v>8</v>
      </c>
      <c r="I1" s="9"/>
      <c r="J1" s="10" t="s">
        <v>9</v>
      </c>
      <c r="K1" s="10"/>
      <c r="M1" s="1" t="s">
        <v>0</v>
      </c>
      <c r="N1" s="2">
        <v>44893</v>
      </c>
    </row>
    <row r="2" spans="2:14" ht="14.4" hidden="1" customHeight="1" x14ac:dyDescent="0.3">
      <c r="F2" s="11"/>
      <c r="G2" s="12"/>
      <c r="H2" s="11"/>
      <c r="I2" s="11"/>
      <c r="J2" s="12"/>
      <c r="K2" s="12"/>
      <c r="M2" s="3"/>
      <c r="N2" s="4"/>
    </row>
    <row r="3" spans="2:14" ht="19.95" customHeight="1" x14ac:dyDescent="0.3">
      <c r="F3" s="9" t="s">
        <v>6</v>
      </c>
      <c r="G3" s="10" t="s">
        <v>7</v>
      </c>
      <c r="H3" s="9" t="s">
        <v>10</v>
      </c>
      <c r="I3" s="9"/>
      <c r="J3" s="10" t="s">
        <v>11</v>
      </c>
      <c r="K3" s="10"/>
      <c r="M3" s="1" t="s">
        <v>1</v>
      </c>
      <c r="N3" s="2"/>
    </row>
    <row r="4" spans="2:14" ht="14.4" hidden="1" customHeight="1" x14ac:dyDescent="0.3">
      <c r="M4" s="3"/>
      <c r="N4" s="4"/>
    </row>
    <row r="5" spans="2:14" ht="19.95" customHeight="1" thickBot="1" x14ac:dyDescent="0.35">
      <c r="M5" s="5" t="s">
        <v>2</v>
      </c>
      <c r="N5" s="6" t="s">
        <v>3</v>
      </c>
    </row>
    <row r="6" spans="2:14" ht="28.2" customHeight="1" thickTop="1" thickBot="1" x14ac:dyDescent="0.35">
      <c r="B6" s="7"/>
      <c r="C6" s="55"/>
      <c r="D6" s="55"/>
      <c r="E6" s="8" t="s">
        <v>12</v>
      </c>
      <c r="F6" s="7"/>
      <c r="G6" s="7"/>
      <c r="H6" s="7"/>
      <c r="I6" s="7"/>
      <c r="J6" s="7"/>
      <c r="K6" s="7"/>
      <c r="L6" s="7"/>
      <c r="M6" s="7"/>
      <c r="N6" s="7"/>
    </row>
    <row r="7" spans="2:14" ht="10.199999999999999" customHeight="1" thickTop="1" x14ac:dyDescent="0.3"/>
    <row r="8" spans="2:14" hidden="1" x14ac:dyDescent="0.3"/>
    <row r="9" spans="2:14" ht="1.95" hidden="1" customHeight="1" x14ac:dyDescent="0.3"/>
    <row r="10" spans="2:14" hidden="1" x14ac:dyDescent="0.3"/>
    <row r="11" spans="2:14" ht="34.200000000000003" customHeight="1" x14ac:dyDescent="0.3"/>
    <row r="12" spans="2:14" ht="37.200000000000003" customHeight="1" x14ac:dyDescent="0.3">
      <c r="B12" s="13" t="s">
        <v>13</v>
      </c>
      <c r="C12" s="53" t="s">
        <v>62</v>
      </c>
      <c r="D12" s="53" t="s">
        <v>75</v>
      </c>
      <c r="E12" s="13" t="s">
        <v>14</v>
      </c>
      <c r="F12" s="13" t="s">
        <v>15</v>
      </c>
      <c r="G12" s="13" t="s">
        <v>54</v>
      </c>
      <c r="H12" s="13" t="s">
        <v>16</v>
      </c>
      <c r="I12" s="13" t="s">
        <v>17</v>
      </c>
      <c r="J12" s="13" t="s">
        <v>18</v>
      </c>
      <c r="K12" s="13" t="s">
        <v>19</v>
      </c>
      <c r="L12" s="13" t="s">
        <v>20</v>
      </c>
      <c r="M12" s="13" t="s">
        <v>21</v>
      </c>
      <c r="N12" s="13" t="s">
        <v>63</v>
      </c>
    </row>
    <row r="13" spans="2:14" ht="28.8" hidden="1" x14ac:dyDescent="0.3">
      <c r="B13" s="13" t="s">
        <v>13</v>
      </c>
      <c r="C13" s="53" t="s">
        <v>62</v>
      </c>
      <c r="D13" s="53" t="s">
        <v>75</v>
      </c>
      <c r="E13" s="13" t="s">
        <v>14</v>
      </c>
      <c r="F13" s="13" t="s">
        <v>15</v>
      </c>
      <c r="G13" s="13" t="s">
        <v>54</v>
      </c>
      <c r="H13" s="13" t="s">
        <v>16</v>
      </c>
      <c r="I13" s="13" t="s">
        <v>17</v>
      </c>
      <c r="J13" s="13" t="s">
        <v>18</v>
      </c>
      <c r="K13" s="13" t="s">
        <v>19</v>
      </c>
      <c r="L13" s="13" t="s">
        <v>20</v>
      </c>
      <c r="M13" s="13" t="s">
        <v>21</v>
      </c>
      <c r="N13" s="13" t="s">
        <v>22</v>
      </c>
    </row>
    <row r="14" spans="2:14" ht="57.6" x14ac:dyDescent="0.3">
      <c r="B14" s="15" t="str">
        <f>"R" &amp; ROW() - ROW(TabRegistresRisques[[#Headers],[ID]])</f>
        <v>R1</v>
      </c>
      <c r="C14" s="54">
        <f>IFERROR(VLOOKUP(TabRegistresRisques[[#This Row],[Gravité]],TabGravite[],2,FALSE) * VLOOKUP(TabRegistresRisques[[#This Row],[Probabilité]],TabProbabilite[],2,FALSE),"")</f>
        <v>3</v>
      </c>
      <c r="D14" s="54" t="str">
        <f>IFERROR("Matrice" &amp; MATCH(TabRegistresRisques[[#This Row],[Gravité]],TabGravite[Gravité],0) &amp; COUNTA(TabProbabilite[Probabilité])-MATCH(TabRegistresRisques[[#This Row],[Probabilité]],TabProbabilite[Probabilité],0) + 1,"")</f>
        <v>Matrice21</v>
      </c>
      <c r="E14" s="14" t="s">
        <v>28</v>
      </c>
      <c r="F14" s="14" t="s">
        <v>63</v>
      </c>
      <c r="G14" s="15" t="s">
        <v>59</v>
      </c>
      <c r="H14" s="15" t="s">
        <v>24</v>
      </c>
      <c r="I14" s="15" t="str" cm="1">
        <f t="array" aca="1" ref="I14" ca="1">IFERROR(INDEX(TabCriticite[],FindValueInRange(TabRegistresRisques[[#This Row],[Poids]],TabCriticite[]),2),"")</f>
        <v>Critique</v>
      </c>
      <c r="J14" s="15" t="s">
        <v>38</v>
      </c>
      <c r="K14" s="15" t="s">
        <v>27</v>
      </c>
      <c r="L14" s="14" t="s">
        <v>109</v>
      </c>
      <c r="M14" s="14" t="s">
        <v>110</v>
      </c>
      <c r="N14" s="14" t="s">
        <v>111</v>
      </c>
    </row>
    <row r="15" spans="2:14" ht="28.8" x14ac:dyDescent="0.3">
      <c r="B15" s="15" t="str">
        <f>"R" &amp; ROW() - ROW(TabRegistresRisques[[#Headers],[ID]])</f>
        <v>R2</v>
      </c>
      <c r="C15" s="54">
        <f>IFERROR(VLOOKUP(TabRegistresRisques[[#This Row],[Gravité]],TabGravite[],2,FALSE) * VLOOKUP(TabRegistresRisques[[#This Row],[Probabilité]],TabProbabilite[],2,FALSE),"")</f>
        <v>12</v>
      </c>
      <c r="D15" s="54" t="str">
        <f>IFERROR("Matrice" &amp; MATCH(TabRegistresRisques[[#This Row],[Gravité]],TabGravite[Gravité],0) &amp; COUNTA(TabProbabilite[Probabilité])-MATCH(TabRegistresRisques[[#This Row],[Probabilité]],TabProbabilite[Probabilité],0) + 1,"")</f>
        <v>Matrice24</v>
      </c>
      <c r="E15" s="14" t="s">
        <v>37</v>
      </c>
      <c r="F15" s="14" t="s">
        <v>112</v>
      </c>
      <c r="G15" s="15" t="s">
        <v>59</v>
      </c>
      <c r="H15" s="15" t="s">
        <v>39</v>
      </c>
      <c r="I15" s="15" t="str" cm="1">
        <f t="array" aca="1" ref="I15" ca="1">IFERROR(INDEX(TabCriticite[],FindValueInRange(TabRegistresRisques[[#This Row],[Poids]],TabCriticite[]),2),"")</f>
        <v>Très critique</v>
      </c>
      <c r="J15" s="15" t="s">
        <v>31</v>
      </c>
      <c r="K15" s="15" t="s">
        <v>32</v>
      </c>
      <c r="L15" s="14" t="s">
        <v>113</v>
      </c>
      <c r="M15" s="14" t="s">
        <v>114</v>
      </c>
      <c r="N15" s="14" t="s">
        <v>115</v>
      </c>
    </row>
    <row r="16" spans="2:14" ht="28.8" x14ac:dyDescent="0.3">
      <c r="B16" s="15" t="str">
        <f>"R" &amp; ROW() - ROW(TabRegistresRisques[[#Headers],[ID]])</f>
        <v>R3</v>
      </c>
      <c r="C16" s="54">
        <f>IFERROR(VLOOKUP(TabRegistresRisques[[#This Row],[Gravité]],TabGravite[],2,FALSE) * VLOOKUP(TabRegistresRisques[[#This Row],[Probabilité]],TabProbabilite[],2,FALSE),"")</f>
        <v>16</v>
      </c>
      <c r="D16" s="54" t="str">
        <f>IFERROR("Matrice" &amp; MATCH(TabRegistresRisques[[#This Row],[Gravité]],TabGravite[Gravité],0) &amp; COUNTA(TabProbabilite[Probabilité])-MATCH(TabRegistresRisques[[#This Row],[Probabilité]],TabProbabilite[Probabilité],0) + 1,"")</f>
        <v>Matrice14</v>
      </c>
      <c r="E16" s="14" t="s">
        <v>28</v>
      </c>
      <c r="F16" s="14" t="s">
        <v>116</v>
      </c>
      <c r="G16" s="15" t="s">
        <v>58</v>
      </c>
      <c r="H16" s="15" t="s">
        <v>39</v>
      </c>
      <c r="I16" s="15" t="str" cm="1">
        <f t="array" aca="1" ref="I16" ca="1">IFERROR(INDEX(TabCriticite[],FindValueInRange(TabRegistresRisques[[#This Row],[Poids]],TabCriticite[]),2),"")</f>
        <v>Très critique</v>
      </c>
      <c r="J16" s="15" t="s">
        <v>31</v>
      </c>
      <c r="K16" s="15" t="s">
        <v>27</v>
      </c>
      <c r="L16" s="14" t="s">
        <v>117</v>
      </c>
      <c r="M16" s="14" t="s">
        <v>118</v>
      </c>
      <c r="N16" s="14" t="s">
        <v>119</v>
      </c>
    </row>
    <row r="17" spans="2:14" ht="57.6" x14ac:dyDescent="0.3">
      <c r="B17" s="15" t="str">
        <f>"R" &amp; ROW() - ROW(TabRegistresRisques[[#Headers],[ID]])</f>
        <v>R4</v>
      </c>
      <c r="C17" s="54">
        <f>IFERROR(VLOOKUP(TabRegistresRisques[[#This Row],[Gravité]],TabGravite[],2,FALSE) * VLOOKUP(TabRegistresRisques[[#This Row],[Probabilité]],TabProbabilite[],2,FALSE),"")</f>
        <v>6</v>
      </c>
      <c r="D17" s="54" t="str">
        <f>IFERROR("Matrice" &amp; MATCH(TabRegistresRisques[[#This Row],[Gravité]],TabGravite[Gravité],0) &amp; COUNTA(TabProbabilite[Probabilité])-MATCH(TabRegistresRisques[[#This Row],[Probabilité]],TabProbabilite[Probabilité],0) + 1,"")</f>
        <v>Matrice22</v>
      </c>
      <c r="E17" s="14" t="s">
        <v>23</v>
      </c>
      <c r="F17" s="14" t="s">
        <v>120</v>
      </c>
      <c r="G17" s="15" t="s">
        <v>59</v>
      </c>
      <c r="H17" s="15" t="s">
        <v>29</v>
      </c>
      <c r="I17" s="15" t="str" cm="1">
        <f t="array" aca="1" ref="I17" ca="1">IFERROR(INDEX(TabCriticite[],FindValueInRange(TabRegistresRisques[[#This Row],[Poids]],TabCriticite[]),2),"")</f>
        <v>Critique</v>
      </c>
      <c r="J17" s="15" t="s">
        <v>26</v>
      </c>
      <c r="K17" s="15" t="s">
        <v>34</v>
      </c>
      <c r="L17" s="14" t="s">
        <v>113</v>
      </c>
      <c r="M17" s="14" t="s">
        <v>121</v>
      </c>
      <c r="N17" s="14" t="s">
        <v>122</v>
      </c>
    </row>
    <row r="18" spans="2:14" ht="57.6" x14ac:dyDescent="0.3">
      <c r="B18" s="15" t="str">
        <f>"R" &amp; ROW() - ROW(TabRegistresRisques[[#Headers],[ID]])</f>
        <v>R5</v>
      </c>
      <c r="C18" s="54">
        <f>IFERROR(VLOOKUP(TabRegistresRisques[[#This Row],[Gravité]],TabGravite[],2,FALSE) * VLOOKUP(TabRegistresRisques[[#This Row],[Probabilité]],TabProbabilite[],2,FALSE),"")</f>
        <v>8</v>
      </c>
      <c r="D18" s="54" t="str">
        <f>IFERROR("Matrice" &amp; MATCH(TabRegistresRisques[[#This Row],[Gravité]],TabGravite[Gravité],0) &amp; COUNTA(TabProbabilite[Probabilité])-MATCH(TabRegistresRisques[[#This Row],[Probabilité]],TabProbabilite[Probabilité],0) + 1,"")</f>
        <v>Matrice34</v>
      </c>
      <c r="E18" s="14" t="s">
        <v>28</v>
      </c>
      <c r="F18" s="14" t="s">
        <v>123</v>
      </c>
      <c r="G18" s="15" t="s">
        <v>60</v>
      </c>
      <c r="H18" s="15" t="s">
        <v>39</v>
      </c>
      <c r="I18" s="15" t="str" cm="1">
        <f t="array" aca="1" ref="I18" ca="1">IFERROR(INDEX(TabCriticite[],FindValueInRange(TabRegistresRisques[[#This Row],[Poids]],TabCriticite[]),2),"")</f>
        <v>Critique</v>
      </c>
      <c r="J18" s="15" t="s">
        <v>26</v>
      </c>
      <c r="K18" s="15" t="s">
        <v>34</v>
      </c>
      <c r="L18" s="14" t="s">
        <v>109</v>
      </c>
      <c r="M18" s="14" t="s">
        <v>124</v>
      </c>
      <c r="N18" s="14" t="s">
        <v>125</v>
      </c>
    </row>
    <row r="19" spans="2:14" ht="43.2" x14ac:dyDescent="0.3">
      <c r="B19" s="15" t="str">
        <f>"R" &amp; ROW() - ROW(TabRegistresRisques[[#Headers],[ID]])</f>
        <v>R6</v>
      </c>
      <c r="C19" s="54">
        <f>IFERROR(VLOOKUP(TabRegistresRisques[[#This Row],[Gravité]],TabGravite[],2,FALSE) * VLOOKUP(TabRegistresRisques[[#This Row],[Probabilité]],TabProbabilite[],2,FALSE),"")</f>
        <v>3</v>
      </c>
      <c r="D19" s="54" t="str">
        <f>IFERROR("Matrice" &amp; MATCH(TabRegistresRisques[[#This Row],[Gravité]],TabGravite[Gravité],0) &amp; COUNTA(TabProbabilite[Probabilité])-MATCH(TabRegistresRisques[[#This Row],[Probabilité]],TabProbabilite[Probabilité],0) + 1,"")</f>
        <v>Matrice21</v>
      </c>
      <c r="E19" s="14" t="s">
        <v>23</v>
      </c>
      <c r="F19" s="14" t="s">
        <v>126</v>
      </c>
      <c r="G19" s="15" t="s">
        <v>59</v>
      </c>
      <c r="H19" s="15" t="s">
        <v>24</v>
      </c>
      <c r="I19" s="15" t="str" cm="1">
        <f t="array" aca="1" ref="I19" ca="1">IFERROR(INDEX(TabCriticite[],FindValueInRange(TabRegistresRisques[[#This Row],[Poids]],TabCriticite[]),2),"")</f>
        <v>Critique</v>
      </c>
      <c r="J19" s="15" t="s">
        <v>26</v>
      </c>
      <c r="K19" s="15" t="s">
        <v>27</v>
      </c>
      <c r="L19" s="14" t="s">
        <v>113</v>
      </c>
      <c r="M19" s="14" t="s">
        <v>127</v>
      </c>
      <c r="N19" s="14" t="s">
        <v>125</v>
      </c>
    </row>
    <row r="20" spans="2:14" ht="43.2" x14ac:dyDescent="0.3">
      <c r="B20" s="15" t="str">
        <f>"R" &amp; ROW() - ROW(TabRegistresRisques[[#Headers],[ID]])</f>
        <v>R7</v>
      </c>
      <c r="C20" s="54">
        <f>IFERROR(VLOOKUP(TabRegistresRisques[[#This Row],[Gravité]],TabGravite[],2,FALSE) * VLOOKUP(TabRegistresRisques[[#This Row],[Probabilité]],TabProbabilite[],2,FALSE),"")</f>
        <v>4</v>
      </c>
      <c r="D20" s="54" t="str">
        <f>IFERROR("Matrice" &amp; MATCH(TabRegistresRisques[[#This Row],[Gravité]],TabGravite[Gravité],0) &amp; COUNTA(TabProbabilite[Probabilité])-MATCH(TabRegistresRisques[[#This Row],[Probabilité]],TabProbabilite[Probabilité],0) + 1,"")</f>
        <v>Matrice44</v>
      </c>
      <c r="E20" s="14" t="s">
        <v>23</v>
      </c>
      <c r="F20" s="14" t="s">
        <v>128</v>
      </c>
      <c r="G20" s="15" t="s">
        <v>61</v>
      </c>
      <c r="H20" s="15" t="s">
        <v>39</v>
      </c>
      <c r="I20" s="15" t="str" cm="1">
        <f t="array" aca="1" ref="I20" ca="1">IFERROR(INDEX(TabCriticite[],FindValueInRange(TabRegistresRisques[[#This Row],[Poids]],TabCriticite[]),2),"")</f>
        <v>Critique</v>
      </c>
      <c r="J20" s="15" t="s">
        <v>26</v>
      </c>
      <c r="K20" s="15" t="s">
        <v>34</v>
      </c>
      <c r="L20" s="14" t="s">
        <v>113</v>
      </c>
      <c r="M20" s="14" t="s">
        <v>129</v>
      </c>
      <c r="N20" s="14" t="s">
        <v>130</v>
      </c>
    </row>
    <row r="21" spans="2:14" ht="57.6" x14ac:dyDescent="0.3">
      <c r="B21" s="15" t="str">
        <f>"R" &amp; ROW() - ROW(TabRegistresRisques[[#Headers],[ID]])</f>
        <v>R8</v>
      </c>
      <c r="C21" s="54">
        <f>IFERROR(VLOOKUP(TabRegistresRisques[[#This Row],[Gravité]],TabGravite[],2,FALSE) * VLOOKUP(TabRegistresRisques[[#This Row],[Probabilité]],TabProbabilite[],2,FALSE),"")</f>
        <v>1</v>
      </c>
      <c r="D21" s="54" t="str">
        <f>IFERROR("Matrice" &amp; MATCH(TabRegistresRisques[[#This Row],[Gravité]],TabGravite[Gravité],0) &amp; COUNTA(TabProbabilite[Probabilité])-MATCH(TabRegistresRisques[[#This Row],[Probabilité]],TabProbabilite[Probabilité],0) + 1,"")</f>
        <v>Matrice41</v>
      </c>
      <c r="E21" s="14" t="s">
        <v>28</v>
      </c>
      <c r="F21" s="14" t="s">
        <v>131</v>
      </c>
      <c r="G21" s="15" t="s">
        <v>61</v>
      </c>
      <c r="H21" s="15" t="s">
        <v>24</v>
      </c>
      <c r="I21" s="15" t="str" cm="1">
        <f t="array" aca="1" ref="I21" ca="1">IFERROR(INDEX(TabCriticite[],FindValueInRange(TabRegistresRisques[[#This Row],[Poids]],TabCriticite[]),2),"")</f>
        <v>Modéré</v>
      </c>
      <c r="J21" s="15" t="s">
        <v>36</v>
      </c>
      <c r="K21" s="15" t="s">
        <v>34</v>
      </c>
      <c r="L21" s="14" t="s">
        <v>113</v>
      </c>
      <c r="M21" s="14" t="s">
        <v>132</v>
      </c>
      <c r="N21" s="14" t="s">
        <v>133</v>
      </c>
    </row>
    <row r="22" spans="2:14" ht="57.6" x14ac:dyDescent="0.3">
      <c r="B22" s="15" t="str">
        <f>"R" &amp; ROW() - ROW(TabRegistresRisques[[#Headers],[ID]])</f>
        <v>R9</v>
      </c>
      <c r="C22" s="54">
        <f>IFERROR(VLOOKUP(TabRegistresRisques[[#This Row],[Gravité]],TabGravite[],2,FALSE) * VLOOKUP(TabRegistresRisques[[#This Row],[Probabilité]],TabProbabilite[],2,FALSE),"")</f>
        <v>1</v>
      </c>
      <c r="D22" s="54" t="str">
        <f>IFERROR("Matrice" &amp; MATCH(TabRegistresRisques[[#This Row],[Gravité]],TabGravite[Gravité],0) &amp; COUNTA(TabProbabilite[Probabilité])-MATCH(TabRegistresRisques[[#This Row],[Probabilité]],TabProbabilite[Probabilité],0) + 1,"")</f>
        <v>Matrice41</v>
      </c>
      <c r="E22" s="14" t="s">
        <v>37</v>
      </c>
      <c r="F22" s="14" t="s">
        <v>134</v>
      </c>
      <c r="G22" s="15" t="s">
        <v>61</v>
      </c>
      <c r="H22" s="15" t="s">
        <v>24</v>
      </c>
      <c r="I22" s="15" t="str" cm="1">
        <f t="array" aca="1" ref="I22" ca="1">IFERROR(INDEX(TabCriticite[],FindValueInRange(TabRegistresRisques[[#This Row],[Poids]],TabCriticite[]),2),"")</f>
        <v>Modéré</v>
      </c>
      <c r="J22" s="15" t="s">
        <v>26</v>
      </c>
      <c r="K22" s="15" t="s">
        <v>27</v>
      </c>
      <c r="L22" s="14" t="s">
        <v>113</v>
      </c>
      <c r="M22" s="14" t="s">
        <v>135</v>
      </c>
      <c r="N22" s="14" t="s">
        <v>136</v>
      </c>
    </row>
    <row r="23" spans="2:14" ht="57.6" x14ac:dyDescent="0.3">
      <c r="B23" s="15" t="str">
        <f>"R" &amp; ROW() - ROW(TabRegistresRisques[[#Headers],[ID]])</f>
        <v>R10</v>
      </c>
      <c r="C23" s="54">
        <f>IFERROR(VLOOKUP(TabRegistresRisques[[#This Row],[Gravité]],TabGravite[],2,FALSE) * VLOOKUP(TabRegistresRisques[[#This Row],[Probabilité]],TabProbabilite[],2,FALSE),"")</f>
        <v>1</v>
      </c>
      <c r="D23" s="54" t="str">
        <f>IFERROR("Matrice" &amp; MATCH(TabRegistresRisques[[#This Row],[Gravité]],TabGravite[Gravité],0) &amp; COUNTA(TabProbabilite[Probabilité])-MATCH(TabRegistresRisques[[#This Row],[Probabilité]],TabProbabilite[Probabilité],0) + 1,"")</f>
        <v>Matrice41</v>
      </c>
      <c r="E23" s="14" t="s">
        <v>37</v>
      </c>
      <c r="F23" s="14" t="s">
        <v>137</v>
      </c>
      <c r="G23" s="15" t="s">
        <v>61</v>
      </c>
      <c r="H23" s="15" t="s">
        <v>24</v>
      </c>
      <c r="I23" s="15" t="str" cm="1">
        <f t="array" aca="1" ref="I23" ca="1">IFERROR(INDEX(TabCriticite[],FindValueInRange(TabRegistresRisques[[#This Row],[Poids]],TabCriticite[]),2),"")</f>
        <v>Modéré</v>
      </c>
      <c r="J23" s="15" t="s">
        <v>38</v>
      </c>
      <c r="K23" s="15" t="s">
        <v>27</v>
      </c>
      <c r="L23" s="14" t="s">
        <v>109</v>
      </c>
      <c r="M23" s="14" t="s">
        <v>138</v>
      </c>
      <c r="N23" s="14" t="s">
        <v>139</v>
      </c>
    </row>
    <row r="24" spans="2:14" ht="43.2" x14ac:dyDescent="0.3">
      <c r="B24" s="15" t="str">
        <f>"R" &amp; ROW() - ROW(TabRegistresRisques[[#Headers],[ID]])</f>
        <v>R11</v>
      </c>
      <c r="C24" s="54">
        <f>IFERROR(VLOOKUP(TabRegistresRisques[[#This Row],[Gravité]],TabGravite[],2,FALSE) * VLOOKUP(TabRegistresRisques[[#This Row],[Probabilité]],TabProbabilite[],2,FALSE),"")</f>
        <v>1</v>
      </c>
      <c r="D24" s="54" t="str">
        <f>IFERROR("Matrice" &amp; MATCH(TabRegistresRisques[[#This Row],[Gravité]],TabGravite[Gravité],0) &amp; COUNTA(TabProbabilite[Probabilité])-MATCH(TabRegistresRisques[[#This Row],[Probabilité]],TabProbabilite[Probabilité],0) + 1,"")</f>
        <v>Matrice41</v>
      </c>
      <c r="E24" s="14" t="s">
        <v>37</v>
      </c>
      <c r="F24" s="14" t="s">
        <v>140</v>
      </c>
      <c r="G24" s="15" t="s">
        <v>61</v>
      </c>
      <c r="H24" s="15" t="s">
        <v>24</v>
      </c>
      <c r="I24" s="15" t="str" cm="1">
        <f t="array" aca="1" ref="I24" ca="1">IFERROR(INDEX(TabCriticite[],FindValueInRange(TabRegistresRisques[[#This Row],[Poids]],TabCriticite[]),2),"")</f>
        <v>Modéré</v>
      </c>
      <c r="J24" s="15" t="s">
        <v>36</v>
      </c>
      <c r="K24" s="15" t="s">
        <v>34</v>
      </c>
      <c r="L24" s="14" t="s">
        <v>113</v>
      </c>
      <c r="M24" s="14" t="s">
        <v>141</v>
      </c>
      <c r="N24" s="14" t="s">
        <v>142</v>
      </c>
    </row>
    <row r="25" spans="2:14" ht="43.2" x14ac:dyDescent="0.3">
      <c r="B25" s="15" t="str">
        <f>"R" &amp; ROW() - ROW(TabRegistresRisques[[#Headers],[ID]])</f>
        <v>R12</v>
      </c>
      <c r="C25" s="54">
        <f>IFERROR(VLOOKUP(TabRegistresRisques[[#This Row],[Gravité]],TabGravite[],2,FALSE) * VLOOKUP(TabRegistresRisques[[#This Row],[Probabilité]],TabProbabilite[],2,FALSE),"")</f>
        <v>1</v>
      </c>
      <c r="D25" s="54" t="str">
        <f>IFERROR("Matrice" &amp; MATCH(TabRegistresRisques[[#This Row],[Gravité]],TabGravite[Gravité],0) &amp; COUNTA(TabProbabilite[Probabilité])-MATCH(TabRegistresRisques[[#This Row],[Probabilité]],TabProbabilite[Probabilité],0) + 1,"")</f>
        <v>Matrice41</v>
      </c>
      <c r="E25" s="14" t="s">
        <v>23</v>
      </c>
      <c r="F25" s="14" t="s">
        <v>143</v>
      </c>
      <c r="G25" s="15" t="s">
        <v>61</v>
      </c>
      <c r="H25" s="15" t="s">
        <v>24</v>
      </c>
      <c r="I25" s="15" t="str" cm="1">
        <f t="array" aca="1" ref="I25" ca="1">IFERROR(INDEX(TabCriticite[],FindValueInRange(TabRegistresRisques[[#This Row],[Poids]],TabCriticite[]),2),"")</f>
        <v>Modéré</v>
      </c>
      <c r="J25" s="15" t="s">
        <v>36</v>
      </c>
      <c r="K25" s="15" t="s">
        <v>27</v>
      </c>
      <c r="L25" s="14" t="s">
        <v>144</v>
      </c>
      <c r="M25" s="14" t="s">
        <v>145</v>
      </c>
      <c r="N25" s="14" t="s">
        <v>146</v>
      </c>
    </row>
    <row r="26" spans="2:14" ht="43.2" x14ac:dyDescent="0.3">
      <c r="B26" s="15" t="str">
        <f>"R" &amp; ROW() - ROW(TabRegistresRisques[[#Headers],[ID]])</f>
        <v>R13</v>
      </c>
      <c r="C26" s="54">
        <f>IFERROR(VLOOKUP(TabRegistresRisques[[#This Row],[Gravité]],TabGravite[],2,FALSE) * VLOOKUP(TabRegistresRisques[[#This Row],[Probabilité]],TabProbabilite[],2,FALSE),"")</f>
        <v>1</v>
      </c>
      <c r="D26" s="54" t="str">
        <f>IFERROR("Matrice" &amp; MATCH(TabRegistresRisques[[#This Row],[Gravité]],TabGravite[Gravité],0) &amp; COUNTA(TabProbabilite[Probabilité])-MATCH(TabRegistresRisques[[#This Row],[Probabilité]],TabProbabilite[Probabilité],0) + 1,"")</f>
        <v>Matrice41</v>
      </c>
      <c r="E26" s="14" t="s">
        <v>28</v>
      </c>
      <c r="F26" s="14" t="s">
        <v>147</v>
      </c>
      <c r="G26" s="15" t="s">
        <v>61</v>
      </c>
      <c r="H26" s="15" t="s">
        <v>24</v>
      </c>
      <c r="I26" s="15" t="str" cm="1">
        <f t="array" aca="1" ref="I26" ca="1">IFERROR(INDEX(TabCriticite[],FindValueInRange(TabRegistresRisques[[#This Row],[Poids]],TabCriticite[]),2),"")</f>
        <v>Modéré</v>
      </c>
      <c r="J26" s="15" t="s">
        <v>38</v>
      </c>
      <c r="K26" s="15" t="s">
        <v>27</v>
      </c>
      <c r="L26" s="14" t="s">
        <v>117</v>
      </c>
      <c r="M26" s="14" t="s">
        <v>148</v>
      </c>
      <c r="N26" s="14" t="s">
        <v>149</v>
      </c>
    </row>
    <row r="27" spans="2:14" ht="28.8" x14ac:dyDescent="0.3">
      <c r="B27" s="15" t="str">
        <f>"R" &amp; ROW() - ROW(TabRegistresRisques[[#Headers],[ID]])</f>
        <v>R14</v>
      </c>
      <c r="C27" s="54">
        <f>IFERROR(VLOOKUP(TabRegistresRisques[[#This Row],[Gravité]],TabGravite[],2,FALSE) * VLOOKUP(TabRegistresRisques[[#This Row],[Probabilité]],TabProbabilite[],2,FALSE),"")</f>
        <v>1</v>
      </c>
      <c r="D27" s="54" t="str">
        <f>IFERROR("Matrice" &amp; MATCH(TabRegistresRisques[[#This Row],[Gravité]],TabGravite[Gravité],0) &amp; COUNTA(TabProbabilite[Probabilité])-MATCH(TabRegistresRisques[[#This Row],[Probabilité]],TabProbabilite[Probabilité],0) + 1,"")</f>
        <v>Matrice41</v>
      </c>
      <c r="E27" s="14" t="s">
        <v>28</v>
      </c>
      <c r="F27" s="14" t="s">
        <v>150</v>
      </c>
      <c r="G27" s="15" t="s">
        <v>61</v>
      </c>
      <c r="H27" s="15" t="s">
        <v>24</v>
      </c>
      <c r="I27" s="15" t="str" cm="1">
        <f t="array" aca="1" ref="I27" ca="1">IFERROR(INDEX(TabCriticite[],FindValueInRange(TabRegistresRisques[[#This Row],[Poids]],TabCriticite[]),2),"")</f>
        <v>Modéré</v>
      </c>
      <c r="J27" s="15" t="s">
        <v>38</v>
      </c>
      <c r="K27" s="15" t="s">
        <v>32</v>
      </c>
      <c r="L27" s="14" t="s">
        <v>144</v>
      </c>
      <c r="M27" s="14" t="s">
        <v>151</v>
      </c>
      <c r="N27" s="14" t="s">
        <v>152</v>
      </c>
    </row>
    <row r="28" spans="2:14" ht="72" x14ac:dyDescent="0.3">
      <c r="B28" s="15" t="str">
        <f>"R" &amp; ROW() - ROW(TabRegistresRisques[[#Headers],[ID]])</f>
        <v>R15</v>
      </c>
      <c r="C28" s="54">
        <f>IFERROR(VLOOKUP(TabRegistresRisques[[#This Row],[Gravité]],TabGravite[],2,FALSE) * VLOOKUP(TabRegistresRisques[[#This Row],[Probabilité]],TabProbabilite[],2,FALSE),"")</f>
        <v>1</v>
      </c>
      <c r="D28" s="54" t="str">
        <f>IFERROR("Matrice" &amp; MATCH(TabRegistresRisques[[#This Row],[Gravité]],TabGravite[Gravité],0) &amp; COUNTA(TabProbabilite[Probabilité])-MATCH(TabRegistresRisques[[#This Row],[Probabilité]],TabProbabilite[Probabilité],0) + 1,"")</f>
        <v>Matrice41</v>
      </c>
      <c r="E28" s="14" t="s">
        <v>37</v>
      </c>
      <c r="F28" s="14" t="s">
        <v>153</v>
      </c>
      <c r="G28" s="15" t="s">
        <v>61</v>
      </c>
      <c r="H28" s="15" t="s">
        <v>24</v>
      </c>
      <c r="I28" s="15" t="str" cm="1">
        <f t="array" aca="1" ref="I28" ca="1">IFERROR(INDEX(TabCriticite[],FindValueInRange(TabRegistresRisques[[#This Row],[Poids]],TabCriticite[]),2),"")</f>
        <v>Modéré</v>
      </c>
      <c r="J28" s="15" t="s">
        <v>38</v>
      </c>
      <c r="K28" s="15" t="s">
        <v>34</v>
      </c>
      <c r="L28" s="14" t="s">
        <v>113</v>
      </c>
      <c r="M28" s="14" t="s">
        <v>154</v>
      </c>
      <c r="N28" s="14" t="s">
        <v>155</v>
      </c>
    </row>
    <row r="29" spans="2:14" ht="72" x14ac:dyDescent="0.3">
      <c r="B29" s="15" t="str">
        <f>"R" &amp; ROW() - ROW(TabRegistresRisques[[#Headers],[ID]])</f>
        <v>R16</v>
      </c>
      <c r="C29" s="54">
        <f>IFERROR(VLOOKUP(TabRegistresRisques[[#This Row],[Gravité]],TabGravite[],2,FALSE) * VLOOKUP(TabRegistresRisques[[#This Row],[Probabilité]],TabProbabilite[],2,FALSE),"")</f>
        <v>1</v>
      </c>
      <c r="D29" s="54" t="str">
        <f>IFERROR("Matrice" &amp; MATCH(TabRegistresRisques[[#This Row],[Gravité]],TabGravite[Gravité],0) &amp; COUNTA(TabProbabilite[Probabilité])-MATCH(TabRegistresRisques[[#This Row],[Probabilité]],TabProbabilite[Probabilité],0) + 1,"")</f>
        <v>Matrice41</v>
      </c>
      <c r="E29" s="14" t="s">
        <v>37</v>
      </c>
      <c r="F29" s="14" t="s">
        <v>156</v>
      </c>
      <c r="G29" s="15" t="s">
        <v>61</v>
      </c>
      <c r="H29" s="15" t="s">
        <v>24</v>
      </c>
      <c r="I29" s="15" t="str" cm="1">
        <f t="array" aca="1" ref="I29" ca="1">IFERROR(INDEX(TabCriticite[],FindValueInRange(TabRegistresRisques[[#This Row],[Poids]],TabCriticite[]),2),"")</f>
        <v>Modéré</v>
      </c>
      <c r="J29" s="15" t="s">
        <v>26</v>
      </c>
      <c r="K29" s="15" t="s">
        <v>34</v>
      </c>
      <c r="L29" s="14" t="s">
        <v>113</v>
      </c>
      <c r="M29" s="14" t="s">
        <v>157</v>
      </c>
      <c r="N29" s="14" t="s">
        <v>158</v>
      </c>
    </row>
    <row r="30" spans="2:14" ht="72" x14ac:dyDescent="0.3">
      <c r="B30" s="15" t="str">
        <f>"R" &amp; ROW() - ROW(TabRegistresRisques[[#Headers],[ID]])</f>
        <v>R17</v>
      </c>
      <c r="C30" s="54">
        <f>IFERROR(VLOOKUP(TabRegistresRisques[[#This Row],[Gravité]],TabGravite[],2,FALSE) * VLOOKUP(TabRegistresRisques[[#This Row],[Probabilité]],TabProbabilite[],2,FALSE),"")</f>
        <v>1</v>
      </c>
      <c r="D30" s="54" t="str">
        <f>IFERROR("Matrice" &amp; MATCH(TabRegistresRisques[[#This Row],[Gravité]],TabGravite[Gravité],0) &amp; COUNTA(TabProbabilite[Probabilité])-MATCH(TabRegistresRisques[[#This Row],[Probabilité]],TabProbabilite[Probabilité],0) + 1,"")</f>
        <v>Matrice41</v>
      </c>
      <c r="E30" s="14" t="s">
        <v>23</v>
      </c>
      <c r="F30" s="14" t="s">
        <v>159</v>
      </c>
      <c r="G30" s="15" t="s">
        <v>61</v>
      </c>
      <c r="H30" s="15" t="s">
        <v>24</v>
      </c>
      <c r="I30" s="15" t="str" cm="1">
        <f t="array" aca="1" ref="I30" ca="1">IFERROR(INDEX(TabCriticite[],FindValueInRange(TabRegistresRisques[[#This Row],[Poids]],TabCriticite[]),2),"")</f>
        <v>Modéré</v>
      </c>
      <c r="J30" s="15" t="s">
        <v>38</v>
      </c>
      <c r="K30" s="15" t="s">
        <v>34</v>
      </c>
      <c r="L30" s="14" t="s">
        <v>109</v>
      </c>
      <c r="M30" s="14" t="s">
        <v>160</v>
      </c>
      <c r="N30" s="14" t="s">
        <v>161</v>
      </c>
    </row>
    <row r="69" ht="21" customHeight="1" x14ac:dyDescent="0.3"/>
    <row r="70" ht="21" customHeight="1" x14ac:dyDescent="0.3"/>
    <row r="71" ht="21" customHeight="1" x14ac:dyDescent="0.3"/>
    <row r="72" ht="21" customHeight="1" x14ac:dyDescent="0.3"/>
    <row r="73" ht="21" customHeight="1" x14ac:dyDescent="0.3"/>
    <row r="74" ht="21" customHeight="1" x14ac:dyDescent="0.3"/>
    <row r="75" ht="21" customHeight="1" x14ac:dyDescent="0.3"/>
    <row r="76" ht="21" customHeight="1" x14ac:dyDescent="0.3"/>
    <row r="77" ht="21" customHeight="1" x14ac:dyDescent="0.3"/>
    <row r="78" ht="21" customHeight="1" x14ac:dyDescent="0.3"/>
    <row r="79" ht="21" customHeight="1" x14ac:dyDescent="0.3"/>
    <row r="80" ht="21" customHeight="1" x14ac:dyDescent="0.3"/>
    <row r="81" ht="21" customHeight="1" x14ac:dyDescent="0.3"/>
    <row r="82" ht="21" customHeight="1" x14ac:dyDescent="0.3"/>
    <row r="83" ht="21" customHeight="1" x14ac:dyDescent="0.3"/>
    <row r="84" ht="21" customHeight="1" x14ac:dyDescent="0.3"/>
    <row r="85" ht="21" customHeight="1" x14ac:dyDescent="0.3"/>
    <row r="86" ht="21" customHeight="1" x14ac:dyDescent="0.3"/>
    <row r="87" ht="21" customHeight="1" x14ac:dyDescent="0.3"/>
    <row r="88" ht="21" customHeight="1" x14ac:dyDescent="0.3"/>
    <row r="89" ht="21" customHeight="1" x14ac:dyDescent="0.3"/>
    <row r="90" ht="21" customHeight="1" x14ac:dyDescent="0.3"/>
    <row r="91" ht="21" customHeight="1" x14ac:dyDescent="0.3"/>
    <row r="92" ht="21" customHeight="1" x14ac:dyDescent="0.3"/>
    <row r="93" ht="21" customHeight="1" x14ac:dyDescent="0.3"/>
  </sheetData>
  <conditionalFormatting sqref="G14:I30">
    <cfRule type="expression" dxfId="9" priority="3">
      <formula>$I14="Modéré"</formula>
    </cfRule>
    <cfRule type="expression" dxfId="8" priority="2">
      <formula>$I14="Critique"</formula>
    </cfRule>
    <cfRule type="expression" dxfId="7" priority="1">
      <formula>$I14="Très critique"</formula>
    </cfRule>
  </conditionalFormatting>
  <dataValidations count="5">
    <dataValidation type="list" allowBlank="1" showInputMessage="1" showErrorMessage="1" sqref="J14:J30" xr:uid="{55111BC5-CEF1-43BE-A2F8-01DEFAD7F60B}">
      <formula1>INDIRECT("TabConseq")</formula1>
    </dataValidation>
    <dataValidation type="list" allowBlank="1" showInputMessage="1" showErrorMessage="1" sqref="E14:E30" xr:uid="{AFA1FBD1-DDFF-413E-A0B4-A4FB6CD7D133}">
      <formula1>INDIRECT("TabNature[Nature]")</formula1>
    </dataValidation>
    <dataValidation type="list" allowBlank="1" showInputMessage="1" showErrorMessage="1" sqref="G14:G30" xr:uid="{727B9B3F-65A3-4D01-AEE2-752A809C5A03}">
      <formula1>INDIRECT("TabGravite[Gravité]")</formula1>
    </dataValidation>
    <dataValidation type="list" allowBlank="1" showInputMessage="1" showErrorMessage="1" sqref="H14:H30" xr:uid="{70A72166-1096-4AF6-A4B9-9EC6703C5E18}">
      <formula1>INDIRECT("tabprobabilite[Probabilité]")</formula1>
    </dataValidation>
    <dataValidation type="list" allowBlank="1" showInputMessage="1" showErrorMessage="1" sqref="K14:K30" xr:uid="{0D0499C3-E303-425C-85B6-FF61A12BD437}">
      <formula1>INDIRECT("tabtendance")</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CED9E-C688-405A-8D37-A15F213B01FF}">
  <sheetPr codeName="ShRegProblemes">
    <tabColor rgb="FFC00000"/>
  </sheetPr>
  <dimension ref="A1:P78"/>
  <sheetViews>
    <sheetView showGridLines="0" workbookViewId="0">
      <selection activeCell="D19" sqref="D19"/>
    </sheetView>
  </sheetViews>
  <sheetFormatPr defaultColWidth="0" defaultRowHeight="14.4" x14ac:dyDescent="0.3"/>
  <cols>
    <col min="1" max="1" width="3.109375" customWidth="1"/>
    <col min="2" max="2" width="5.6640625" customWidth="1"/>
    <col min="3" max="3" width="40.109375" customWidth="1"/>
    <col min="4" max="4" width="37.109375" customWidth="1"/>
    <col min="5" max="5" width="12.5546875" customWidth="1"/>
    <col min="6" max="6" width="11.6640625" customWidth="1"/>
    <col min="7" max="7" width="9.5546875" customWidth="1"/>
    <col min="8" max="8" width="12.6640625" customWidth="1"/>
    <col min="9" max="9" width="15.33203125" customWidth="1"/>
    <col min="10" max="10" width="44.88671875" customWidth="1"/>
    <col min="11" max="11" width="15.6640625" customWidth="1"/>
    <col min="12" max="12" width="42.88671875" customWidth="1"/>
    <col min="13" max="13" width="58.6640625" customWidth="1"/>
    <col min="14" max="16" width="8.88671875" customWidth="1"/>
    <col min="17" max="16384" width="8.88671875" hidden="1"/>
  </cols>
  <sheetData>
    <row r="1" spans="2:13" ht="19.95" customHeight="1" x14ac:dyDescent="0.3">
      <c r="D1" s="9" t="s">
        <v>4</v>
      </c>
      <c r="E1" s="10" t="s">
        <v>5</v>
      </c>
      <c r="G1" s="68" t="s">
        <v>8</v>
      </c>
      <c r="H1" s="68"/>
      <c r="I1" s="10" t="s">
        <v>9</v>
      </c>
      <c r="K1" s="27" t="s">
        <v>0</v>
      </c>
      <c r="L1" s="2">
        <v>44893</v>
      </c>
    </row>
    <row r="2" spans="2:13" ht="14.4" hidden="1" customHeight="1" x14ac:dyDescent="0.3">
      <c r="D2" s="11"/>
      <c r="E2" s="12"/>
      <c r="G2" s="11"/>
      <c r="H2" s="11"/>
      <c r="I2" s="12"/>
      <c r="K2" s="28"/>
      <c r="L2" s="4"/>
    </row>
    <row r="3" spans="2:13" ht="19.95" customHeight="1" x14ac:dyDescent="0.3">
      <c r="D3" s="9" t="s">
        <v>6</v>
      </c>
      <c r="E3" s="10" t="s">
        <v>7</v>
      </c>
      <c r="G3" s="68" t="s">
        <v>10</v>
      </c>
      <c r="H3" s="68"/>
      <c r="I3" s="10" t="s">
        <v>11</v>
      </c>
      <c r="K3" s="27" t="s">
        <v>1</v>
      </c>
      <c r="L3" s="2"/>
    </row>
    <row r="4" spans="2:13" ht="14.4" hidden="1" customHeight="1" x14ac:dyDescent="0.3">
      <c r="K4" s="28"/>
      <c r="L4" s="4"/>
    </row>
    <row r="5" spans="2:13" ht="19.95" customHeight="1" thickBot="1" x14ac:dyDescent="0.35">
      <c r="K5" s="26" t="s">
        <v>2</v>
      </c>
      <c r="L5" s="6" t="s">
        <v>3</v>
      </c>
    </row>
    <row r="6" spans="2:13" ht="28.2" customHeight="1" thickTop="1" thickBot="1" x14ac:dyDescent="0.35">
      <c r="B6" s="7"/>
      <c r="C6" s="8" t="s">
        <v>72</v>
      </c>
      <c r="D6" s="7"/>
      <c r="E6" s="7"/>
      <c r="F6" s="7"/>
      <c r="G6" s="7"/>
      <c r="H6" s="7"/>
      <c r="I6" s="7"/>
      <c r="J6" s="7"/>
      <c r="K6" s="7"/>
      <c r="L6" s="7"/>
      <c r="M6" s="7"/>
    </row>
    <row r="7" spans="2:13" ht="10.199999999999999" customHeight="1" thickTop="1" x14ac:dyDescent="0.3"/>
    <row r="8" spans="2:13" hidden="1" x14ac:dyDescent="0.3"/>
    <row r="9" spans="2:13" ht="1.95" customHeight="1" x14ac:dyDescent="0.3"/>
    <row r="10" spans="2:13" hidden="1" x14ac:dyDescent="0.3"/>
    <row r="11" spans="2:13" ht="9.6" hidden="1" customHeight="1" x14ac:dyDescent="0.3"/>
    <row r="12" spans="2:13" ht="31.2" customHeight="1" x14ac:dyDescent="0.3"/>
    <row r="13" spans="2:13" ht="21" customHeight="1" x14ac:dyDescent="0.3">
      <c r="B13" s="70" t="s">
        <v>105</v>
      </c>
      <c r="C13" s="70"/>
      <c r="D13" s="70"/>
      <c r="E13" s="70"/>
      <c r="F13" s="70"/>
      <c r="G13" s="71"/>
      <c r="H13" s="69" t="s">
        <v>106</v>
      </c>
      <c r="I13" s="69"/>
      <c r="J13" s="69"/>
      <c r="K13" s="69"/>
      <c r="L13" s="69"/>
    </row>
    <row r="14" spans="2:13" ht="30" customHeight="1" x14ac:dyDescent="0.3">
      <c r="B14" s="13" t="s">
        <v>13</v>
      </c>
      <c r="C14" s="13" t="s">
        <v>70</v>
      </c>
      <c r="D14" s="13" t="s">
        <v>69</v>
      </c>
      <c r="E14" s="13" t="s">
        <v>342</v>
      </c>
      <c r="F14" s="13" t="s">
        <v>68</v>
      </c>
      <c r="G14" s="29" t="s">
        <v>42</v>
      </c>
      <c r="H14" s="13" t="s">
        <v>20</v>
      </c>
      <c r="I14" s="13" t="s">
        <v>67</v>
      </c>
      <c r="J14" s="13" t="s">
        <v>63</v>
      </c>
      <c r="K14" s="13" t="s">
        <v>64</v>
      </c>
      <c r="L14" s="13" t="s">
        <v>65</v>
      </c>
      <c r="M14" s="13" t="s">
        <v>66</v>
      </c>
    </row>
    <row r="15" spans="2:13" ht="21.6" hidden="1" customHeight="1" x14ac:dyDescent="0.3">
      <c r="B15" s="13" t="s">
        <v>13</v>
      </c>
      <c r="C15" s="13" t="s">
        <v>70</v>
      </c>
      <c r="D15" s="13" t="s">
        <v>69</v>
      </c>
      <c r="E15" s="13" t="s">
        <v>313</v>
      </c>
      <c r="F15" s="13" t="s">
        <v>68</v>
      </c>
      <c r="G15" s="29" t="s">
        <v>42</v>
      </c>
      <c r="H15" s="13" t="s">
        <v>20</v>
      </c>
      <c r="I15" s="13" t="s">
        <v>67</v>
      </c>
      <c r="J15" s="13" t="s">
        <v>63</v>
      </c>
      <c r="K15" s="13" t="s">
        <v>64</v>
      </c>
      <c r="L15" s="13" t="s">
        <v>65</v>
      </c>
      <c r="M15" s="13" t="s">
        <v>66</v>
      </c>
    </row>
    <row r="16" spans="2:13" ht="51" customHeight="1" x14ac:dyDescent="0.3">
      <c r="B16" s="15">
        <f>ROW() - ROW(TabRegistresProblemes[[#Headers],[ID]])</f>
        <v>1</v>
      </c>
      <c r="C16" s="39" t="s">
        <v>162</v>
      </c>
      <c r="D16" s="39" t="s">
        <v>163</v>
      </c>
      <c r="E16" s="40">
        <v>44682</v>
      </c>
      <c r="F16" s="15" t="s">
        <v>164</v>
      </c>
      <c r="G16" s="41" t="s">
        <v>46</v>
      </c>
      <c r="H16" s="15" t="s">
        <v>45</v>
      </c>
      <c r="I16" s="15" t="s">
        <v>51</v>
      </c>
      <c r="J16" s="14" t="s">
        <v>165</v>
      </c>
      <c r="K16" s="40">
        <v>44686</v>
      </c>
      <c r="L16" s="14" t="s">
        <v>166</v>
      </c>
      <c r="M16" s="14" t="s">
        <v>167</v>
      </c>
    </row>
    <row r="17" spans="2:13" ht="74.400000000000006" customHeight="1" x14ac:dyDescent="0.3">
      <c r="B17" s="15">
        <f>ROW() - ROW(TabRegistresProblemes[[#Headers],[ID]])</f>
        <v>2</v>
      </c>
      <c r="C17" s="39" t="s">
        <v>168</v>
      </c>
      <c r="D17" s="39" t="s">
        <v>169</v>
      </c>
      <c r="E17" s="40">
        <v>44683</v>
      </c>
      <c r="F17" s="15" t="s">
        <v>170</v>
      </c>
      <c r="G17" s="41" t="s">
        <v>46</v>
      </c>
      <c r="H17" s="15" t="s">
        <v>52</v>
      </c>
      <c r="I17" s="15" t="s">
        <v>44</v>
      </c>
      <c r="J17" s="14" t="s">
        <v>171</v>
      </c>
      <c r="K17" s="40"/>
      <c r="L17" s="14"/>
      <c r="M17" s="14" t="s">
        <v>172</v>
      </c>
    </row>
    <row r="18" spans="2:13" ht="61.2" customHeight="1" x14ac:dyDescent="0.3">
      <c r="B18" s="15">
        <f>ROW() - ROW(TabRegistresProblemes[[#Headers],[ID]])</f>
        <v>3</v>
      </c>
      <c r="C18" s="39" t="s">
        <v>173</v>
      </c>
      <c r="D18" s="39" t="s">
        <v>174</v>
      </c>
      <c r="E18" s="40">
        <v>44684</v>
      </c>
      <c r="F18" s="15" t="s">
        <v>175</v>
      </c>
      <c r="G18" s="41" t="s">
        <v>25</v>
      </c>
      <c r="H18" s="15" t="s">
        <v>48</v>
      </c>
      <c r="I18" s="15" t="s">
        <v>47</v>
      </c>
      <c r="J18" s="14" t="s">
        <v>176</v>
      </c>
      <c r="K18" s="40"/>
      <c r="L18" s="14"/>
      <c r="M18" s="14" t="s">
        <v>177</v>
      </c>
    </row>
    <row r="19" spans="2:13" ht="51.6" customHeight="1" x14ac:dyDescent="0.3"/>
    <row r="20" spans="2:13" ht="51.6" customHeight="1" x14ac:dyDescent="0.3"/>
    <row r="21" spans="2:13" ht="51.6" customHeight="1" x14ac:dyDescent="0.3"/>
    <row r="22" spans="2:13" ht="51.6" customHeight="1" x14ac:dyDescent="0.3"/>
    <row r="23" spans="2:13" ht="51.6" customHeight="1" x14ac:dyDescent="0.3"/>
    <row r="24" spans="2:13" ht="51.6" customHeight="1" x14ac:dyDescent="0.3"/>
    <row r="25" spans="2:13" ht="51.6" customHeight="1" x14ac:dyDescent="0.3"/>
    <row r="26" spans="2:13" ht="51.6" customHeight="1" x14ac:dyDescent="0.3"/>
    <row r="27" spans="2:13" ht="51.6" customHeight="1" x14ac:dyDescent="0.3"/>
    <row r="28" spans="2:13" ht="51.6" customHeight="1" x14ac:dyDescent="0.3"/>
    <row r="29" spans="2:13" ht="51.6" customHeight="1" x14ac:dyDescent="0.3"/>
    <row r="30" spans="2:13" ht="51.6" customHeight="1" x14ac:dyDescent="0.3"/>
    <row r="31" spans="2:13" ht="51.6" customHeight="1" x14ac:dyDescent="0.3"/>
    <row r="32" spans="2:13" ht="51.6" customHeight="1" x14ac:dyDescent="0.3"/>
    <row r="33" ht="51.6" customHeight="1" x14ac:dyDescent="0.3"/>
    <row r="34" ht="51.6" customHeight="1" x14ac:dyDescent="0.3"/>
    <row r="35" ht="51.6" customHeight="1" x14ac:dyDescent="0.3"/>
    <row r="36" ht="51.6" customHeight="1" x14ac:dyDescent="0.3"/>
    <row r="37" ht="51.6" customHeight="1" x14ac:dyDescent="0.3"/>
    <row r="38" ht="51.6" customHeight="1" x14ac:dyDescent="0.3"/>
    <row r="39" ht="51.6" customHeight="1" x14ac:dyDescent="0.3"/>
    <row r="40" ht="51.6" customHeight="1" x14ac:dyDescent="0.3"/>
    <row r="41" ht="51.6" customHeight="1" x14ac:dyDescent="0.3"/>
    <row r="42" ht="51.6" customHeight="1" x14ac:dyDescent="0.3"/>
    <row r="46" ht="21" customHeight="1" x14ac:dyDescent="0.3"/>
    <row r="47" ht="21" customHeight="1" x14ac:dyDescent="0.3"/>
    <row r="48" ht="21" customHeight="1" x14ac:dyDescent="0.3"/>
    <row r="49" ht="21" customHeight="1" x14ac:dyDescent="0.3"/>
    <row r="50" ht="21" customHeight="1" x14ac:dyDescent="0.3"/>
    <row r="51" ht="21" customHeight="1" x14ac:dyDescent="0.3"/>
    <row r="52" ht="21" customHeight="1" x14ac:dyDescent="0.3"/>
    <row r="53" ht="21" customHeight="1" x14ac:dyDescent="0.3"/>
    <row r="54" ht="21" customHeight="1" x14ac:dyDescent="0.3"/>
    <row r="55" ht="21" customHeight="1" x14ac:dyDescent="0.3"/>
    <row r="56" ht="21" customHeight="1" x14ac:dyDescent="0.3"/>
    <row r="57" ht="21" customHeight="1" x14ac:dyDescent="0.3"/>
    <row r="58" ht="21" customHeight="1" x14ac:dyDescent="0.3"/>
    <row r="59" ht="21" customHeight="1" x14ac:dyDescent="0.3"/>
    <row r="60" ht="21" customHeight="1" x14ac:dyDescent="0.3"/>
    <row r="61" ht="21" customHeight="1" x14ac:dyDescent="0.3"/>
    <row r="62" ht="21" customHeight="1" x14ac:dyDescent="0.3"/>
    <row r="63" ht="21" customHeight="1" x14ac:dyDescent="0.3"/>
    <row r="64" ht="21" customHeight="1" x14ac:dyDescent="0.3"/>
    <row r="65" ht="21" customHeight="1" x14ac:dyDescent="0.3"/>
    <row r="66" ht="21" customHeight="1" x14ac:dyDescent="0.3"/>
    <row r="67" ht="21" customHeight="1" x14ac:dyDescent="0.3"/>
    <row r="68" ht="21" customHeight="1" x14ac:dyDescent="0.3"/>
    <row r="69" ht="21" customHeight="1" x14ac:dyDescent="0.3"/>
    <row r="70" ht="21" customHeight="1" x14ac:dyDescent="0.3"/>
    <row r="71" ht="21" customHeight="1" x14ac:dyDescent="0.3"/>
    <row r="72" ht="21" customHeight="1" x14ac:dyDescent="0.3"/>
    <row r="73" ht="21" customHeight="1" x14ac:dyDescent="0.3"/>
    <row r="74" ht="21" customHeight="1" x14ac:dyDescent="0.3"/>
    <row r="75" ht="21" customHeight="1" x14ac:dyDescent="0.3"/>
    <row r="76" ht="21" customHeight="1" x14ac:dyDescent="0.3"/>
    <row r="77" ht="21" customHeight="1" x14ac:dyDescent="0.3"/>
    <row r="78" ht="21" customHeight="1" x14ac:dyDescent="0.3"/>
  </sheetData>
  <mergeCells count="4">
    <mergeCell ref="G3:H3"/>
    <mergeCell ref="G1:H1"/>
    <mergeCell ref="H13:L13"/>
    <mergeCell ref="B13:G13"/>
  </mergeCells>
  <conditionalFormatting sqref="B16:M18">
    <cfRule type="expression" dxfId="6" priority="7">
      <formula>$I16="Nouveau"</formula>
    </cfRule>
    <cfRule type="expression" dxfId="5" priority="6">
      <formula>$I16="En traitement"</formula>
    </cfRule>
    <cfRule type="expression" dxfId="4" priority="5">
      <formula>$I16="Clôturé"</formula>
    </cfRule>
  </conditionalFormatting>
  <conditionalFormatting sqref="G16:G18">
    <cfRule type="expression" dxfId="3" priority="4">
      <formula>$G16="Critique"</formula>
    </cfRule>
    <cfRule type="expression" dxfId="2" priority="3">
      <formula>$G16="High"</formula>
    </cfRule>
    <cfRule type="expression" dxfId="1" priority="2">
      <formula>$G16="Medium"</formula>
    </cfRule>
    <cfRule type="expression" dxfId="0" priority="1">
      <formula>$G16="Low"</formula>
    </cfRule>
  </conditionalFormatting>
  <dataValidations count="3">
    <dataValidation type="list" allowBlank="1" showInputMessage="1" showErrorMessage="1" sqref="G16:G18" xr:uid="{848BFE02-25AA-42EE-850B-2B2B5D522904}">
      <formula1>INDIRECT("TabPriorite")</formula1>
    </dataValidation>
    <dataValidation type="list" allowBlank="1" showInputMessage="1" showErrorMessage="1" sqref="H16:H18" xr:uid="{6984DDC6-F01C-4D6C-A3E7-DC3B820B7703}">
      <formula1>INDIRECT("TabResponsable")</formula1>
    </dataValidation>
    <dataValidation type="list" allowBlank="1" showInputMessage="1" showErrorMessage="1" sqref="I16:I18" xr:uid="{F11ED86F-CAEA-4AEA-B053-CF12A8EE2FC5}">
      <formula1>INDIRECT("TabStatut[Statut]")</formula1>
    </dataValidation>
  </dataValidation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11498-810D-4BA8-BCCE-C318DD447944}">
  <sheetPr codeName="ShMatrice">
    <tabColor theme="4" tint="-0.249977111117893"/>
  </sheetPr>
  <dimension ref="B1:L85"/>
  <sheetViews>
    <sheetView showGridLines="0" zoomScaleNormal="100" workbookViewId="0">
      <selection activeCell="D13" sqref="D13"/>
    </sheetView>
  </sheetViews>
  <sheetFormatPr defaultColWidth="8.88671875" defaultRowHeight="14.4" x14ac:dyDescent="0.3"/>
  <cols>
    <col min="1" max="1" width="2.5546875" customWidth="1"/>
    <col min="2" max="2" width="3.5546875" customWidth="1"/>
    <col min="3" max="3" width="6.44140625" style="49" customWidth="1"/>
    <col min="4" max="4" width="39.6640625" style="44" customWidth="1"/>
    <col min="5" max="5" width="23.33203125" customWidth="1"/>
    <col min="6" max="6" width="11.6640625" customWidth="1"/>
    <col min="7" max="7" width="9.5546875" customWidth="1"/>
    <col min="8" max="8" width="11.5546875" customWidth="1"/>
    <col min="9" max="9" width="12.44140625" customWidth="1"/>
    <col min="10" max="10" width="41" customWidth="1"/>
    <col min="11" max="11" width="15.6640625" customWidth="1"/>
    <col min="12" max="12" width="9" customWidth="1"/>
    <col min="13" max="13" width="17.6640625" customWidth="1"/>
    <col min="14" max="14" width="8.88671875" customWidth="1"/>
  </cols>
  <sheetData>
    <row r="1" spans="2:12" ht="19.95" customHeight="1" x14ac:dyDescent="0.3">
      <c r="J1" s="1" t="s">
        <v>0</v>
      </c>
      <c r="K1" s="2">
        <v>44893</v>
      </c>
    </row>
    <row r="2" spans="2:12" ht="14.4" hidden="1" customHeight="1" x14ac:dyDescent="0.3">
      <c r="J2" s="3"/>
      <c r="K2" s="4"/>
    </row>
    <row r="3" spans="2:12" ht="19.95" customHeight="1" x14ac:dyDescent="0.3">
      <c r="J3" s="1" t="s">
        <v>1</v>
      </c>
      <c r="K3" s="2"/>
    </row>
    <row r="4" spans="2:12" ht="14.4" hidden="1" customHeight="1" x14ac:dyDescent="0.3">
      <c r="J4" s="3"/>
      <c r="K4" s="4"/>
    </row>
    <row r="5" spans="2:12" ht="19.95" customHeight="1" thickBot="1" x14ac:dyDescent="0.35">
      <c r="J5" s="5" t="s">
        <v>2</v>
      </c>
      <c r="K5" s="6" t="s">
        <v>3</v>
      </c>
    </row>
    <row r="6" spans="2:12" ht="28.2" customHeight="1" thickTop="1" thickBot="1" x14ac:dyDescent="0.35">
      <c r="B6" s="7"/>
      <c r="C6" s="38" t="s">
        <v>71</v>
      </c>
      <c r="D6" s="45"/>
      <c r="E6" s="7"/>
      <c r="F6" s="7"/>
      <c r="G6" s="7"/>
      <c r="H6" s="7"/>
      <c r="I6" s="7"/>
      <c r="J6" s="7"/>
      <c r="K6" s="7"/>
      <c r="L6" s="7"/>
    </row>
    <row r="7" spans="2:12" ht="10.199999999999999" customHeight="1" thickTop="1" x14ac:dyDescent="0.3"/>
    <row r="8" spans="2:12" x14ac:dyDescent="0.3">
      <c r="D8" s="46" t="s">
        <v>4</v>
      </c>
      <c r="E8" s="10" t="s">
        <v>5</v>
      </c>
      <c r="J8" s="9" t="s">
        <v>8</v>
      </c>
      <c r="K8" s="10" t="s">
        <v>9</v>
      </c>
    </row>
    <row r="9" spans="2:12" ht="1.95" customHeight="1" x14ac:dyDescent="0.3">
      <c r="D9" s="47"/>
      <c r="E9" s="12"/>
      <c r="J9" s="11"/>
      <c r="K9" s="12"/>
    </row>
    <row r="10" spans="2:12" x14ac:dyDescent="0.3">
      <c r="D10" s="46" t="s">
        <v>6</v>
      </c>
      <c r="E10" s="10" t="s">
        <v>7</v>
      </c>
      <c r="J10" s="9" t="s">
        <v>10</v>
      </c>
      <c r="K10" s="10" t="s">
        <v>11</v>
      </c>
    </row>
    <row r="12" spans="2:12" ht="21" customHeight="1" x14ac:dyDescent="0.3"/>
    <row r="13" spans="2:12" s="24" customFormat="1" ht="21" customHeight="1" x14ac:dyDescent="0.3">
      <c r="C13" s="49"/>
      <c r="D13" s="44"/>
    </row>
    <row r="14" spans="2:12" ht="19.95" hidden="1" customHeight="1" x14ac:dyDescent="0.3">
      <c r="C14" s="50" t="s">
        <v>74</v>
      </c>
      <c r="D14" s="48" t="s">
        <v>15</v>
      </c>
    </row>
    <row r="15" spans="2:12" ht="16.95" customHeight="1" x14ac:dyDescent="0.3">
      <c r="C15" s="44" t="str">
        <f>"R" &amp; ROW() - ROW(TabLegendeMatrice[[#Headers],[R]])</f>
        <v>R1</v>
      </c>
      <c r="D15" s="23" t="s">
        <v>63</v>
      </c>
    </row>
    <row r="16" spans="2:12" ht="16.95" customHeight="1" x14ac:dyDescent="0.3">
      <c r="C16" s="44" t="str">
        <f>"R" &amp; ROW() - ROW(TabLegendeMatrice[[#Headers],[R]])</f>
        <v>R2</v>
      </c>
      <c r="D16" s="23" t="s">
        <v>112</v>
      </c>
    </row>
    <row r="17" spans="3:4" ht="16.95" customHeight="1" x14ac:dyDescent="0.3">
      <c r="C17" s="44" t="str">
        <f>"R" &amp; ROW() - ROW(TabLegendeMatrice[[#Headers],[R]])</f>
        <v>R3</v>
      </c>
      <c r="D17" s="23" t="s">
        <v>116</v>
      </c>
    </row>
    <row r="18" spans="3:4" ht="16.95" customHeight="1" x14ac:dyDescent="0.3">
      <c r="C18" s="44" t="str">
        <f>"R" &amp; ROW() - ROW(TabLegendeMatrice[[#Headers],[R]])</f>
        <v>R4</v>
      </c>
      <c r="D18" s="23" t="s">
        <v>120</v>
      </c>
    </row>
    <row r="19" spans="3:4" ht="16.95" customHeight="1" x14ac:dyDescent="0.3">
      <c r="C19" s="44" t="str">
        <f>"R" &amp; ROW() - ROW(TabLegendeMatrice[[#Headers],[R]])</f>
        <v>R5</v>
      </c>
      <c r="D19" s="23" t="s">
        <v>123</v>
      </c>
    </row>
    <row r="20" spans="3:4" ht="16.95" customHeight="1" x14ac:dyDescent="0.3">
      <c r="C20" s="44" t="str">
        <f>"R" &amp; ROW() - ROW(TabLegendeMatrice[[#Headers],[R]])</f>
        <v>R6</v>
      </c>
      <c r="D20" s="23" t="s">
        <v>126</v>
      </c>
    </row>
    <row r="21" spans="3:4" ht="16.95" customHeight="1" x14ac:dyDescent="0.3">
      <c r="C21" s="44" t="str">
        <f>"R" &amp; ROW() - ROW(TabLegendeMatrice[[#Headers],[R]])</f>
        <v>R7</v>
      </c>
      <c r="D21" s="23" t="s">
        <v>128</v>
      </c>
    </row>
    <row r="22" spans="3:4" ht="16.95" customHeight="1" x14ac:dyDescent="0.3">
      <c r="C22" s="44" t="str">
        <f>"R" &amp; ROW() - ROW(TabLegendeMatrice[[#Headers],[R]])</f>
        <v>R8</v>
      </c>
      <c r="D22" s="23" t="s">
        <v>131</v>
      </c>
    </row>
    <row r="23" spans="3:4" ht="16.95" customHeight="1" x14ac:dyDescent="0.3">
      <c r="C23" s="44" t="str">
        <f>"R" &amp; ROW() - ROW(TabLegendeMatrice[[#Headers],[R]])</f>
        <v>R9</v>
      </c>
      <c r="D23" s="23" t="s">
        <v>134</v>
      </c>
    </row>
    <row r="24" spans="3:4" ht="16.95" customHeight="1" x14ac:dyDescent="0.3">
      <c r="C24" s="44" t="str">
        <f>"R" &amp; ROW() - ROW(TabLegendeMatrice[[#Headers],[R]])</f>
        <v>R10</v>
      </c>
      <c r="D24" s="23" t="s">
        <v>137</v>
      </c>
    </row>
    <row r="25" spans="3:4" ht="16.95" customHeight="1" x14ac:dyDescent="0.3">
      <c r="C25" s="44" t="str">
        <f>"R" &amp; ROW() - ROW(TabLegendeMatrice[[#Headers],[R]])</f>
        <v>R11</v>
      </c>
      <c r="D25" s="23" t="s">
        <v>140</v>
      </c>
    </row>
    <row r="26" spans="3:4" ht="16.95" customHeight="1" x14ac:dyDescent="0.3">
      <c r="C26" s="44" t="str">
        <f>"R" &amp; ROW() - ROW(TabLegendeMatrice[[#Headers],[R]])</f>
        <v>R12</v>
      </c>
      <c r="D26" s="23" t="s">
        <v>143</v>
      </c>
    </row>
    <row r="27" spans="3:4" ht="16.95" customHeight="1" x14ac:dyDescent="0.3">
      <c r="C27" s="44" t="str">
        <f>"R" &amp; ROW() - ROW(TabLegendeMatrice[[#Headers],[R]])</f>
        <v>R13</v>
      </c>
      <c r="D27" s="23" t="s">
        <v>147</v>
      </c>
    </row>
    <row r="28" spans="3:4" ht="16.95" customHeight="1" x14ac:dyDescent="0.3">
      <c r="C28" s="44" t="str">
        <f>"R" &amp; ROW() - ROW(TabLegendeMatrice[[#Headers],[R]])</f>
        <v>R14</v>
      </c>
      <c r="D28" s="23" t="s">
        <v>150</v>
      </c>
    </row>
    <row r="29" spans="3:4" ht="16.95" customHeight="1" x14ac:dyDescent="0.3">
      <c r="C29" s="44" t="str">
        <f>"R" &amp; ROW() - ROW(TabLegendeMatrice[[#Headers],[R]])</f>
        <v>R15</v>
      </c>
      <c r="D29" s="23" t="s">
        <v>153</v>
      </c>
    </row>
    <row r="30" spans="3:4" ht="16.95" customHeight="1" x14ac:dyDescent="0.3">
      <c r="C30" s="44" t="str">
        <f>"R" &amp; ROW() - ROW(TabLegendeMatrice[[#Headers],[R]])</f>
        <v>R16</v>
      </c>
      <c r="D30" s="23" t="s">
        <v>156</v>
      </c>
    </row>
    <row r="31" spans="3:4" ht="16.95" customHeight="1" x14ac:dyDescent="0.3">
      <c r="C31" s="44" t="str">
        <f>"R" &amp; ROW() - ROW(TabLegendeMatrice[[#Headers],[R]])</f>
        <v>R17</v>
      </c>
      <c r="D31" s="23" t="s">
        <v>159</v>
      </c>
    </row>
    <row r="32" spans="3:4" ht="16.95" customHeight="1" x14ac:dyDescent="0.3">
      <c r="D32" s="23"/>
    </row>
    <row r="33" spans="3:4" ht="16.95" customHeight="1" x14ac:dyDescent="0.3">
      <c r="D33" s="23"/>
    </row>
    <row r="34" spans="3:4" ht="16.95" customHeight="1" x14ac:dyDescent="0.3">
      <c r="D34" s="23"/>
    </row>
    <row r="35" spans="3:4" ht="16.95" customHeight="1" x14ac:dyDescent="0.3">
      <c r="C35" s="23"/>
      <c r="D35" s="23"/>
    </row>
    <row r="36" spans="3:4" ht="16.95" customHeight="1" x14ac:dyDescent="0.3">
      <c r="D36" s="23"/>
    </row>
    <row r="37" spans="3:4" ht="16.95" customHeight="1" x14ac:dyDescent="0.3"/>
    <row r="38" spans="3:4" ht="16.95" customHeight="1" x14ac:dyDescent="0.3"/>
    <row r="39" spans="3:4" ht="16.95" customHeight="1" x14ac:dyDescent="0.3"/>
    <row r="40" spans="3:4" ht="16.95" customHeight="1" x14ac:dyDescent="0.3"/>
    <row r="41" spans="3:4" ht="16.95" customHeight="1" x14ac:dyDescent="0.3"/>
    <row r="42" spans="3:4" ht="16.95" customHeight="1" x14ac:dyDescent="0.3"/>
    <row r="43" spans="3:4" ht="16.95" customHeight="1" x14ac:dyDescent="0.3"/>
    <row r="44" spans="3:4" ht="16.95" customHeight="1" x14ac:dyDescent="0.3"/>
    <row r="45" spans="3:4" ht="16.95" customHeight="1" x14ac:dyDescent="0.3"/>
    <row r="46" spans="3:4" ht="16.95" customHeight="1" x14ac:dyDescent="0.3"/>
    <row r="47" spans="3:4" ht="16.95" customHeight="1" x14ac:dyDescent="0.3"/>
    <row r="48" spans="3:4" ht="16.95" customHeight="1" x14ac:dyDescent="0.3"/>
    <row r="49" ht="16.95" customHeight="1" x14ac:dyDescent="0.3"/>
    <row r="50" ht="16.95" customHeight="1" x14ac:dyDescent="0.3"/>
    <row r="51" ht="16.95" customHeight="1" x14ac:dyDescent="0.3"/>
    <row r="52" ht="16.95" customHeight="1" x14ac:dyDescent="0.3"/>
    <row r="53" ht="16.95" customHeight="1" x14ac:dyDescent="0.3"/>
    <row r="54" ht="16.95" customHeight="1" x14ac:dyDescent="0.3"/>
    <row r="55" ht="16.95" customHeight="1" x14ac:dyDescent="0.3"/>
    <row r="56" ht="16.95" customHeight="1" x14ac:dyDescent="0.3"/>
    <row r="57" ht="16.95" customHeight="1" x14ac:dyDescent="0.3"/>
    <row r="58" ht="16.95" customHeight="1" x14ac:dyDescent="0.3"/>
    <row r="59" ht="16.95" customHeight="1" x14ac:dyDescent="0.3"/>
    <row r="60" ht="16.95" customHeight="1" x14ac:dyDescent="0.3"/>
    <row r="61" ht="16.95" customHeight="1" x14ac:dyDescent="0.3"/>
    <row r="62" ht="16.95" customHeight="1" x14ac:dyDescent="0.3"/>
    <row r="63" ht="16.95" customHeight="1" x14ac:dyDescent="0.3"/>
    <row r="64" ht="16.95" customHeight="1" x14ac:dyDescent="0.3"/>
    <row r="65" ht="16.95" customHeight="1" x14ac:dyDescent="0.3"/>
    <row r="66" ht="16.95" customHeight="1" x14ac:dyDescent="0.3"/>
    <row r="67" ht="16.95" customHeight="1" x14ac:dyDescent="0.3"/>
    <row r="68" ht="16.95" customHeight="1" x14ac:dyDescent="0.3"/>
    <row r="69" ht="16.95" customHeight="1" x14ac:dyDescent="0.3"/>
    <row r="70" ht="16.95" customHeight="1" x14ac:dyDescent="0.3"/>
    <row r="71" ht="16.95" customHeight="1" x14ac:dyDescent="0.3"/>
    <row r="72" ht="16.95" customHeight="1" x14ac:dyDescent="0.3"/>
    <row r="73" ht="16.95" customHeight="1" x14ac:dyDescent="0.3"/>
    <row r="74" ht="16.95" customHeight="1" x14ac:dyDescent="0.3"/>
    <row r="75" ht="16.95" customHeight="1" x14ac:dyDescent="0.3"/>
    <row r="76" ht="16.95" customHeight="1" x14ac:dyDescent="0.3"/>
    <row r="77" ht="16.95" customHeight="1" x14ac:dyDescent="0.3"/>
    <row r="78" ht="16.95" customHeight="1" x14ac:dyDescent="0.3"/>
    <row r="79" ht="16.95" customHeight="1" x14ac:dyDescent="0.3"/>
    <row r="80" ht="16.95" customHeight="1" x14ac:dyDescent="0.3"/>
    <row r="81" ht="16.95" customHeight="1" x14ac:dyDescent="0.3"/>
    <row r="82" ht="16.95" customHeight="1" x14ac:dyDescent="0.3"/>
    <row r="83" ht="16.95" customHeight="1" x14ac:dyDescent="0.3"/>
    <row r="84" ht="16.95" customHeight="1" x14ac:dyDescent="0.3"/>
    <row r="85" ht="16.95" customHeight="1" x14ac:dyDescent="0.3"/>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93683-995A-4A4B-B428-99BB8342CD57}">
  <sheetPr codeName="ShSettings"/>
  <dimension ref="B1:P34"/>
  <sheetViews>
    <sheetView showGridLines="0" topLeftCell="A5" workbookViewId="0">
      <selection activeCell="L28" sqref="L28"/>
    </sheetView>
  </sheetViews>
  <sheetFormatPr defaultColWidth="9.109375" defaultRowHeight="14.4" x14ac:dyDescent="0.3"/>
  <cols>
    <col min="1" max="1" width="2.88671875" customWidth="1"/>
    <col min="3" max="3" width="26.33203125" customWidth="1"/>
    <col min="4" max="4" width="14.88671875" customWidth="1"/>
    <col min="5" max="5" width="22" customWidth="1"/>
    <col min="6" max="6" width="12.6640625" customWidth="1"/>
    <col min="7" max="7" width="8.33203125" customWidth="1"/>
    <col min="8" max="8" width="18" customWidth="1"/>
    <col min="9" max="9" width="12" customWidth="1"/>
    <col min="10" max="10" width="6.33203125" customWidth="1"/>
    <col min="11" max="11" width="16.6640625" customWidth="1"/>
    <col min="12" max="12" width="17.33203125" customWidth="1"/>
    <col min="13" max="13" width="16.33203125" customWidth="1"/>
    <col min="14" max="14" width="22.109375" customWidth="1"/>
  </cols>
  <sheetData>
    <row r="1" spans="2:14" ht="19.95" customHeight="1" x14ac:dyDescent="0.3">
      <c r="E1" s="9" t="s">
        <v>4</v>
      </c>
      <c r="F1" s="10" t="s">
        <v>5</v>
      </c>
      <c r="G1" s="64"/>
      <c r="I1" s="68" t="s">
        <v>8</v>
      </c>
      <c r="J1" s="68"/>
      <c r="K1" s="10" t="s">
        <v>9</v>
      </c>
      <c r="M1" s="1" t="s">
        <v>225</v>
      </c>
      <c r="N1" s="2">
        <v>44893</v>
      </c>
    </row>
    <row r="2" spans="2:14" ht="14.4" hidden="1" customHeight="1" x14ac:dyDescent="0.3">
      <c r="E2" s="11"/>
      <c r="F2" s="12"/>
      <c r="G2" s="65"/>
      <c r="I2" s="11"/>
      <c r="J2" s="11"/>
      <c r="K2" s="12"/>
      <c r="M2" s="3"/>
      <c r="N2" s="4"/>
    </row>
    <row r="3" spans="2:14" ht="19.95" customHeight="1" x14ac:dyDescent="0.3">
      <c r="E3" s="9" t="s">
        <v>6</v>
      </c>
      <c r="F3" s="10" t="s">
        <v>7</v>
      </c>
      <c r="G3" s="64"/>
      <c r="I3" s="68" t="s">
        <v>10</v>
      </c>
      <c r="J3" s="68"/>
      <c r="K3" s="10" t="s">
        <v>11</v>
      </c>
      <c r="M3" s="1" t="s">
        <v>226</v>
      </c>
      <c r="N3" s="2"/>
    </row>
    <row r="4" spans="2:14" ht="14.4" hidden="1" customHeight="1" x14ac:dyDescent="0.3">
      <c r="M4" s="3"/>
      <c r="N4" s="4"/>
    </row>
    <row r="5" spans="2:14" ht="19.95" customHeight="1" thickBot="1" x14ac:dyDescent="0.35">
      <c r="M5" s="5" t="s">
        <v>227</v>
      </c>
      <c r="N5" s="6" t="s">
        <v>3</v>
      </c>
    </row>
    <row r="6" spans="2:14" ht="28.2" customHeight="1" thickTop="1" thickBot="1" x14ac:dyDescent="0.35">
      <c r="B6" s="7"/>
      <c r="C6" s="8" t="s">
        <v>184</v>
      </c>
      <c r="D6" s="7"/>
      <c r="E6" s="7"/>
      <c r="F6" s="7"/>
      <c r="G6" s="7"/>
      <c r="H6" s="7"/>
      <c r="I6" s="7"/>
      <c r="J6" s="7"/>
      <c r="K6" s="7"/>
      <c r="L6" s="7"/>
      <c r="M6" s="57" t="s">
        <v>221</v>
      </c>
      <c r="N6" s="66">
        <v>2</v>
      </c>
    </row>
    <row r="7" spans="2:14" ht="10.199999999999999" customHeight="1" thickTop="1" x14ac:dyDescent="0.3"/>
    <row r="8" spans="2:14" hidden="1" x14ac:dyDescent="0.3"/>
    <row r="9" spans="2:14" ht="1.95" hidden="1" customHeight="1" x14ac:dyDescent="0.3"/>
    <row r="10" spans="2:14" hidden="1" x14ac:dyDescent="0.3"/>
    <row r="12" spans="2:14" ht="24" customHeight="1" x14ac:dyDescent="0.3"/>
    <row r="14" spans="2:14" x14ac:dyDescent="0.3">
      <c r="C14" s="61" t="s">
        <v>67</v>
      </c>
      <c r="E14" s="62" t="s">
        <v>54</v>
      </c>
      <c r="F14" s="63" t="s">
        <v>62</v>
      </c>
      <c r="H14" s="62" t="s">
        <v>16</v>
      </c>
      <c r="I14" s="63" t="s">
        <v>62</v>
      </c>
      <c r="K14" s="20" t="s">
        <v>55</v>
      </c>
      <c r="L14" s="21" t="s">
        <v>56</v>
      </c>
      <c r="M14" s="22" t="s">
        <v>57</v>
      </c>
    </row>
    <row r="15" spans="2:14" ht="18" hidden="1" customHeight="1" x14ac:dyDescent="0.3">
      <c r="C15" t="s">
        <v>67</v>
      </c>
      <c r="E15" s="16" t="s">
        <v>54</v>
      </c>
      <c r="F15" s="16" t="s">
        <v>62</v>
      </c>
      <c r="G15" s="16"/>
      <c r="H15" s="16" t="s">
        <v>16</v>
      </c>
      <c r="I15" s="16" t="s">
        <v>62</v>
      </c>
      <c r="K15" s="20" t="s">
        <v>55</v>
      </c>
      <c r="L15" s="21" t="s">
        <v>56</v>
      </c>
      <c r="M15" s="22" t="s">
        <v>57</v>
      </c>
    </row>
    <row r="16" spans="2:14" x14ac:dyDescent="0.3">
      <c r="C16" s="43" t="s">
        <v>44</v>
      </c>
      <c r="E16" s="51" t="s">
        <v>58</v>
      </c>
      <c r="F16" s="51">
        <v>4</v>
      </c>
      <c r="G16" s="51"/>
      <c r="H16" s="51" t="s">
        <v>39</v>
      </c>
      <c r="I16" s="51">
        <v>4</v>
      </c>
      <c r="K16" s="25" t="str" cm="1">
        <f t="array" aca="1" ref="K16" ca="1">IF(ISNUMBER(INDIRECT("L" &amp;ROW() - 1)),INDIRECT("L" &amp;ROW() - 1), "-")</f>
        <v>-</v>
      </c>
      <c r="L16" s="35" t="s">
        <v>30</v>
      </c>
      <c r="M16" s="19">
        <v>2</v>
      </c>
    </row>
    <row r="17" spans="2:16" x14ac:dyDescent="0.3">
      <c r="C17" s="42" t="s">
        <v>47</v>
      </c>
      <c r="E17" s="51" t="s">
        <v>59</v>
      </c>
      <c r="F17" s="51">
        <v>3</v>
      </c>
      <c r="G17" s="51"/>
      <c r="H17" s="51" t="s">
        <v>33</v>
      </c>
      <c r="I17" s="51">
        <v>3</v>
      </c>
      <c r="K17" s="25" t="str" cm="1">
        <f t="array" aca="1" ref="K17" ca="1">IF(ISNUMBER(INDIRECT("L" &amp;ROW() - 1)),INDIRECT("L" &amp;ROW() - 1), "-")</f>
        <v>-</v>
      </c>
      <c r="L17" s="31" t="s">
        <v>25</v>
      </c>
      <c r="M17" s="25">
        <v>8</v>
      </c>
    </row>
    <row r="18" spans="2:16" x14ac:dyDescent="0.3">
      <c r="C18" s="36" t="s">
        <v>51</v>
      </c>
      <c r="E18" s="51" t="s">
        <v>60</v>
      </c>
      <c r="F18" s="51">
        <v>2</v>
      </c>
      <c r="G18" s="51"/>
      <c r="H18" s="51" t="s">
        <v>29</v>
      </c>
      <c r="I18" s="51">
        <v>2</v>
      </c>
      <c r="K18" s="25" t="str" cm="1">
        <f t="array" aca="1" ref="K18" ca="1">IF(ISNUMBER(INDIRECT("L" &amp;ROW() - 1)),INDIRECT("L" &amp;ROW() - 1), "-")</f>
        <v>-</v>
      </c>
      <c r="L18" s="32" t="s">
        <v>35</v>
      </c>
      <c r="M18" s="25"/>
    </row>
    <row r="19" spans="2:16" x14ac:dyDescent="0.3">
      <c r="E19" s="51" t="s">
        <v>61</v>
      </c>
      <c r="F19" s="51">
        <v>1</v>
      </c>
      <c r="G19" s="51"/>
      <c r="H19" s="51" t="s">
        <v>24</v>
      </c>
      <c r="I19" s="51">
        <v>1</v>
      </c>
    </row>
    <row r="20" spans="2:16" x14ac:dyDescent="0.3">
      <c r="C20" t="s">
        <v>20</v>
      </c>
    </row>
    <row r="21" spans="2:16" x14ac:dyDescent="0.3">
      <c r="C21" s="52" t="s">
        <v>45</v>
      </c>
      <c r="E21" t="s">
        <v>41</v>
      </c>
      <c r="H21" t="s">
        <v>40</v>
      </c>
    </row>
    <row r="22" spans="2:16" x14ac:dyDescent="0.3">
      <c r="C22" s="52" t="s">
        <v>48</v>
      </c>
      <c r="E22" s="52" t="s">
        <v>26</v>
      </c>
      <c r="H22" s="52" t="s">
        <v>28</v>
      </c>
    </row>
    <row r="23" spans="2:16" x14ac:dyDescent="0.3">
      <c r="C23" s="52" t="s">
        <v>52</v>
      </c>
      <c r="E23" s="52" t="s">
        <v>38</v>
      </c>
      <c r="H23" s="52" t="s">
        <v>37</v>
      </c>
    </row>
    <row r="24" spans="2:16" x14ac:dyDescent="0.3">
      <c r="C24" s="17"/>
      <c r="E24" s="52" t="s">
        <v>36</v>
      </c>
      <c r="H24" s="52" t="s">
        <v>49</v>
      </c>
    </row>
    <row r="25" spans="2:16" x14ac:dyDescent="0.3">
      <c r="B25" s="17"/>
      <c r="C25" t="s">
        <v>42</v>
      </c>
      <c r="E25" s="52" t="s">
        <v>31</v>
      </c>
      <c r="F25" s="17"/>
      <c r="G25" s="17"/>
      <c r="H25" s="52" t="s">
        <v>23</v>
      </c>
      <c r="O25" s="17"/>
      <c r="P25" s="17"/>
    </row>
    <row r="26" spans="2:16" x14ac:dyDescent="0.3">
      <c r="B26" s="17"/>
      <c r="C26" s="30" t="s">
        <v>25</v>
      </c>
      <c r="F26" s="17"/>
      <c r="G26" s="17"/>
      <c r="O26" s="17"/>
      <c r="P26" s="17"/>
    </row>
    <row r="27" spans="2:16" x14ac:dyDescent="0.3">
      <c r="B27" s="17"/>
      <c r="C27" s="33" t="s">
        <v>46</v>
      </c>
      <c r="E27" t="s">
        <v>19</v>
      </c>
      <c r="F27" s="17"/>
      <c r="G27" s="17"/>
      <c r="O27" s="17"/>
      <c r="P27" s="17"/>
    </row>
    <row r="28" spans="2:16" x14ac:dyDescent="0.3">
      <c r="B28" s="17"/>
      <c r="C28" s="37" t="s">
        <v>50</v>
      </c>
      <c r="E28" s="52" t="s">
        <v>32</v>
      </c>
      <c r="F28" s="17"/>
      <c r="G28" s="17"/>
      <c r="J28" s="17"/>
      <c r="K28" s="17"/>
      <c r="O28" s="17"/>
      <c r="P28" s="17"/>
    </row>
    <row r="29" spans="2:16" x14ac:dyDescent="0.3">
      <c r="B29" s="17"/>
      <c r="C29" s="34" t="s">
        <v>53</v>
      </c>
      <c r="E29" s="52" t="s">
        <v>27</v>
      </c>
      <c r="F29" s="17"/>
      <c r="G29" s="17"/>
      <c r="J29" s="17"/>
      <c r="K29" s="17"/>
      <c r="O29" s="17"/>
      <c r="P29" s="17"/>
    </row>
    <row r="30" spans="2:16" x14ac:dyDescent="0.3">
      <c r="B30" s="17"/>
      <c r="E30" s="52" t="s">
        <v>34</v>
      </c>
      <c r="F30" s="17"/>
      <c r="G30" s="17"/>
      <c r="J30" s="18"/>
      <c r="K30" s="18"/>
      <c r="L30" s="17"/>
      <c r="M30" s="17"/>
      <c r="N30" s="17"/>
      <c r="O30" s="17"/>
      <c r="P30" s="17"/>
    </row>
    <row r="31" spans="2:16" x14ac:dyDescent="0.3">
      <c r="B31" s="17"/>
      <c r="C31" s="17"/>
      <c r="D31" s="17"/>
      <c r="E31" s="17"/>
      <c r="F31" s="17"/>
      <c r="G31" s="17"/>
      <c r="J31" s="17"/>
      <c r="K31" s="17"/>
      <c r="L31" s="17"/>
      <c r="M31" s="17"/>
      <c r="N31" s="17"/>
      <c r="O31" s="17"/>
      <c r="P31" s="17"/>
    </row>
    <row r="32" spans="2:16" x14ac:dyDescent="0.3">
      <c r="B32" s="17"/>
      <c r="C32" s="17"/>
      <c r="D32" s="17"/>
      <c r="F32" s="17"/>
      <c r="G32" s="17"/>
      <c r="J32" s="17"/>
      <c r="K32" s="17"/>
      <c r="L32" s="17"/>
      <c r="M32" s="17"/>
      <c r="N32" s="17"/>
      <c r="O32" s="17"/>
      <c r="P32" s="17"/>
    </row>
    <row r="33" spans="2:16" x14ac:dyDescent="0.3">
      <c r="B33" s="17"/>
      <c r="C33" s="17"/>
      <c r="D33" s="17"/>
      <c r="F33" s="17"/>
      <c r="G33" s="17"/>
      <c r="J33" s="17"/>
      <c r="K33" s="17"/>
      <c r="O33" s="17"/>
      <c r="P33" s="17"/>
    </row>
    <row r="34" spans="2:16" x14ac:dyDescent="0.3">
      <c r="B34" s="17"/>
      <c r="C34" s="17"/>
      <c r="D34" s="17"/>
      <c r="F34" s="17"/>
      <c r="G34" s="17"/>
      <c r="H34" s="17"/>
      <c r="I34" s="17"/>
      <c r="J34" s="17"/>
      <c r="K34" s="17"/>
      <c r="O34" s="17"/>
      <c r="P34" s="17"/>
    </row>
  </sheetData>
  <mergeCells count="2">
    <mergeCell ref="I1:J1"/>
    <mergeCell ref="I3:J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macro="[0]!change_langue">
                <anchor moveWithCells="1">
                  <from>
                    <xdr:col>12</xdr:col>
                    <xdr:colOff>1066800</xdr:colOff>
                    <xdr:row>5</xdr:row>
                    <xdr:rowOff>76200</xdr:rowOff>
                  </from>
                  <to>
                    <xdr:col>13</xdr:col>
                    <xdr:colOff>1242060</xdr:colOff>
                    <xdr:row>5</xdr:row>
                    <xdr:rowOff>297180</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D2B7A-51E1-481D-A8A2-665E05A734CB}">
  <sheetPr codeName="ShLangue"/>
  <dimension ref="A1:H169"/>
  <sheetViews>
    <sheetView showGridLines="0" topLeftCell="A154" workbookViewId="0">
      <selection activeCell="B174" sqref="B174"/>
    </sheetView>
  </sheetViews>
  <sheetFormatPr defaultColWidth="8.88671875" defaultRowHeight="14.4" x14ac:dyDescent="0.3"/>
  <cols>
    <col min="1" max="1" width="76" style="60" customWidth="1"/>
    <col min="2" max="2" width="87.6640625" style="60" customWidth="1"/>
    <col min="3" max="5" width="8.88671875" style="60"/>
    <col min="6" max="6" width="15" style="60" customWidth="1"/>
    <col min="7" max="7" width="8.88671875" style="60"/>
    <col min="8" max="8" width="14" style="60" customWidth="1"/>
    <col min="9" max="16384" width="8.88671875" style="60"/>
  </cols>
  <sheetData>
    <row r="1" spans="1:8" x14ac:dyDescent="0.3">
      <c r="A1" s="58" t="s">
        <v>179</v>
      </c>
      <c r="B1" s="58" t="s">
        <v>180</v>
      </c>
      <c r="F1" s="60" t="s">
        <v>178</v>
      </c>
      <c r="H1" s="60" t="s">
        <v>181</v>
      </c>
    </row>
    <row r="2" spans="1:8" x14ac:dyDescent="0.3">
      <c r="A2" s="59" t="s">
        <v>67</v>
      </c>
      <c r="B2" s="59" t="s">
        <v>187</v>
      </c>
      <c r="F2" s="60" t="s">
        <v>180</v>
      </c>
      <c r="H2" s="60" t="s">
        <v>182</v>
      </c>
    </row>
    <row r="3" spans="1:8" x14ac:dyDescent="0.3">
      <c r="A3" s="59" t="s">
        <v>44</v>
      </c>
      <c r="B3" s="59" t="s">
        <v>188</v>
      </c>
      <c r="F3" s="60" t="s">
        <v>179</v>
      </c>
      <c r="H3" s="60" t="s">
        <v>183</v>
      </c>
    </row>
    <row r="4" spans="1:8" x14ac:dyDescent="0.3">
      <c r="A4" s="59" t="s">
        <v>47</v>
      </c>
      <c r="B4" s="59" t="s">
        <v>189</v>
      </c>
    </row>
    <row r="5" spans="1:8" x14ac:dyDescent="0.3">
      <c r="A5" s="59" t="s">
        <v>51</v>
      </c>
      <c r="B5" s="59" t="s">
        <v>190</v>
      </c>
    </row>
    <row r="6" spans="1:8" x14ac:dyDescent="0.3">
      <c r="A6" s="59" t="s">
        <v>40</v>
      </c>
      <c r="B6" s="59" t="s">
        <v>40</v>
      </c>
    </row>
    <row r="7" spans="1:8" x14ac:dyDescent="0.3">
      <c r="A7" s="59" t="s">
        <v>28</v>
      </c>
      <c r="B7" s="59" t="s">
        <v>191</v>
      </c>
    </row>
    <row r="8" spans="1:8" x14ac:dyDescent="0.3">
      <c r="A8" s="59" t="s">
        <v>37</v>
      </c>
      <c r="B8" s="59" t="s">
        <v>192</v>
      </c>
    </row>
    <row r="9" spans="1:8" x14ac:dyDescent="0.3">
      <c r="A9" s="59" t="s">
        <v>49</v>
      </c>
      <c r="B9" s="59" t="s">
        <v>193</v>
      </c>
    </row>
    <row r="10" spans="1:8" x14ac:dyDescent="0.3">
      <c r="A10" s="59" t="s">
        <v>23</v>
      </c>
      <c r="B10" s="59" t="s">
        <v>194</v>
      </c>
    </row>
    <row r="11" spans="1:8" x14ac:dyDescent="0.3">
      <c r="A11" s="59" t="s">
        <v>16</v>
      </c>
      <c r="B11" s="59" t="s">
        <v>195</v>
      </c>
    </row>
    <row r="12" spans="1:8" x14ac:dyDescent="0.3">
      <c r="A12" s="59" t="s">
        <v>39</v>
      </c>
      <c r="B12" s="59" t="s">
        <v>196</v>
      </c>
    </row>
    <row r="13" spans="1:8" x14ac:dyDescent="0.3">
      <c r="A13" s="59" t="s">
        <v>33</v>
      </c>
      <c r="B13" s="59" t="s">
        <v>197</v>
      </c>
    </row>
    <row r="14" spans="1:8" x14ac:dyDescent="0.3">
      <c r="A14" s="59" t="s">
        <v>29</v>
      </c>
      <c r="B14" s="59" t="s">
        <v>198</v>
      </c>
    </row>
    <row r="15" spans="1:8" x14ac:dyDescent="0.3">
      <c r="A15" s="59" t="s">
        <v>24</v>
      </c>
      <c r="B15" s="59" t="s">
        <v>24</v>
      </c>
    </row>
    <row r="16" spans="1:8" x14ac:dyDescent="0.3">
      <c r="A16" s="59" t="s">
        <v>56</v>
      </c>
      <c r="B16" s="59" t="s">
        <v>345</v>
      </c>
    </row>
    <row r="17" spans="1:2" x14ac:dyDescent="0.3">
      <c r="A17" s="59" t="s">
        <v>30</v>
      </c>
      <c r="B17" s="59" t="s">
        <v>199</v>
      </c>
    </row>
    <row r="18" spans="1:2" x14ac:dyDescent="0.3">
      <c r="A18" s="59" t="s">
        <v>25</v>
      </c>
      <c r="B18" s="59" t="s">
        <v>43</v>
      </c>
    </row>
    <row r="19" spans="1:2" x14ac:dyDescent="0.3">
      <c r="A19" s="59" t="s">
        <v>35</v>
      </c>
      <c r="B19" s="59" t="s">
        <v>200</v>
      </c>
    </row>
    <row r="20" spans="1:2" x14ac:dyDescent="0.3">
      <c r="A20" s="59" t="s">
        <v>55</v>
      </c>
      <c r="B20" s="59" t="s">
        <v>55</v>
      </c>
    </row>
    <row r="21" spans="1:2" x14ac:dyDescent="0.3">
      <c r="A21" s="59" t="s">
        <v>57</v>
      </c>
      <c r="B21" s="59" t="s">
        <v>57</v>
      </c>
    </row>
    <row r="22" spans="1:2" x14ac:dyDescent="0.3">
      <c r="A22" s="59" t="s">
        <v>54</v>
      </c>
      <c r="B22" s="59" t="s">
        <v>201</v>
      </c>
    </row>
    <row r="23" spans="1:2" x14ac:dyDescent="0.3">
      <c r="A23" s="59" t="s">
        <v>58</v>
      </c>
      <c r="B23" s="59" t="s">
        <v>202</v>
      </c>
    </row>
    <row r="24" spans="1:2" x14ac:dyDescent="0.3">
      <c r="A24" s="59" t="s">
        <v>59</v>
      </c>
      <c r="B24" s="59" t="s">
        <v>203</v>
      </c>
    </row>
    <row r="25" spans="1:2" x14ac:dyDescent="0.3">
      <c r="A25" s="59" t="s">
        <v>60</v>
      </c>
      <c r="B25" s="59" t="s">
        <v>204</v>
      </c>
    </row>
    <row r="26" spans="1:2" x14ac:dyDescent="0.3">
      <c r="A26" s="59" t="s">
        <v>61</v>
      </c>
      <c r="B26" s="59" t="s">
        <v>205</v>
      </c>
    </row>
    <row r="27" spans="1:2" x14ac:dyDescent="0.3">
      <c r="A27" s="59" t="s">
        <v>41</v>
      </c>
      <c r="B27" s="59" t="s">
        <v>344</v>
      </c>
    </row>
    <row r="28" spans="1:2" x14ac:dyDescent="0.3">
      <c r="A28" s="59" t="s">
        <v>26</v>
      </c>
      <c r="B28" s="59" t="s">
        <v>206</v>
      </c>
    </row>
    <row r="29" spans="1:2" x14ac:dyDescent="0.3">
      <c r="A29" s="59" t="s">
        <v>38</v>
      </c>
      <c r="B29" s="59" t="s">
        <v>207</v>
      </c>
    </row>
    <row r="30" spans="1:2" x14ac:dyDescent="0.3">
      <c r="A30" s="59" t="s">
        <v>36</v>
      </c>
      <c r="B30" s="59" t="s">
        <v>36</v>
      </c>
    </row>
    <row r="31" spans="1:2" x14ac:dyDescent="0.3">
      <c r="A31" s="59" t="s">
        <v>31</v>
      </c>
      <c r="B31" s="59" t="s">
        <v>208</v>
      </c>
    </row>
    <row r="32" spans="1:2" x14ac:dyDescent="0.3">
      <c r="A32" s="59" t="s">
        <v>20</v>
      </c>
      <c r="B32" s="59" t="s">
        <v>209</v>
      </c>
    </row>
    <row r="33" spans="1:2" x14ac:dyDescent="0.3">
      <c r="A33" s="59" t="s">
        <v>45</v>
      </c>
      <c r="B33" s="59" t="s">
        <v>45</v>
      </c>
    </row>
    <row r="34" spans="1:2" x14ac:dyDescent="0.3">
      <c r="A34" s="59" t="s">
        <v>48</v>
      </c>
      <c r="B34" s="59" t="s">
        <v>48</v>
      </c>
    </row>
    <row r="35" spans="1:2" x14ac:dyDescent="0.3">
      <c r="A35" s="59" t="s">
        <v>52</v>
      </c>
      <c r="B35" s="59" t="s">
        <v>52</v>
      </c>
    </row>
    <row r="36" spans="1:2" x14ac:dyDescent="0.3">
      <c r="A36" s="59" t="s">
        <v>42</v>
      </c>
      <c r="B36" s="59" t="s">
        <v>210</v>
      </c>
    </row>
    <row r="37" spans="1:2" x14ac:dyDescent="0.3">
      <c r="A37" s="59" t="s">
        <v>19</v>
      </c>
      <c r="B37" s="59" t="s">
        <v>211</v>
      </c>
    </row>
    <row r="38" spans="1:2" x14ac:dyDescent="0.3">
      <c r="A38" s="59" t="s">
        <v>32</v>
      </c>
      <c r="B38" s="59" t="s">
        <v>212</v>
      </c>
    </row>
    <row r="39" spans="1:2" x14ac:dyDescent="0.3">
      <c r="A39" s="59" t="s">
        <v>27</v>
      </c>
      <c r="B39" s="59" t="s">
        <v>213</v>
      </c>
    </row>
    <row r="40" spans="1:2" x14ac:dyDescent="0.3">
      <c r="A40" s="59" t="s">
        <v>34</v>
      </c>
      <c r="B40" s="59" t="s">
        <v>34</v>
      </c>
    </row>
    <row r="41" spans="1:2" x14ac:dyDescent="0.3">
      <c r="A41" s="59" t="s">
        <v>185</v>
      </c>
      <c r="B41" s="59" t="s">
        <v>214</v>
      </c>
    </row>
    <row r="42" spans="1:2" x14ac:dyDescent="0.3">
      <c r="A42" s="59" t="s">
        <v>186</v>
      </c>
      <c r="B42" s="59" t="s">
        <v>215</v>
      </c>
    </row>
    <row r="43" spans="1:2" x14ac:dyDescent="0.3">
      <c r="A43" s="59" t="s">
        <v>73</v>
      </c>
      <c r="B43" s="59" t="s">
        <v>216</v>
      </c>
    </row>
    <row r="44" spans="1:2" x14ac:dyDescent="0.3">
      <c r="A44" s="59" t="s">
        <v>104</v>
      </c>
      <c r="B44" s="59" t="s">
        <v>217</v>
      </c>
    </row>
    <row r="45" spans="1:2" x14ac:dyDescent="0.3">
      <c r="A45" s="59" t="s">
        <v>12</v>
      </c>
      <c r="B45" s="59" t="s">
        <v>218</v>
      </c>
    </row>
    <row r="46" spans="1:2" x14ac:dyDescent="0.3">
      <c r="A46" s="59" t="s">
        <v>72</v>
      </c>
      <c r="B46" s="59" t="s">
        <v>219</v>
      </c>
    </row>
    <row r="47" spans="1:2" x14ac:dyDescent="0.3">
      <c r="A47" s="59" t="s">
        <v>75</v>
      </c>
      <c r="B47" s="59" t="s">
        <v>220</v>
      </c>
    </row>
    <row r="48" spans="1:2" x14ac:dyDescent="0.3">
      <c r="A48" s="59" t="s">
        <v>184</v>
      </c>
      <c r="B48" s="59" t="s">
        <v>255</v>
      </c>
    </row>
    <row r="49" spans="1:2" x14ac:dyDescent="0.3">
      <c r="A49" s="59" t="s">
        <v>178</v>
      </c>
      <c r="B49" s="59" t="s">
        <v>221</v>
      </c>
    </row>
    <row r="50" spans="1:2" x14ac:dyDescent="0.3">
      <c r="A50" s="59" t="s">
        <v>4</v>
      </c>
      <c r="B50" s="59" t="s">
        <v>222</v>
      </c>
    </row>
    <row r="51" spans="1:2" x14ac:dyDescent="0.3">
      <c r="A51" s="59" t="s">
        <v>6</v>
      </c>
      <c r="B51" s="59" t="s">
        <v>223</v>
      </c>
    </row>
    <row r="52" spans="1:2" x14ac:dyDescent="0.3">
      <c r="A52" s="59" t="s">
        <v>8</v>
      </c>
      <c r="B52" s="59" t="s">
        <v>224</v>
      </c>
    </row>
    <row r="53" spans="1:2" x14ac:dyDescent="0.3">
      <c r="A53" s="59" t="s">
        <v>10</v>
      </c>
      <c r="B53" s="59" t="s">
        <v>10</v>
      </c>
    </row>
    <row r="54" spans="1:2" x14ac:dyDescent="0.3">
      <c r="A54" s="59" t="s">
        <v>0</v>
      </c>
      <c r="B54" s="59" t="s">
        <v>225</v>
      </c>
    </row>
    <row r="55" spans="1:2" x14ac:dyDescent="0.3">
      <c r="A55" s="59" t="s">
        <v>1</v>
      </c>
      <c r="B55" s="59" t="s">
        <v>226</v>
      </c>
    </row>
    <row r="56" spans="1:2" x14ac:dyDescent="0.3">
      <c r="A56" s="59" t="s">
        <v>2</v>
      </c>
      <c r="B56" s="59" t="s">
        <v>227</v>
      </c>
    </row>
    <row r="57" spans="1:2" x14ac:dyDescent="0.3">
      <c r="A57" s="59" t="s">
        <v>76</v>
      </c>
      <c r="B57" s="59" t="s">
        <v>228</v>
      </c>
    </row>
    <row r="58" spans="1:2" x14ac:dyDescent="0.3">
      <c r="A58" s="59" t="s">
        <v>77</v>
      </c>
      <c r="B58" s="59" t="s">
        <v>229</v>
      </c>
    </row>
    <row r="59" spans="1:2" x14ac:dyDescent="0.3">
      <c r="A59" s="59" t="s">
        <v>78</v>
      </c>
      <c r="B59" s="59" t="s">
        <v>230</v>
      </c>
    </row>
    <row r="60" spans="1:2" x14ac:dyDescent="0.3">
      <c r="A60" s="59" t="s">
        <v>79</v>
      </c>
      <c r="B60" s="59" t="s">
        <v>231</v>
      </c>
    </row>
    <row r="61" spans="1:2" x14ac:dyDescent="0.3">
      <c r="A61" s="59" t="s">
        <v>94</v>
      </c>
      <c r="B61" s="59" t="s">
        <v>232</v>
      </c>
    </row>
    <row r="62" spans="1:2" x14ac:dyDescent="0.3">
      <c r="A62" s="59" t="s">
        <v>95</v>
      </c>
      <c r="B62" s="59" t="s">
        <v>233</v>
      </c>
    </row>
    <row r="63" spans="1:2" x14ac:dyDescent="0.3">
      <c r="A63" s="59" t="s">
        <v>81</v>
      </c>
      <c r="B63" s="59" t="s">
        <v>234</v>
      </c>
    </row>
    <row r="64" spans="1:2" x14ac:dyDescent="0.3">
      <c r="A64" s="59" t="s">
        <v>91</v>
      </c>
      <c r="B64" s="59" t="s">
        <v>235</v>
      </c>
    </row>
    <row r="65" spans="1:2" x14ac:dyDescent="0.3">
      <c r="A65" s="59" t="s">
        <v>82</v>
      </c>
      <c r="B65" s="59" t="s">
        <v>236</v>
      </c>
    </row>
    <row r="66" spans="1:2" x14ac:dyDescent="0.3">
      <c r="A66" s="59" t="s">
        <v>85</v>
      </c>
      <c r="B66" s="59" t="s">
        <v>237</v>
      </c>
    </row>
    <row r="67" spans="1:2" x14ac:dyDescent="0.3">
      <c r="A67" s="59" t="s">
        <v>88</v>
      </c>
      <c r="B67" s="59" t="s">
        <v>238</v>
      </c>
    </row>
    <row r="68" spans="1:2" x14ac:dyDescent="0.3">
      <c r="A68" s="59" t="s">
        <v>92</v>
      </c>
      <c r="B68" s="59" t="s">
        <v>239</v>
      </c>
    </row>
    <row r="69" spans="1:2" x14ac:dyDescent="0.3">
      <c r="A69" s="59" t="s">
        <v>83</v>
      </c>
      <c r="B69" s="59" t="s">
        <v>240</v>
      </c>
    </row>
    <row r="70" spans="1:2" x14ac:dyDescent="0.3">
      <c r="A70" s="59" t="s">
        <v>86</v>
      </c>
      <c r="B70" s="59" t="s">
        <v>241</v>
      </c>
    </row>
    <row r="71" spans="1:2" x14ac:dyDescent="0.3">
      <c r="A71" s="59" t="s">
        <v>89</v>
      </c>
      <c r="B71" s="59" t="s">
        <v>242</v>
      </c>
    </row>
    <row r="72" spans="1:2" x14ac:dyDescent="0.3">
      <c r="A72" s="59" t="s">
        <v>93</v>
      </c>
      <c r="B72" s="59" t="s">
        <v>243</v>
      </c>
    </row>
    <row r="73" spans="1:2" x14ac:dyDescent="0.3">
      <c r="A73" s="59" t="s">
        <v>96</v>
      </c>
      <c r="B73" s="59" t="s">
        <v>244</v>
      </c>
    </row>
    <row r="74" spans="1:2" x14ac:dyDescent="0.3">
      <c r="A74" s="59" t="s">
        <v>98</v>
      </c>
      <c r="B74" s="59" t="s">
        <v>245</v>
      </c>
    </row>
    <row r="75" spans="1:2" x14ac:dyDescent="0.3">
      <c r="A75" s="59" t="s">
        <v>100</v>
      </c>
      <c r="B75" s="59" t="s">
        <v>246</v>
      </c>
    </row>
    <row r="76" spans="1:2" x14ac:dyDescent="0.3">
      <c r="A76" s="59" t="s">
        <v>102</v>
      </c>
      <c r="B76" s="59" t="s">
        <v>247</v>
      </c>
    </row>
    <row r="77" spans="1:2" ht="28.8" x14ac:dyDescent="0.3">
      <c r="A77" s="59" t="s">
        <v>97</v>
      </c>
      <c r="B77" s="59" t="s">
        <v>248</v>
      </c>
    </row>
    <row r="78" spans="1:2" ht="28.8" x14ac:dyDescent="0.3">
      <c r="A78" s="59" t="s">
        <v>99</v>
      </c>
      <c r="B78" s="59" t="s">
        <v>249</v>
      </c>
    </row>
    <row r="79" spans="1:2" ht="43.2" x14ac:dyDescent="0.3">
      <c r="A79" s="59" t="s">
        <v>101</v>
      </c>
      <c r="B79" s="59" t="s">
        <v>250</v>
      </c>
    </row>
    <row r="80" spans="1:2" ht="57.6" x14ac:dyDescent="0.3">
      <c r="A80" s="59" t="s">
        <v>103</v>
      </c>
      <c r="B80" s="59" t="s">
        <v>251</v>
      </c>
    </row>
    <row r="81" spans="1:2" x14ac:dyDescent="0.3">
      <c r="A81" s="59" t="s">
        <v>252</v>
      </c>
      <c r="B81" s="59" t="s">
        <v>253</v>
      </c>
    </row>
    <row r="82" spans="1:2" x14ac:dyDescent="0.3">
      <c r="A82" s="59" t="s">
        <v>107</v>
      </c>
      <c r="B82" s="59" t="s">
        <v>254</v>
      </c>
    </row>
    <row r="83" spans="1:2" x14ac:dyDescent="0.3">
      <c r="A83" s="59" t="s">
        <v>13</v>
      </c>
      <c r="B83" s="59" t="s">
        <v>13</v>
      </c>
    </row>
    <row r="84" spans="1:2" x14ac:dyDescent="0.3">
      <c r="A84" s="59" t="s">
        <v>62</v>
      </c>
      <c r="B84" s="59" t="s">
        <v>256</v>
      </c>
    </row>
    <row r="85" spans="1:2" x14ac:dyDescent="0.3">
      <c r="A85" s="59" t="s">
        <v>14</v>
      </c>
      <c r="B85" s="59" t="s">
        <v>257</v>
      </c>
    </row>
    <row r="86" spans="1:2" x14ac:dyDescent="0.3">
      <c r="A86" s="59" t="s">
        <v>15</v>
      </c>
      <c r="B86" s="59" t="s">
        <v>15</v>
      </c>
    </row>
    <row r="87" spans="1:2" x14ac:dyDescent="0.3">
      <c r="A87" s="59" t="s">
        <v>17</v>
      </c>
      <c r="B87" s="59" t="s">
        <v>343</v>
      </c>
    </row>
    <row r="88" spans="1:2" x14ac:dyDescent="0.3">
      <c r="A88" s="59" t="s">
        <v>18</v>
      </c>
      <c r="B88" s="59" t="s">
        <v>258</v>
      </c>
    </row>
    <row r="89" spans="1:2" x14ac:dyDescent="0.3">
      <c r="A89" s="59" t="s">
        <v>21</v>
      </c>
      <c r="B89" s="59" t="s">
        <v>259</v>
      </c>
    </row>
    <row r="90" spans="1:2" x14ac:dyDescent="0.3">
      <c r="A90" s="59" t="s">
        <v>22</v>
      </c>
      <c r="B90" s="59" t="s">
        <v>260</v>
      </c>
    </row>
    <row r="91" spans="1:2" x14ac:dyDescent="0.3">
      <c r="A91" s="59" t="s">
        <v>108</v>
      </c>
      <c r="B91" s="59" t="s">
        <v>261</v>
      </c>
    </row>
    <row r="92" spans="1:2" x14ac:dyDescent="0.3">
      <c r="A92" s="59" t="s">
        <v>112</v>
      </c>
      <c r="B92" s="59" t="s">
        <v>262</v>
      </c>
    </row>
    <row r="93" spans="1:2" x14ac:dyDescent="0.3">
      <c r="A93" s="59" t="s">
        <v>116</v>
      </c>
      <c r="B93" s="59" t="s">
        <v>341</v>
      </c>
    </row>
    <row r="94" spans="1:2" x14ac:dyDescent="0.3">
      <c r="A94" s="59" t="s">
        <v>120</v>
      </c>
      <c r="B94" s="59" t="s">
        <v>263</v>
      </c>
    </row>
    <row r="95" spans="1:2" ht="28.8" x14ac:dyDescent="0.3">
      <c r="A95" s="59" t="s">
        <v>123</v>
      </c>
      <c r="B95" s="59" t="s">
        <v>264</v>
      </c>
    </row>
    <row r="96" spans="1:2" x14ac:dyDescent="0.3">
      <c r="A96" s="59" t="s">
        <v>126</v>
      </c>
      <c r="B96" s="59" t="s">
        <v>265</v>
      </c>
    </row>
    <row r="97" spans="1:2" x14ac:dyDescent="0.3">
      <c r="A97" s="59" t="s">
        <v>128</v>
      </c>
      <c r="B97" s="59" t="s">
        <v>266</v>
      </c>
    </row>
    <row r="98" spans="1:2" x14ac:dyDescent="0.3">
      <c r="A98" s="59" t="s">
        <v>131</v>
      </c>
      <c r="B98" s="59" t="s">
        <v>267</v>
      </c>
    </row>
    <row r="99" spans="1:2" x14ac:dyDescent="0.3">
      <c r="A99" s="59" t="s">
        <v>134</v>
      </c>
      <c r="B99" s="59" t="s">
        <v>268</v>
      </c>
    </row>
    <row r="100" spans="1:2" x14ac:dyDescent="0.3">
      <c r="A100" s="59" t="s">
        <v>137</v>
      </c>
      <c r="B100" s="59" t="s">
        <v>269</v>
      </c>
    </row>
    <row r="101" spans="1:2" ht="28.8" x14ac:dyDescent="0.3">
      <c r="A101" s="59" t="s">
        <v>140</v>
      </c>
      <c r="B101" s="59" t="s">
        <v>270</v>
      </c>
    </row>
    <row r="102" spans="1:2" x14ac:dyDescent="0.3">
      <c r="A102" s="59" t="s">
        <v>143</v>
      </c>
      <c r="B102" s="59" t="s">
        <v>143</v>
      </c>
    </row>
    <row r="103" spans="1:2" x14ac:dyDescent="0.3">
      <c r="A103" s="59" t="s">
        <v>147</v>
      </c>
      <c r="B103" s="59" t="s">
        <v>271</v>
      </c>
    </row>
    <row r="104" spans="1:2" x14ac:dyDescent="0.3">
      <c r="A104" s="59" t="s">
        <v>150</v>
      </c>
      <c r="B104" s="59" t="s">
        <v>272</v>
      </c>
    </row>
    <row r="105" spans="1:2" ht="28.8" x14ac:dyDescent="0.3">
      <c r="A105" s="59" t="s">
        <v>153</v>
      </c>
      <c r="B105" s="59" t="s">
        <v>273</v>
      </c>
    </row>
    <row r="106" spans="1:2" x14ac:dyDescent="0.3">
      <c r="A106" s="59" t="s">
        <v>156</v>
      </c>
      <c r="B106" s="59" t="s">
        <v>274</v>
      </c>
    </row>
    <row r="107" spans="1:2" x14ac:dyDescent="0.3">
      <c r="A107" s="59" t="s">
        <v>159</v>
      </c>
      <c r="B107" s="59" t="s">
        <v>275</v>
      </c>
    </row>
    <row r="108" spans="1:2" ht="43.2" x14ac:dyDescent="0.3">
      <c r="A108" s="59" t="s">
        <v>110</v>
      </c>
      <c r="B108" s="59" t="s">
        <v>276</v>
      </c>
    </row>
    <row r="109" spans="1:2" x14ac:dyDescent="0.3">
      <c r="A109" s="59" t="s">
        <v>114</v>
      </c>
      <c r="B109" s="59" t="s">
        <v>277</v>
      </c>
    </row>
    <row r="110" spans="1:2" x14ac:dyDescent="0.3">
      <c r="A110" s="59" t="s">
        <v>118</v>
      </c>
      <c r="B110" s="59" t="s">
        <v>278</v>
      </c>
    </row>
    <row r="111" spans="1:2" ht="43.2" x14ac:dyDescent="0.3">
      <c r="A111" s="59" t="s">
        <v>121</v>
      </c>
      <c r="B111" s="59" t="s">
        <v>279</v>
      </c>
    </row>
    <row r="112" spans="1:2" ht="43.2" x14ac:dyDescent="0.3">
      <c r="A112" s="59" t="s">
        <v>124</v>
      </c>
      <c r="B112" s="59" t="s">
        <v>280</v>
      </c>
    </row>
    <row r="113" spans="1:2" ht="28.8" x14ac:dyDescent="0.3">
      <c r="A113" s="59" t="s">
        <v>127</v>
      </c>
      <c r="B113" s="59" t="s">
        <v>281</v>
      </c>
    </row>
    <row r="114" spans="1:2" ht="28.8" x14ac:dyDescent="0.3">
      <c r="A114" s="59" t="s">
        <v>129</v>
      </c>
      <c r="B114" s="59" t="s">
        <v>282</v>
      </c>
    </row>
    <row r="115" spans="1:2" ht="28.8" x14ac:dyDescent="0.3">
      <c r="A115" s="59" t="s">
        <v>132</v>
      </c>
      <c r="B115" s="59" t="s">
        <v>283</v>
      </c>
    </row>
    <row r="116" spans="1:2" ht="43.2" x14ac:dyDescent="0.3">
      <c r="A116" s="59" t="s">
        <v>135</v>
      </c>
      <c r="B116" s="59" t="s">
        <v>284</v>
      </c>
    </row>
    <row r="117" spans="1:2" ht="43.2" x14ac:dyDescent="0.3">
      <c r="A117" s="59" t="s">
        <v>138</v>
      </c>
      <c r="B117" s="59" t="s">
        <v>285</v>
      </c>
    </row>
    <row r="118" spans="1:2" ht="28.8" x14ac:dyDescent="0.3">
      <c r="A118" s="59" t="s">
        <v>141</v>
      </c>
      <c r="B118" s="59" t="s">
        <v>286</v>
      </c>
    </row>
    <row r="119" spans="1:2" ht="28.8" x14ac:dyDescent="0.3">
      <c r="A119" s="59" t="s">
        <v>145</v>
      </c>
      <c r="B119" s="59" t="s">
        <v>287</v>
      </c>
    </row>
    <row r="120" spans="1:2" ht="28.8" x14ac:dyDescent="0.3">
      <c r="A120" s="59" t="s">
        <v>148</v>
      </c>
      <c r="B120" s="59" t="s">
        <v>288</v>
      </c>
    </row>
    <row r="121" spans="1:2" x14ac:dyDescent="0.3">
      <c r="A121" s="59" t="s">
        <v>151</v>
      </c>
      <c r="B121" s="59" t="s">
        <v>289</v>
      </c>
    </row>
    <row r="122" spans="1:2" ht="43.2" x14ac:dyDescent="0.3">
      <c r="A122" s="59" t="s">
        <v>154</v>
      </c>
      <c r="B122" s="59" t="s">
        <v>290</v>
      </c>
    </row>
    <row r="123" spans="1:2" ht="43.2" x14ac:dyDescent="0.3">
      <c r="A123" s="59" t="s">
        <v>157</v>
      </c>
      <c r="B123" s="59" t="s">
        <v>291</v>
      </c>
    </row>
    <row r="124" spans="1:2" ht="43.2" x14ac:dyDescent="0.3">
      <c r="A124" s="59" t="s">
        <v>160</v>
      </c>
      <c r="B124" s="59" t="s">
        <v>292</v>
      </c>
    </row>
    <row r="125" spans="1:2" ht="43.2" x14ac:dyDescent="0.3">
      <c r="A125" s="59" t="s">
        <v>111</v>
      </c>
      <c r="B125" s="59" t="s">
        <v>293</v>
      </c>
    </row>
    <row r="126" spans="1:2" x14ac:dyDescent="0.3">
      <c r="A126" s="59" t="s">
        <v>115</v>
      </c>
      <c r="B126" s="59" t="s">
        <v>294</v>
      </c>
    </row>
    <row r="127" spans="1:2" x14ac:dyDescent="0.3">
      <c r="A127" s="59" t="s">
        <v>119</v>
      </c>
      <c r="B127" s="59" t="s">
        <v>295</v>
      </c>
    </row>
    <row r="128" spans="1:2" ht="28.8" x14ac:dyDescent="0.3">
      <c r="A128" s="59" t="s">
        <v>122</v>
      </c>
      <c r="B128" s="59" t="s">
        <v>296</v>
      </c>
    </row>
    <row r="129" spans="1:2" ht="28.8" x14ac:dyDescent="0.3">
      <c r="A129" s="59" t="s">
        <v>125</v>
      </c>
      <c r="B129" s="59" t="s">
        <v>297</v>
      </c>
    </row>
    <row r="130" spans="1:2" ht="28.8" x14ac:dyDescent="0.3">
      <c r="A130" s="59" t="s">
        <v>130</v>
      </c>
      <c r="B130" s="59" t="s">
        <v>298</v>
      </c>
    </row>
    <row r="131" spans="1:2" ht="43.2" x14ac:dyDescent="0.3">
      <c r="A131" s="59" t="s">
        <v>133</v>
      </c>
      <c r="B131" s="59" t="s">
        <v>299</v>
      </c>
    </row>
    <row r="132" spans="1:2" x14ac:dyDescent="0.3">
      <c r="A132" s="59" t="s">
        <v>136</v>
      </c>
      <c r="B132" s="59" t="s">
        <v>300</v>
      </c>
    </row>
    <row r="133" spans="1:2" x14ac:dyDescent="0.3">
      <c r="A133" s="59" t="s">
        <v>139</v>
      </c>
      <c r="B133" s="59" t="s">
        <v>301</v>
      </c>
    </row>
    <row r="134" spans="1:2" x14ac:dyDescent="0.3">
      <c r="A134" s="59" t="s">
        <v>142</v>
      </c>
      <c r="B134" s="59" t="s">
        <v>302</v>
      </c>
    </row>
    <row r="135" spans="1:2" x14ac:dyDescent="0.3">
      <c r="A135" s="59" t="s">
        <v>146</v>
      </c>
      <c r="B135" s="59" t="s">
        <v>303</v>
      </c>
    </row>
    <row r="136" spans="1:2" x14ac:dyDescent="0.3">
      <c r="A136" s="59" t="s">
        <v>149</v>
      </c>
      <c r="B136" s="59" t="s">
        <v>304</v>
      </c>
    </row>
    <row r="137" spans="1:2" x14ac:dyDescent="0.3">
      <c r="A137" s="59" t="s">
        <v>152</v>
      </c>
      <c r="B137" s="59" t="s">
        <v>305</v>
      </c>
    </row>
    <row r="138" spans="1:2" ht="43.2" x14ac:dyDescent="0.3">
      <c r="A138" s="59" t="s">
        <v>155</v>
      </c>
      <c r="B138" s="59" t="s">
        <v>306</v>
      </c>
    </row>
    <row r="139" spans="1:2" ht="43.2" x14ac:dyDescent="0.3">
      <c r="A139" s="59" t="s">
        <v>158</v>
      </c>
      <c r="B139" s="59" t="s">
        <v>307</v>
      </c>
    </row>
    <row r="140" spans="1:2" ht="43.2" x14ac:dyDescent="0.3">
      <c r="A140" s="59" t="s">
        <v>161</v>
      </c>
      <c r="B140" s="59" t="s">
        <v>308</v>
      </c>
    </row>
    <row r="141" spans="1:2" x14ac:dyDescent="0.3">
      <c r="A141" s="59" t="s">
        <v>309</v>
      </c>
      <c r="B141" s="59" t="s">
        <v>311</v>
      </c>
    </row>
    <row r="142" spans="1:2" x14ac:dyDescent="0.3">
      <c r="A142" s="59" t="s">
        <v>310</v>
      </c>
      <c r="B142" s="59" t="s">
        <v>312</v>
      </c>
    </row>
    <row r="143" spans="1:2" x14ac:dyDescent="0.3">
      <c r="A143" s="59" t="s">
        <v>70</v>
      </c>
      <c r="B143" s="59" t="s">
        <v>316</v>
      </c>
    </row>
    <row r="144" spans="1:2" x14ac:dyDescent="0.3">
      <c r="A144" s="59" t="s">
        <v>162</v>
      </c>
      <c r="B144" s="59" t="s">
        <v>317</v>
      </c>
    </row>
    <row r="145" spans="1:2" x14ac:dyDescent="0.3">
      <c r="A145" s="59" t="s">
        <v>168</v>
      </c>
      <c r="B145" s="59" t="s">
        <v>318</v>
      </c>
    </row>
    <row r="146" spans="1:2" ht="28.8" x14ac:dyDescent="0.3">
      <c r="A146" s="59" t="s">
        <v>173</v>
      </c>
      <c r="B146" s="59" t="s">
        <v>319</v>
      </c>
    </row>
    <row r="147" spans="1:2" x14ac:dyDescent="0.3">
      <c r="A147" s="59" t="s">
        <v>69</v>
      </c>
      <c r="B147" s="59" t="s">
        <v>320</v>
      </c>
    </row>
    <row r="148" spans="1:2" x14ac:dyDescent="0.3">
      <c r="A148" s="59" t="s">
        <v>163</v>
      </c>
      <c r="B148" s="59" t="s">
        <v>321</v>
      </c>
    </row>
    <row r="149" spans="1:2" ht="28.8" x14ac:dyDescent="0.3">
      <c r="A149" s="59" t="s">
        <v>169</v>
      </c>
      <c r="B149" s="59" t="s">
        <v>322</v>
      </c>
    </row>
    <row r="150" spans="1:2" x14ac:dyDescent="0.3">
      <c r="A150" s="59" t="s">
        <v>174</v>
      </c>
      <c r="B150" s="59" t="s">
        <v>323</v>
      </c>
    </row>
    <row r="151" spans="1:2" x14ac:dyDescent="0.3">
      <c r="A151" s="59" t="s">
        <v>165</v>
      </c>
      <c r="B151" s="59" t="s">
        <v>324</v>
      </c>
    </row>
    <row r="152" spans="1:2" ht="43.2" x14ac:dyDescent="0.3">
      <c r="A152" s="59" t="s">
        <v>171</v>
      </c>
      <c r="B152" s="59" t="s">
        <v>325</v>
      </c>
    </row>
    <row r="153" spans="1:2" ht="28.8" x14ac:dyDescent="0.3">
      <c r="A153" s="59" t="s">
        <v>176</v>
      </c>
      <c r="B153" s="59" t="s">
        <v>326</v>
      </c>
    </row>
    <row r="154" spans="1:2" ht="28.8" x14ac:dyDescent="0.3">
      <c r="A154" s="59" t="s">
        <v>166</v>
      </c>
      <c r="B154" s="59" t="s">
        <v>327</v>
      </c>
    </row>
    <row r="155" spans="1:2" ht="28.8" x14ac:dyDescent="0.3">
      <c r="A155" s="59" t="s">
        <v>167</v>
      </c>
      <c r="B155" s="59" t="s">
        <v>328</v>
      </c>
    </row>
    <row r="156" spans="1:2" x14ac:dyDescent="0.3">
      <c r="A156" s="59" t="s">
        <v>172</v>
      </c>
      <c r="B156" s="59" t="s">
        <v>329</v>
      </c>
    </row>
    <row r="157" spans="1:2" ht="43.2" x14ac:dyDescent="0.3">
      <c r="A157" s="59" t="s">
        <v>177</v>
      </c>
      <c r="B157" s="59" t="s">
        <v>330</v>
      </c>
    </row>
    <row r="158" spans="1:2" ht="28.8" x14ac:dyDescent="0.3">
      <c r="A158" s="59" t="s">
        <v>313</v>
      </c>
      <c r="B158" s="59" t="s">
        <v>331</v>
      </c>
    </row>
    <row r="159" spans="1:2" x14ac:dyDescent="0.3">
      <c r="A159" s="59" t="s">
        <v>68</v>
      </c>
      <c r="B159" s="59" t="s">
        <v>332</v>
      </c>
    </row>
    <row r="160" spans="1:2" x14ac:dyDescent="0.3">
      <c r="A160" s="59" t="s">
        <v>63</v>
      </c>
      <c r="B160" s="59" t="s">
        <v>260</v>
      </c>
    </row>
    <row r="161" spans="1:2" x14ac:dyDescent="0.3">
      <c r="A161" s="59" t="s">
        <v>64</v>
      </c>
      <c r="B161" s="59" t="s">
        <v>333</v>
      </c>
    </row>
    <row r="162" spans="1:2" x14ac:dyDescent="0.3">
      <c r="A162" s="59" t="s">
        <v>65</v>
      </c>
      <c r="B162" s="59" t="s">
        <v>334</v>
      </c>
    </row>
    <row r="163" spans="1:2" x14ac:dyDescent="0.3">
      <c r="A163" s="59" t="s">
        <v>66</v>
      </c>
      <c r="B163" s="59" t="s">
        <v>335</v>
      </c>
    </row>
    <row r="164" spans="1:2" x14ac:dyDescent="0.3">
      <c r="A164" s="59" t="s">
        <v>105</v>
      </c>
      <c r="B164" s="59" t="s">
        <v>105</v>
      </c>
    </row>
    <row r="165" spans="1:2" x14ac:dyDescent="0.3">
      <c r="A165" s="59" t="s">
        <v>106</v>
      </c>
      <c r="B165" s="59" t="s">
        <v>336</v>
      </c>
    </row>
    <row r="166" spans="1:2" x14ac:dyDescent="0.3">
      <c r="A166" s="59" t="s">
        <v>314</v>
      </c>
      <c r="B166" s="59" t="s">
        <v>337</v>
      </c>
    </row>
    <row r="167" spans="1:2" x14ac:dyDescent="0.3">
      <c r="A167" s="59" t="s">
        <v>315</v>
      </c>
      <c r="B167" s="59" t="s">
        <v>338</v>
      </c>
    </row>
    <row r="168" spans="1:2" x14ac:dyDescent="0.3">
      <c r="A168" s="59" t="s">
        <v>339</v>
      </c>
      <c r="B168" s="59" t="s">
        <v>340</v>
      </c>
    </row>
    <row r="169" spans="1:2" x14ac:dyDescent="0.3">
      <c r="A169" s="59" t="s">
        <v>71</v>
      </c>
      <c r="B169" s="59" t="s">
        <v>346</v>
      </c>
    </row>
  </sheetData>
  <conditionalFormatting sqref="A2:A169">
    <cfRule type="duplicateValues" dxfId="24" priority="31"/>
    <cfRule type="duplicateValues" dxfId="23" priority="17"/>
  </conditionalFormatting>
  <pageMargins left="0.7" right="0.7" top="0.75" bottom="0.75" header="0.3" footer="0.3"/>
  <pageSetup paperSize="9"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Echelles</vt:lpstr>
      <vt:lpstr>Registre des risques</vt:lpstr>
      <vt:lpstr>Registre des problèmes</vt:lpstr>
      <vt:lpstr>Matrice</vt:lpstr>
      <vt:lpstr>Paramétrage</vt:lpstr>
      <vt:lpstr>Langue</vt:lpstr>
      <vt:lpstr>Langue</vt:lpstr>
      <vt:lpstr>TabEchelle2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Samir</dc:creator>
  <cp:lastModifiedBy>Sara AIT TALEB</cp:lastModifiedBy>
  <dcterms:created xsi:type="dcterms:W3CDTF">2023-03-25T11:35:34Z</dcterms:created>
  <dcterms:modified xsi:type="dcterms:W3CDTF">2023-09-05T17:50:54Z</dcterms:modified>
</cp:coreProperties>
</file>