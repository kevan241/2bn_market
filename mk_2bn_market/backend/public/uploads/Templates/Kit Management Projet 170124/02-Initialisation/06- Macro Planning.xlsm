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ir\Desktop\"/>
    </mc:Choice>
  </mc:AlternateContent>
  <xr:revisionPtr revIDLastSave="0" documentId="13_ncr:1_{4C5E0AE4-ACAE-4036-A867-8F4C351C93A1}" xr6:coauthVersionLast="47" xr6:coauthVersionMax="47" xr10:uidLastSave="{00000000-0000-0000-0000-000000000000}"/>
  <bookViews>
    <workbookView xWindow="-108" yWindow="-108" windowWidth="23256" windowHeight="12456" tabRatio="569" firstSheet="1" activeTab="1" xr2:uid="{E9E35B5E-CE22-48DD-9FF9-C057520BCDE5}"/>
  </bookViews>
  <sheets>
    <sheet name="Guide d'utilisation" sheetId="5" state="veryHidden" r:id="rId1"/>
    <sheet name="Macro-planing projet" sheetId="1" r:id="rId2"/>
    <sheet name="Langue" sheetId="6" state="veryHidden" r:id="rId3"/>
    <sheet name="Paramétrage" sheetId="2" state="veryHidden" r:id="rId4"/>
    <sheet name="Backend" sheetId="3" state="veryHidden" r:id="rId5"/>
  </sheets>
  <functionGroups builtInGroupCount="19"/>
  <definedNames>
    <definedName name="DaysToIncrement">Backend!$B$1</definedName>
    <definedName name="FirstMonthTheme">Paramétrage!$AN$8</definedName>
    <definedName name="GanttColor">Paramétrage!$C$10</definedName>
    <definedName name="GanttHeader">'Macro-planing projet'!$K$9:$BN$9</definedName>
    <definedName name="GanttHeaderAll">'Macro-planing projet'!$K$5:$BN$11</definedName>
    <definedName name="GanttHeaderDateWeeks">'Macro-planing projet'!$K$8:$BN$8</definedName>
    <definedName name="GanttHeaderMonthsWeeks">'Macro-planing projet'!$K$5:$BN$5</definedName>
    <definedName name="GanttHeaderYears">'Macro-planing projet'!$K$6:$BN$6</definedName>
    <definedName name="IsDaysGantt">Backend!$B$3</definedName>
    <definedName name="IsMaximize">Backend!$B$2</definedName>
    <definedName name="IsMonthsGantt">Backend!$B$5</definedName>
    <definedName name="IsProject">Paramétrage!$AG$9</definedName>
    <definedName name="IsWeeksGant">Backend!$B$4</definedName>
    <definedName name="Langue">'Macro-planing projet'!$I$4</definedName>
    <definedName name="ProgressionFormat">Paramétrage!#REF!</definedName>
    <definedName name="ProjectDone">Paramétrage!#REF!</definedName>
    <definedName name="ProjectStart">'Macro-planing projet'!$AC$4</definedName>
    <definedName name="RadioBtnResult">Backend!$C$1</definedName>
    <definedName name="ScrollingIncrement">Paramétrage!$AP$3</definedName>
    <definedName name="SecondMonthTheme">Paramétrage!$AN$9</definedName>
    <definedName name="TodayFormat">Paramétrage!$AK$8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6" i="1" l="1"/>
  <c r="BJ5" i="1"/>
  <c r="BF6" i="1"/>
  <c r="BF5" i="1"/>
  <c r="BA6" i="1"/>
  <c r="BA5" i="1"/>
  <c r="AW6" i="1"/>
  <c r="AW5" i="1"/>
  <c r="AS6" i="1"/>
  <c r="AS5" i="1"/>
  <c r="AN6" i="1"/>
  <c r="AN5" i="1"/>
  <c r="AJ6" i="1"/>
  <c r="AJ5" i="1"/>
  <c r="AF6" i="1"/>
  <c r="AF5" i="1"/>
  <c r="AA6" i="1"/>
  <c r="AA5" i="1"/>
  <c r="W6" i="1"/>
  <c r="W5" i="1"/>
  <c r="S6" i="1"/>
  <c r="S5" i="1"/>
  <c r="N6" i="1"/>
  <c r="N5" i="1"/>
  <c r="K6" i="1"/>
  <c r="K5" i="1"/>
  <c r="J36" i="1"/>
  <c r="J35" i="1"/>
  <c r="J34" i="1"/>
  <c r="J33" i="1"/>
  <c r="J31" i="1"/>
  <c r="J30" i="1"/>
  <c r="J29" i="1"/>
  <c r="J28" i="1"/>
  <c r="J27" i="1"/>
  <c r="J25" i="1"/>
  <c r="J24" i="1"/>
  <c r="J23" i="1"/>
  <c r="J21" i="1"/>
  <c r="J20" i="1"/>
  <c r="J19" i="1"/>
  <c r="J17" i="1"/>
  <c r="J16" i="1"/>
  <c r="J15" i="1"/>
  <c r="E14" i="1"/>
  <c r="E15" i="1"/>
  <c r="E16" i="1"/>
  <c r="E17" i="1"/>
  <c r="E18" i="1"/>
  <c r="E19" i="1"/>
  <c r="E20" i="1" s="1"/>
  <c r="E21" i="1" s="1"/>
  <c r="E22" i="1"/>
  <c r="E23" i="1" s="1"/>
  <c r="E24" i="1" s="1"/>
  <c r="E25" i="1" s="1"/>
  <c r="E26" i="1"/>
  <c r="E27" i="1"/>
  <c r="E28" i="1"/>
  <c r="E29" i="1" s="1"/>
  <c r="E30" i="1" s="1"/>
  <c r="E31" i="1" s="1"/>
  <c r="E32" i="1"/>
  <c r="E33" i="1"/>
  <c r="E34" i="1"/>
  <c r="E35" i="1"/>
  <c r="E36" i="1" s="1"/>
  <c r="D14" i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J14" i="1"/>
  <c r="J26" i="1"/>
  <c r="J22" i="1"/>
  <c r="J32" i="1"/>
  <c r="J18" i="1"/>
  <c r="B17" i="1" l="1"/>
  <c r="B15" i="1" l="1"/>
  <c r="B16" i="1"/>
  <c r="B31" i="1"/>
  <c r="B4" i="3"/>
  <c r="B5" i="3"/>
  <c r="B3" i="3"/>
  <c r="BD8" i="1" s="1"/>
  <c r="BD11" i="1" l="1"/>
  <c r="BF8" i="1"/>
  <c r="L8" i="1"/>
  <c r="M8" i="1"/>
  <c r="BC8" i="1"/>
  <c r="BG8" i="1"/>
  <c r="BL8" i="1"/>
  <c r="Y8" i="1"/>
  <c r="BE8" i="1"/>
  <c r="Z8" i="1"/>
  <c r="W8" i="1"/>
  <c r="AA8" i="1"/>
  <c r="AB8" i="1"/>
  <c r="AP8" i="1"/>
  <c r="AC8" i="1"/>
  <c r="AU8" i="1"/>
  <c r="AO8" i="1"/>
  <c r="AV8" i="1"/>
  <c r="AE8" i="1"/>
  <c r="BI8" i="1"/>
  <c r="AF8" i="1"/>
  <c r="BJ8" i="1"/>
  <c r="AD8" i="1"/>
  <c r="BH8" i="1"/>
  <c r="K8" i="1"/>
  <c r="AM8" i="1"/>
  <c r="BK8" i="1"/>
  <c r="N8" i="1"/>
  <c r="AQ8" i="1"/>
  <c r="O8" i="1"/>
  <c r="AR8" i="1"/>
  <c r="P8" i="1"/>
  <c r="AS8" i="1"/>
  <c r="Q8" i="1"/>
  <c r="AT8" i="1"/>
  <c r="AW8" i="1"/>
  <c r="R8" i="1"/>
  <c r="AX8" i="1"/>
  <c r="S8" i="1"/>
  <c r="AY8" i="1"/>
  <c r="T8" i="1"/>
  <c r="AJ8" i="1"/>
  <c r="AZ8" i="1"/>
  <c r="AG8" i="1"/>
  <c r="BM8" i="1"/>
  <c r="AH8" i="1"/>
  <c r="BN8" i="1"/>
  <c r="AI8" i="1"/>
  <c r="U8" i="1"/>
  <c r="AK8" i="1"/>
  <c r="BA8" i="1"/>
  <c r="V8" i="1"/>
  <c r="AL8" i="1"/>
  <c r="BB8" i="1"/>
  <c r="X8" i="1"/>
  <c r="AN8" i="1"/>
  <c r="B1" i="3" a="1"/>
  <c r="B1" i="3" s="1"/>
  <c r="B14" i="1" l="1"/>
  <c r="AC11" i="1"/>
  <c r="AG11" i="1"/>
  <c r="AK11" i="1"/>
  <c r="AL11" i="1"/>
  <c r="BI11" i="1"/>
  <c r="AE11" i="1"/>
  <c r="BN11" i="1"/>
  <c r="AN11" i="1"/>
  <c r="AJ11" i="1"/>
  <c r="BJ11" i="1"/>
  <c r="BH11" i="1"/>
  <c r="AD11" i="1"/>
  <c r="AM11" i="1"/>
  <c r="BK11" i="1"/>
  <c r="AF11" i="1"/>
  <c r="BM11" i="1"/>
  <c r="AI11" i="1"/>
  <c r="AH11" i="1"/>
  <c r="BL11" i="1"/>
  <c r="AO11" i="1"/>
  <c r="AP11" i="1"/>
  <c r="AR11" i="1"/>
  <c r="M11" i="1"/>
  <c r="N11" i="1"/>
  <c r="AS11" i="1"/>
  <c r="O11" i="1"/>
  <c r="AT11" i="1"/>
  <c r="P11" i="1"/>
  <c r="AU11" i="1"/>
  <c r="Q11" i="1"/>
  <c r="AV11" i="1"/>
  <c r="R11" i="1"/>
  <c r="AW11" i="1"/>
  <c r="S11" i="1"/>
  <c r="AX11" i="1"/>
  <c r="T11" i="1"/>
  <c r="AY11" i="1"/>
  <c r="AZ11" i="1"/>
  <c r="U11" i="1"/>
  <c r="V11" i="1"/>
  <c r="BA11" i="1"/>
  <c r="W11" i="1"/>
  <c r="BB11" i="1"/>
  <c r="X11" i="1"/>
  <c r="BC11" i="1"/>
  <c r="Y11" i="1"/>
  <c r="AB11" i="1"/>
  <c r="BG11" i="1"/>
  <c r="AA11" i="1"/>
  <c r="BF11" i="1"/>
  <c r="Z11" i="1"/>
  <c r="BE11" i="1"/>
  <c r="K11" i="1"/>
  <c r="AQ11" i="1"/>
  <c r="L11" i="1"/>
  <c r="B21" i="1" l="1"/>
  <c r="B25" i="1"/>
  <c r="K9" i="1"/>
  <c r="AK9" i="1"/>
  <c r="AJ9" i="1"/>
  <c r="AH9" i="1"/>
  <c r="AG9" i="1"/>
  <c r="X9" i="1"/>
  <c r="N9" i="1"/>
  <c r="AF9" i="1"/>
  <c r="AC9" i="1"/>
  <c r="AN9" i="1"/>
  <c r="BE9" i="1"/>
  <c r="AO9" i="1"/>
  <c r="BC9" i="1"/>
  <c r="AR9" i="1"/>
  <c r="BL9" i="1"/>
  <c r="M9" i="1"/>
  <c r="BM9" i="1"/>
  <c r="BN9" i="1"/>
  <c r="W9" i="1"/>
  <c r="O9" i="1"/>
  <c r="BJ9" i="1"/>
  <c r="V9" i="1"/>
  <c r="BB9" i="1"/>
  <c r="AT9" i="1"/>
  <c r="AX9" i="1"/>
  <c r="AS9" i="1"/>
  <c r="AL9" i="1"/>
  <c r="Y9" i="1"/>
  <c r="R9" i="1"/>
  <c r="Q9" i="1"/>
  <c r="AU9" i="1"/>
  <c r="AZ9" i="1"/>
  <c r="P9" i="1"/>
  <c r="BA9" i="1"/>
  <c r="AI9" i="1"/>
  <c r="AA9" i="1"/>
  <c r="BD9" i="1"/>
  <c r="U9" i="1"/>
  <c r="BK9" i="1"/>
  <c r="AM9" i="1"/>
  <c r="AE9" i="1"/>
  <c r="AB9" i="1"/>
  <c r="BH9" i="1"/>
  <c r="BI9" i="1"/>
  <c r="AV9" i="1"/>
  <c r="AQ9" i="1"/>
  <c r="BF9" i="1"/>
  <c r="BG9" i="1"/>
  <c r="AP9" i="1"/>
  <c r="Z9" i="1"/>
  <c r="T9" i="1"/>
  <c r="AD9" i="1"/>
  <c r="AW9" i="1"/>
  <c r="AY9" i="1"/>
  <c r="S9" i="1"/>
  <c r="L9" i="1"/>
  <c r="B18" i="1" l="1"/>
  <c r="B19" i="1" l="1"/>
  <c r="B20" i="1" l="1"/>
  <c r="B22" i="1" l="1"/>
  <c r="B36" i="1" l="1"/>
  <c r="B23" i="1"/>
  <c r="B24" i="1" l="1"/>
  <c r="B26" i="1" l="1"/>
  <c r="B27" i="1" l="1"/>
  <c r="B28" i="1" l="1"/>
  <c r="B29" i="1" l="1"/>
  <c r="J12" i="1" l="1"/>
  <c r="B30" i="1"/>
  <c r="B32" i="1" l="1"/>
  <c r="I26" i="1" l="1"/>
  <c r="I22" i="1"/>
  <c r="I18" i="1"/>
  <c r="I14" i="1"/>
  <c r="I32" i="1"/>
  <c r="B33" i="1"/>
  <c r="H14" i="1"/>
  <c r="I12" i="1" l="1"/>
  <c r="B34" i="1"/>
  <c r="B35" i="1" l="1"/>
  <c r="H18" i="1"/>
  <c r="H22" i="1"/>
  <c r="H26" i="1"/>
  <c r="H32" i="1"/>
  <c r="H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<sst xmlns="http://schemas.openxmlformats.org/spreadsheetml/2006/main" count="279" uniqueCount="209">
  <si>
    <t>ID</t>
  </si>
  <si>
    <t>WBS - Activité / tâche</t>
  </si>
  <si>
    <t>Début</t>
  </si>
  <si>
    <t>Deadline</t>
  </si>
  <si>
    <t>IDProj</t>
  </si>
  <si>
    <t>IDSubProj</t>
  </si>
  <si>
    <t>X</t>
  </si>
  <si>
    <t>Is Project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</si>
  <si>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</si>
  <si>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</si>
  <si>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</si>
  <si>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</si>
  <si>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</si>
  <si>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</si>
  <si>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</si>
  <si>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</si>
  <si>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</si>
  <si>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</si>
  <si>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</si>
  <si>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</si>
  <si>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</si>
  <si>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</si>
  <si>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</si>
  <si>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</si>
  <si>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</si>
  <si>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</si>
  <si>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</si>
  <si>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</si>
  <si>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</si>
  <si>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</si>
  <si>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</si>
  <si>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</si>
  <si>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</si>
  <si>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</si>
  <si>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</si>
  <si>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</si>
  <si>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</si>
  <si>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</si>
  <si>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</si>
  <si>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</si>
  <si>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</si>
  <si>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</si>
  <si>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</si>
  <si>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</si>
  <si>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</si>
  <si>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</si>
  <si>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</si>
  <si>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</si>
  <si>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</si>
  <si>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</si>
  <si>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</si>
  <si>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</si>
  <si>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</si>
  <si>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</si>
  <si>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</si>
  <si>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</si>
  <si>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</si>
  <si>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</si>
  <si>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</si>
  <si>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</si>
  <si>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</si>
  <si>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</si>
  <si>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Scrolling Increment:</t>
  </si>
  <si>
    <t>C54</t>
  </si>
  <si>
    <t>C55</t>
  </si>
  <si>
    <t>Gantt type</t>
  </si>
  <si>
    <t>Nom / Code projet</t>
  </si>
  <si>
    <t>Référence</t>
  </si>
  <si>
    <t>Date de création</t>
  </si>
  <si>
    <t>Date de la version</t>
  </si>
  <si>
    <t>Numéro de version</t>
  </si>
  <si>
    <t>V3.4</t>
  </si>
  <si>
    <t>Maximize</t>
  </si>
  <si>
    <t>Paramétrage</t>
  </si>
  <si>
    <t>Guide d'utilisation</t>
  </si>
  <si>
    <t>Conception générale</t>
  </si>
  <si>
    <t>Déploiement</t>
  </si>
  <si>
    <t>Basculement et validation</t>
  </si>
  <si>
    <t>Liste des corrections</t>
  </si>
  <si>
    <t>Documentation leçons apprises Projet</t>
  </si>
  <si>
    <t>Plan de corrections</t>
  </si>
  <si>
    <t>IsWeeksGantt</t>
  </si>
  <si>
    <t>IsMonthsGantt</t>
  </si>
  <si>
    <t>IsDaysGantt</t>
  </si>
  <si>
    <t>Today</t>
  </si>
  <si>
    <t>Gantt</t>
  </si>
  <si>
    <t>Thème En tête</t>
  </si>
  <si>
    <t>Choisir la couleur des activités</t>
  </si>
  <si>
    <t>Bords Aujourd'hui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</si>
  <si>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</si>
  <si>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</si>
  <si>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</si>
  <si>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</si>
  <si>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</si>
  <si>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</si>
  <si>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</si>
  <si>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</si>
  <si>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</si>
  <si>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</si>
  <si>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</si>
  <si>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</si>
  <si>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</si>
  <si>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</si>
  <si>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</si>
  <si>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</si>
  <si>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</si>
  <si>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</si>
  <si>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</si>
  <si>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</si>
  <si>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</si>
  <si>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</si>
  <si>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</si>
  <si>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</si>
  <si>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</si>
  <si>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</si>
  <si>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</si>
  <si>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</si>
  <si>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</si>
  <si>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</si>
  <si>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</si>
  <si>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</si>
  <si>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</si>
  <si>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</si>
  <si>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</si>
  <si>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</si>
  <si>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</si>
  <si>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</si>
  <si>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Phases/Taches</t>
  </si>
  <si>
    <t>Phase</t>
  </si>
  <si>
    <t>Tâche</t>
  </si>
  <si>
    <t>Color</t>
  </si>
  <si>
    <t>Phase 1: Initialisation</t>
  </si>
  <si>
    <t>Phase 3: Réalisation</t>
  </si>
  <si>
    <t>Phase 4: Contrôle et suivi</t>
  </si>
  <si>
    <t>Phase 5: Clôture du projet</t>
  </si>
  <si>
    <t>IsJalon</t>
  </si>
  <si>
    <t>Jalon</t>
  </si>
  <si>
    <t>Project</t>
  </si>
  <si>
    <t>Etude d'opportunité et approbation du projet</t>
  </si>
  <si>
    <t>Plan détaillé et Cahier des Charges</t>
  </si>
  <si>
    <t>Approbation Plan détaillé et Cahier des Charges</t>
  </si>
  <si>
    <t>Paramétrage des spécifiques CMRL</t>
  </si>
  <si>
    <t>Approbation utilisateurs-clé</t>
  </si>
  <si>
    <t>Tests d’intégration et de consolidation</t>
  </si>
  <si>
    <t>Environnement pré-productif</t>
  </si>
  <si>
    <t>Validation de l’environnement productif</t>
  </si>
  <si>
    <t>Réunion de clôture</t>
  </si>
  <si>
    <t>Chef de projet</t>
  </si>
  <si>
    <t>Service/Organisation</t>
  </si>
  <si>
    <t>Marketing/ Société XY</t>
  </si>
  <si>
    <t>Mme.Dupont</t>
  </si>
  <si>
    <t>Projet SAP 30 / CMRL</t>
  </si>
  <si>
    <t>Programme PG01</t>
  </si>
  <si>
    <t>Développement de la Charte projet</t>
  </si>
  <si>
    <t>Planification</t>
  </si>
  <si>
    <t>Tests et confirmation</t>
  </si>
  <si>
    <t>Charge en J</t>
  </si>
  <si>
    <t>Etat global de toutes les activités</t>
  </si>
  <si>
    <t>Français</t>
  </si>
  <si>
    <t>Anglais</t>
  </si>
  <si>
    <t>Langue</t>
  </si>
  <si>
    <t>Date of Creation</t>
  </si>
  <si>
    <t>Version Date</t>
  </si>
  <si>
    <t>Version Number</t>
  </si>
  <si>
    <t>Project Manager</t>
  </si>
  <si>
    <t>Language</t>
  </si>
  <si>
    <t>Planning</t>
  </si>
  <si>
    <t>General Design</t>
  </si>
  <si>
    <t>Integration and Consolidation Testing</t>
  </si>
  <si>
    <t>Deployment</t>
  </si>
  <si>
    <t>Switching and Validation</t>
  </si>
  <si>
    <t>Project Lessons Learned Documentation</t>
  </si>
  <si>
    <t>Correction Plan</t>
  </si>
  <si>
    <t>Closing Meeting</t>
  </si>
  <si>
    <t>Aujourd'hui</t>
  </si>
  <si>
    <t>Ajouter une tâche</t>
  </si>
  <si>
    <t>Add a Task</t>
  </si>
  <si>
    <t>Supprimer</t>
  </si>
  <si>
    <t>Delete</t>
  </si>
  <si>
    <t>Project Name / Code</t>
  </si>
  <si>
    <t>Reference</t>
  </si>
  <si>
    <t>Overall Status of all Activities</t>
  </si>
  <si>
    <t>Start Date</t>
  </si>
  <si>
    <t>Effort in J</t>
  </si>
  <si>
    <t>Ajouter une phase</t>
  </si>
  <si>
    <t>Ajouter un jalon</t>
  </si>
  <si>
    <t>Convertir à une phase / tâche</t>
  </si>
  <si>
    <t>Macro-planing projet</t>
  </si>
  <si>
    <t>Phase 1: Initialization</t>
  </si>
  <si>
    <t>Opportunity Study and Project Approval</t>
  </si>
  <si>
    <t>Project Charter Development</t>
  </si>
  <si>
    <t>Detailed Plan and Requirements Document</t>
  </si>
  <si>
    <t>Approval of Detailed Plan and Requirements Document</t>
  </si>
  <si>
    <t>Phase 3: Execution</t>
  </si>
  <si>
    <t>Parameterization of CMRL-specifics</t>
  </si>
  <si>
    <t>Testing and Confirmation</t>
  </si>
  <si>
    <t>Key User Approval</t>
  </si>
  <si>
    <t>Phase 4: Control and Monitoring</t>
  </si>
  <si>
    <t>Pre-Production Environment</t>
  </si>
  <si>
    <t>Production Environment Validation</t>
  </si>
  <si>
    <t>Phase 5: Project Closure</t>
  </si>
  <si>
    <t>List of Corrections</t>
  </si>
  <si>
    <t>Phases/Tasks</t>
  </si>
  <si>
    <t>Add a Phase</t>
  </si>
  <si>
    <t>Add a Milestone</t>
  </si>
  <si>
    <t>Convert to a Phase / Task</t>
  </si>
  <si>
    <t>Project Macro-Planning</t>
  </si>
  <si>
    <t>Department/Organization</t>
  </si>
  <si>
    <t>User 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</si>
</sst>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11"/>
      <color theme="2" tint="-0.74999237037263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lightUp">
        <bgColor theme="6" tint="0.79998168889431442"/>
      </patternFill>
    </fill>
    <fill>
      <patternFill patternType="lightUp">
        <fgColor auto="1"/>
        <bgColor theme="6" tint="0.79998168889431442"/>
      </patternFill>
    </fill>
  </fills>
  <borders count="2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4" fillId="6" borderId="0" xfId="0" applyNumberFormat="1" applyFont="1" applyFill="1" applyAlignment="1">
      <alignment horizontal="left" vertical="center"/>
    </xf>
    <xf numFmtId="164" fontId="4" fillId="7" borderId="0" xfId="0" applyNumberFormat="1" applyFont="1" applyFill="1" applyAlignment="1">
      <alignment horizontal="left" vertical="center"/>
    </xf>
    <xf numFmtId="0" fontId="10" fillId="8" borderId="3" xfId="0" applyFont="1" applyFill="1" applyBorder="1" applyAlignment="1">
      <alignment vertical="center"/>
    </xf>
    <xf numFmtId="0" fontId="13" fillId="10" borderId="0" xfId="0" applyFont="1" applyFill="1" applyAlignment="1">
      <alignment horizontal="left" vertical="center"/>
    </xf>
    <xf numFmtId="14" fontId="13" fillId="10" borderId="0" xfId="0" applyNumberFormat="1" applyFont="1" applyFill="1" applyAlignment="1">
      <alignment horizontal="left" vertical="center"/>
    </xf>
    <xf numFmtId="0" fontId="13" fillId="10" borderId="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0" fontId="7" fillId="0" borderId="0" xfId="0" applyFont="1"/>
    <xf numFmtId="0" fontId="6" fillId="2" borderId="7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14" fontId="9" fillId="0" borderId="0" xfId="0" applyNumberFormat="1" applyFont="1" applyAlignment="1" applyProtection="1">
      <alignment horizontal="center" vertical="center"/>
      <protection locked="0"/>
    </xf>
    <xf numFmtId="0" fontId="12" fillId="9" borderId="4" xfId="0" applyFont="1" applyFill="1" applyBorder="1" applyAlignment="1" applyProtection="1">
      <alignment vertical="center"/>
      <protection locked="0"/>
    </xf>
    <xf numFmtId="0" fontId="9" fillId="0" borderId="0" xfId="0" applyFont="1"/>
    <xf numFmtId="1" fontId="4" fillId="6" borderId="0" xfId="0" applyNumberFormat="1" applyFont="1" applyFill="1" applyAlignment="1">
      <alignment horizontal="center" vertical="center"/>
    </xf>
    <xf numFmtId="1" fontId="4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14" fontId="18" fillId="0" borderId="0" xfId="0" applyNumberFormat="1" applyFont="1"/>
    <xf numFmtId="14" fontId="17" fillId="7" borderId="0" xfId="0" applyNumberFormat="1" applyFont="1" applyFill="1" applyAlignment="1">
      <alignment vertical="center"/>
    </xf>
    <xf numFmtId="14" fontId="17" fillId="6" borderId="0" xfId="0" applyNumberFormat="1" applyFont="1" applyFill="1" applyAlignment="1">
      <alignment vertical="center"/>
    </xf>
    <xf numFmtId="1" fontId="4" fillId="7" borderId="0" xfId="0" applyNumberFormat="1" applyFont="1" applyFill="1" applyAlignment="1">
      <alignment horizontal="left" vertical="center"/>
    </xf>
    <xf numFmtId="1" fontId="4" fillId="6" borderId="0" xfId="0" applyNumberFormat="1" applyFont="1" applyFill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2" fillId="7" borderId="8" xfId="0" applyNumberFormat="1" applyFont="1" applyFill="1" applyBorder="1" applyAlignment="1">
      <alignment horizontal="center" vertical="center"/>
    </xf>
    <xf numFmtId="1" fontId="2" fillId="7" borderId="9" xfId="0" applyNumberFormat="1" applyFont="1" applyFill="1" applyBorder="1" applyAlignment="1">
      <alignment horizontal="center" vertical="center"/>
    </xf>
    <xf numFmtId="1" fontId="2" fillId="6" borderId="9" xfId="0" applyNumberFormat="1" applyFont="1" applyFill="1" applyBorder="1" applyAlignment="1">
      <alignment horizontal="center" vertical="center"/>
    </xf>
    <xf numFmtId="1" fontId="2" fillId="6" borderId="10" xfId="0" applyNumberFormat="1" applyFont="1" applyFill="1" applyBorder="1" applyAlignment="1">
      <alignment horizontal="center" vertical="center"/>
    </xf>
    <xf numFmtId="1" fontId="2" fillId="6" borderId="8" xfId="0" applyNumberFormat="1" applyFont="1" applyFill="1" applyBorder="1" applyAlignment="1">
      <alignment horizontal="center" vertical="center"/>
    </xf>
    <xf numFmtId="1" fontId="2" fillId="7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1" fillId="12" borderId="0" xfId="0" applyFont="1" applyFill="1" applyAlignment="1">
      <alignment vertical="top"/>
    </xf>
    <xf numFmtId="0" fontId="22" fillId="12" borderId="0" xfId="0" applyFont="1" applyFill="1" applyAlignment="1">
      <alignment vertical="top"/>
    </xf>
    <xf numFmtId="0" fontId="23" fillId="12" borderId="0" xfId="0" applyFont="1" applyFill="1"/>
    <xf numFmtId="0" fontId="24" fillId="12" borderId="0" xfId="0" applyFont="1" applyFill="1"/>
    <xf numFmtId="0" fontId="0" fillId="12" borderId="0" xfId="0" applyFill="1"/>
    <xf numFmtId="0" fontId="25" fillId="12" borderId="0" xfId="0" applyFont="1" applyFill="1" applyAlignment="1">
      <alignment vertical="center"/>
    </xf>
    <xf numFmtId="0" fontId="23" fillId="12" borderId="0" xfId="0" applyFont="1" applyFill="1" applyAlignment="1">
      <alignment vertical="center"/>
    </xf>
    <xf numFmtId="0" fontId="24" fillId="12" borderId="0" xfId="0" applyFont="1" applyFill="1" applyAlignment="1">
      <alignment vertical="center"/>
    </xf>
    <xf numFmtId="0" fontId="28" fillId="0" borderId="0" xfId="0" applyFont="1"/>
    <xf numFmtId="0" fontId="5" fillId="4" borderId="1" xfId="0" applyFont="1" applyFill="1" applyBorder="1" applyAlignment="1">
      <alignment horizontal="center" vertical="center"/>
    </xf>
    <xf numFmtId="0" fontId="5" fillId="13" borderId="0" xfId="0" applyFont="1" applyFill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29" fillId="14" borderId="20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2" fillId="15" borderId="19" xfId="0" applyFont="1" applyFill="1" applyBorder="1" applyAlignment="1">
      <alignment horizontal="centerContinuous" vertical="center"/>
    </xf>
    <xf numFmtId="14" fontId="32" fillId="15" borderId="22" xfId="0" applyNumberFormat="1" applyFont="1" applyFill="1" applyBorder="1" applyAlignment="1">
      <alignment horizontal="centerContinuous" vertical="center"/>
    </xf>
    <xf numFmtId="0" fontId="32" fillId="15" borderId="22" xfId="0" applyFont="1" applyFill="1" applyBorder="1" applyAlignment="1">
      <alignment horizontal="centerContinuous" vertical="center"/>
    </xf>
    <xf numFmtId="0" fontId="0" fillId="16" borderId="0" xfId="0" applyFill="1" applyAlignment="1">
      <alignment horizontal="center" vertical="center"/>
    </xf>
    <xf numFmtId="0" fontId="0" fillId="16" borderId="0" xfId="0" applyFill="1"/>
    <xf numFmtId="0" fontId="10" fillId="17" borderId="3" xfId="0" applyFont="1" applyFill="1" applyBorder="1" applyAlignment="1">
      <alignment horizontal="left" vertical="center"/>
    </xf>
    <xf numFmtId="0" fontId="10" fillId="17" borderId="3" xfId="0" applyFont="1" applyFill="1" applyBorder="1" applyAlignment="1">
      <alignment vertical="center"/>
    </xf>
    <xf numFmtId="0" fontId="8" fillId="16" borderId="1" xfId="0" applyFont="1" applyFill="1" applyBorder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9" fillId="1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5" fillId="8" borderId="3" xfId="0" applyFont="1" applyFill="1" applyBorder="1" applyAlignment="1">
      <alignment vertical="center"/>
    </xf>
    <xf numFmtId="0" fontId="10" fillId="8" borderId="3" xfId="0" applyFont="1" applyFill="1" applyBorder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3" fillId="6" borderId="13" xfId="0" applyFont="1" applyFill="1" applyBorder="1" applyAlignment="1">
      <alignment horizontal="center" vertical="center"/>
    </xf>
    <xf numFmtId="0" fontId="24" fillId="12" borderId="0" xfId="0" applyFont="1" applyFill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/>
    </xf>
    <xf numFmtId="0" fontId="11" fillId="9" borderId="5" xfId="0" applyFont="1" applyFill="1" applyBorder="1" applyAlignment="1">
      <alignment horizontal="left" vertical="center"/>
    </xf>
    <xf numFmtId="0" fontId="12" fillId="9" borderId="4" xfId="0" applyFont="1" applyFill="1" applyBorder="1" applyAlignment="1" applyProtection="1">
      <alignment horizontal="left" vertical="center"/>
      <protection locked="0"/>
    </xf>
    <xf numFmtId="0" fontId="12" fillId="9" borderId="5" xfId="0" applyFont="1" applyFill="1" applyBorder="1" applyAlignment="1" applyProtection="1">
      <alignment horizontal="left" vertical="center"/>
      <protection locked="0"/>
    </xf>
    <xf numFmtId="0" fontId="13" fillId="10" borderId="0" xfId="0" applyFont="1" applyFill="1" applyAlignment="1">
      <alignment horizontal="left" vertical="center"/>
    </xf>
    <xf numFmtId="0" fontId="13" fillId="10" borderId="6" xfId="0" applyFont="1" applyFill="1" applyBorder="1" applyAlignment="1">
      <alignment horizontal="left" vertical="center"/>
    </xf>
    <xf numFmtId="14" fontId="15" fillId="8" borderId="3" xfId="0" applyNumberFormat="1" applyFont="1" applyFill="1" applyBorder="1" applyAlignment="1" applyProtection="1">
      <alignment horizontal="center" vertical="center"/>
      <protection locked="0"/>
    </xf>
    <xf numFmtId="14" fontId="13" fillId="10" borderId="0" xfId="0" applyNumberFormat="1" applyFont="1" applyFill="1" applyAlignment="1" applyProtection="1">
      <alignment horizontal="left" vertical="center"/>
      <protection locked="0"/>
    </xf>
    <xf numFmtId="0" fontId="13" fillId="10" borderId="0" xfId="0" applyFont="1" applyFill="1" applyAlignment="1" applyProtection="1">
      <alignment horizontal="left" vertical="center"/>
      <protection locked="0"/>
    </xf>
    <xf numFmtId="0" fontId="8" fillId="3" borderId="17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4" fillId="11" borderId="20" xfId="0" applyFont="1" applyFill="1" applyBorder="1" applyAlignment="1">
      <alignment horizontal="center"/>
    </xf>
    <xf numFmtId="0" fontId="14" fillId="11" borderId="16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 vertical="center"/>
    </xf>
  </cellXfs>
  <cellStyles count="1">
    <cellStyle name="Normal" xfId="0" builtinId="0"/>
  </cellStyles>
  <dxfs count="1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top style="thin">
          <color theme="9"/>
        </top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0"/>
      </font>
      <fill>
        <patternFill>
          <fgColor indexed="64"/>
          <bgColor rgb="FF4868E5"/>
        </patternFill>
      </fill>
      <border>
        <left/>
        <right/>
      </border>
    </dxf>
    <dxf>
      <font>
        <b val="0"/>
        <i val="0"/>
        <color theme="0"/>
      </font>
      <fill>
        <patternFill patternType="solid">
          <fgColor indexed="64"/>
          <bgColor theme="9" tint="0.39997558519241921"/>
        </patternFill>
      </fill>
      <border>
        <left/>
        <right/>
      </border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theme="7" tint="-0.249977111117893"/>
      </font>
      <fill>
        <patternFill patternType="solid">
          <fgColor indexed="64"/>
          <bgColor theme="7" tint="0.79998168889431442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2" defaultTableStyle="TableStyleMedium2" defaultPivotStyle="PivotStyleLight16">
    <tableStyle name="TableStyleLight14 2" pivot="0" count="9" xr9:uid="{C803ECF4-81F2-48DA-A591-0A545A829943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firstRowStripe" dxfId="112"/>
      <tableStyleElement type="secondRowStripe" dxfId="111"/>
      <tableStyleElement type="firstColumnStripe" dxfId="110"/>
      <tableStyleElement type="secondColumnStripe" dxfId="109"/>
    </tableStyle>
    <tableStyle name="TableStyleLight14 2 2" pivot="0" count="9" xr9:uid="{AC5A6F65-C9C4-4955-81C3-AF4FEE86B463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secondRowStripe" dxfId="102"/>
      <tableStyleElement type="firstColumnStripe" dxfId="101"/>
      <tableStyleElement type="secondColumnStripe" dxfId="100"/>
    </tableStyle>
  </tableStyles>
  <colors>
    <mruColors>
      <color rgb="FF355321"/>
      <color rgb="FFF1F7ED"/>
      <color rgb="FFFFE38B"/>
      <color rgb="FF9DAFF1"/>
      <color rgb="FFFF8989"/>
      <color rgb="FF87F997"/>
      <color rgb="FF55FD6D"/>
      <color rgb="FF53FFA1"/>
      <color rgb="FF00F66F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2" dropStyle="combo" dx="26" fmlaLink="$I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4.png"/><Relationship Id="rId7" Type="http://schemas.openxmlformats.org/officeDocument/2006/relationships/image" Target="../media/image27.svg"/><Relationship Id="rId12" Type="http://schemas.openxmlformats.org/officeDocument/2006/relationships/hyperlink" Target="https://blog-gestion-de-projet.com/docs/kit-management-projet/initialisation/macro-planning/" TargetMode="External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1.png"/><Relationship Id="rId10" Type="http://schemas.openxmlformats.org/officeDocument/2006/relationships/image" Target="../media/image30.png"/><Relationship Id="rId4" Type="http://schemas.openxmlformats.org/officeDocument/2006/relationships/image" Target="../media/image25.svg"/><Relationship Id="rId9" Type="http://schemas.openxmlformats.org/officeDocument/2006/relationships/image" Target="../media/image29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4320" y="6789338"/>
          <a:ext cx="7367526" cy="319424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02692" y="10469880"/>
          <a:ext cx="4494212" cy="27522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261" y="13807440"/>
          <a:ext cx="3886200" cy="231972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82880" y="20927394"/>
          <a:ext cx="10751820" cy="231131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29730264"/>
          <a:ext cx="2457048" cy="156291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5740" y="45885624"/>
          <a:ext cx="8391989" cy="2186675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05741" y="48490849"/>
          <a:ext cx="6842760" cy="239576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1290220"/>
          <a:ext cx="8100207" cy="294894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2880" y="16946108"/>
          <a:ext cx="11852084" cy="318162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7640" y="26120846"/>
          <a:ext cx="6001647" cy="246897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8121" y="23545800"/>
          <a:ext cx="6431280" cy="18132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4</xdr:row>
      <xdr:rowOff>106680</xdr:rowOff>
    </xdr:from>
    <xdr:to>
      <xdr:col>6</xdr:col>
      <xdr:colOff>792480</xdr:colOff>
      <xdr:row>8</xdr:row>
      <xdr:rowOff>38100</xdr:rowOff>
    </xdr:to>
    <xdr:sp macro="[0]!AddProject" textlink="">
      <xdr:nvSpPr>
        <xdr:cNvPr id="2" name="BtnAddProjec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1158240"/>
          <a:ext cx="111252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0"/>
            <a:t>Ajouter une phase</a:t>
          </a:r>
        </a:p>
      </xdr:txBody>
    </xdr:sp>
    <xdr:clientData/>
  </xdr:twoCellAnchor>
  <xdr:twoCellAnchor editAs="absolute">
    <xdr:from>
      <xdr:col>8</xdr:col>
      <xdr:colOff>277634</xdr:colOff>
      <xdr:row>4</xdr:row>
      <xdr:rowOff>107674</xdr:rowOff>
    </xdr:from>
    <xdr:to>
      <xdr:col>9</xdr:col>
      <xdr:colOff>266700</xdr:colOff>
      <xdr:row>8</xdr:row>
      <xdr:rowOff>33130</xdr:rowOff>
    </xdr:to>
    <xdr:sp macro="[0]!DeleteProject" textlink="">
      <xdr:nvSpPr>
        <xdr:cNvPr id="3" name="BtnDeleteProje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23954" y="1159234"/>
          <a:ext cx="712966" cy="29883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Supprimer</a:t>
          </a:r>
        </a:p>
      </xdr:txBody>
    </xdr:sp>
    <xdr:clientData/>
  </xdr:twoCellAnchor>
  <xdr:twoCellAnchor editAs="absolute">
    <xdr:from>
      <xdr:col>6</xdr:col>
      <xdr:colOff>883920</xdr:colOff>
      <xdr:row>4</xdr:row>
      <xdr:rowOff>106680</xdr:rowOff>
    </xdr:from>
    <xdr:to>
      <xdr:col>6</xdr:col>
      <xdr:colOff>1897576</xdr:colOff>
      <xdr:row>8</xdr:row>
      <xdr:rowOff>38100</xdr:rowOff>
    </xdr:to>
    <xdr:sp macro="[0]!AddProject" textlink="">
      <xdr:nvSpPr>
        <xdr:cNvPr id="5" name="BtnAddSubProjec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94460" y="1158240"/>
          <a:ext cx="1013656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Ajouter une tâche</a:t>
          </a:r>
        </a:p>
      </xdr:txBody>
    </xdr:sp>
    <xdr:clientData/>
  </xdr:twoCellAnchor>
  <xdr:twoCellAnchor editAs="absolute">
    <xdr:from>
      <xdr:col>6</xdr:col>
      <xdr:colOff>3009569</xdr:colOff>
      <xdr:row>4</xdr:row>
      <xdr:rowOff>107672</xdr:rowOff>
    </xdr:from>
    <xdr:to>
      <xdr:col>8</xdr:col>
      <xdr:colOff>205740</xdr:colOff>
      <xdr:row>8</xdr:row>
      <xdr:rowOff>39092</xdr:rowOff>
    </xdr:to>
    <xdr:sp macro="[0]!ConvertToProject" textlink="">
      <xdr:nvSpPr>
        <xdr:cNvPr id="6" name="BtnConvert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520109" y="1159232"/>
          <a:ext cx="1531951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Convertir à une phase / tâche</a:t>
          </a:r>
        </a:p>
      </xdr:txBody>
    </xdr:sp>
    <xdr:clientData/>
  </xdr:twoCellAnchor>
  <xdr:twoCellAnchor editAs="oneCell">
    <xdr:from>
      <xdr:col>32</xdr:col>
      <xdr:colOff>79020</xdr:colOff>
      <xdr:row>3</xdr:row>
      <xdr:rowOff>73800</xdr:rowOff>
    </xdr:from>
    <xdr:to>
      <xdr:col>33</xdr:col>
      <xdr:colOff>99060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4460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27</xdr:col>
      <xdr:colOff>91440</xdr:colOff>
      <xdr:row>3</xdr:row>
      <xdr:rowOff>76200</xdr:rowOff>
    </xdr:from>
    <xdr:to>
      <xdr:col>28</xdr:col>
      <xdr:colOff>81000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2824460" y="762000"/>
          <a:ext cx="233400" cy="233400"/>
        </a:xfrm>
        <a:prstGeom prst="rect">
          <a:avLst/>
        </a:prstGeom>
      </xdr:spPr>
    </xdr:pic>
    <xdr:clientData/>
  </xdr:twoCellAnchor>
  <xdr:twoCellAnchor editAs="oneCell">
    <xdr:from>
      <xdr:col>37</xdr:col>
      <xdr:colOff>137160</xdr:colOff>
      <xdr:row>3</xdr:row>
      <xdr:rowOff>45719</xdr:rowOff>
    </xdr:from>
    <xdr:to>
      <xdr:col>42</xdr:col>
      <xdr:colOff>0</xdr:colOff>
      <xdr:row>3</xdr:row>
      <xdr:rowOff>312420</xdr:rowOff>
    </xdr:to>
    <xdr:sp macro="[0]!GoToToday" textlink="">
      <xdr:nvSpPr>
        <xdr:cNvPr id="11" name="BtnDeleteProjec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1704320" y="731519"/>
          <a:ext cx="960120" cy="26670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Aujourd'hui</a:t>
          </a:r>
        </a:p>
      </xdr:txBody>
    </xdr:sp>
    <xdr:clientData/>
  </xdr:twoCellAnchor>
  <xdr:twoCellAnchor editAs="oneCell">
    <xdr:from>
      <xdr:col>40</xdr:col>
      <xdr:colOff>179133</xdr:colOff>
      <xdr:row>3</xdr:row>
      <xdr:rowOff>60959</xdr:rowOff>
    </xdr:from>
    <xdr:to>
      <xdr:col>41</xdr:col>
      <xdr:colOff>169130</xdr:colOff>
      <xdr:row>3</xdr:row>
      <xdr:rowOff>301239</xdr:rowOff>
    </xdr:to>
    <xdr:pic macro="[0]!GoToToday">
      <xdr:nvPicPr>
        <xdr:cNvPr id="9" name="Graphic 8" descr="Flip calendar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76973" y="746759"/>
          <a:ext cx="203357" cy="2402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2208706</xdr:colOff>
      <xdr:row>2</xdr:row>
      <xdr:rowOff>60960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7620</xdr:colOff>
      <xdr:row>3</xdr:row>
      <xdr:rowOff>68580</xdr:rowOff>
    </xdr:from>
    <xdr:to>
      <xdr:col>35</xdr:col>
      <xdr:colOff>32880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58468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25</xdr:col>
      <xdr:colOff>157620</xdr:colOff>
      <xdr:row>3</xdr:row>
      <xdr:rowOff>73800</xdr:rowOff>
    </xdr:from>
    <xdr:to>
      <xdr:col>26</xdr:col>
      <xdr:colOff>144780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83020" y="759600"/>
          <a:ext cx="238620" cy="238620"/>
        </a:xfrm>
        <a:prstGeom prst="rect">
          <a:avLst/>
        </a:prstGeom>
      </xdr:spPr>
    </xdr:pic>
    <xdr:clientData/>
  </xdr:twoCellAnchor>
  <xdr:twoCellAnchor editAs="absolute">
    <xdr:from>
      <xdr:col>9</xdr:col>
      <xdr:colOff>403860</xdr:colOff>
      <xdr:row>4</xdr:row>
      <xdr:rowOff>106680</xdr:rowOff>
    </xdr:from>
    <xdr:to>
      <xdr:col>9</xdr:col>
      <xdr:colOff>701040</xdr:colOff>
      <xdr:row>8</xdr:row>
      <xdr:rowOff>30480</xdr:rowOff>
    </xdr:to>
    <xdr:pic macro="[0]!maximize">
      <xdr:nvPicPr>
        <xdr:cNvPr id="22" name="Graphic 21" descr="Browser window outline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974080" y="1158240"/>
          <a:ext cx="297180" cy="297180"/>
        </a:xfrm>
        <a:prstGeom prst="rect">
          <a:avLst/>
        </a:prstGeom>
      </xdr:spPr>
    </xdr:pic>
    <xdr:clientData/>
  </xdr:twoCellAnchor>
  <xdr:twoCellAnchor editAs="absolute">
    <xdr:from>
      <xdr:col>6</xdr:col>
      <xdr:colOff>1971260</xdr:colOff>
      <xdr:row>4</xdr:row>
      <xdr:rowOff>106680</xdr:rowOff>
    </xdr:from>
    <xdr:to>
      <xdr:col>6</xdr:col>
      <xdr:colOff>2946620</xdr:colOff>
      <xdr:row>8</xdr:row>
      <xdr:rowOff>38100</xdr:rowOff>
    </xdr:to>
    <xdr:sp macro="[0]!AddProject" textlink="">
      <xdr:nvSpPr>
        <xdr:cNvPr id="8" name="BtnAddJalo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481800" y="1158240"/>
          <a:ext cx="975360" cy="30480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>
              <a:solidFill>
                <a:schemeClr val="accent4">
                  <a:lumMod val="50000"/>
                </a:schemeClr>
              </a:solidFill>
            </a:rPr>
            <a:t>Ajouter un jalon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3</xdr:row>
          <xdr:rowOff>76200</xdr:rowOff>
        </xdr:from>
        <xdr:to>
          <xdr:col>10</xdr:col>
          <xdr:colOff>68580</xdr:colOff>
          <xdr:row>3</xdr:row>
          <xdr:rowOff>289560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2200275</xdr:colOff>
      <xdr:row>3</xdr:row>
      <xdr:rowOff>66675</xdr:rowOff>
    </xdr:from>
    <xdr:to>
      <xdr:col>6</xdr:col>
      <xdr:colOff>3297555</xdr:colOff>
      <xdr:row>3</xdr:row>
      <xdr:rowOff>314325</xdr:rowOff>
    </xdr:to>
    <xdr:sp macro="" textlink="">
      <xdr:nvSpPr>
        <xdr:cNvPr id="4" name="BtnAddProject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695575" y="752475"/>
          <a:ext cx="1097280" cy="24765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0"/>
            <a:t>Guide d'utilisation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273226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449580</xdr:colOff>
      <xdr:row>3</xdr:row>
      <xdr:rowOff>76200</xdr:rowOff>
    </xdr:from>
    <xdr:to>
      <xdr:col>12</xdr:col>
      <xdr:colOff>643440</xdr:colOff>
      <xdr:row>3</xdr:row>
      <xdr:rowOff>327485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985260" y="762000"/>
          <a:ext cx="5619300" cy="251285"/>
          <a:chOff x="3984432" y="853807"/>
          <a:chExt cx="6647866" cy="255176"/>
        </a:xfrm>
      </xdr:grpSpPr>
      <xdr:sp macro="[0]!NavBar" textlink="">
        <xdr:nvSpPr>
          <xdr:cNvPr id="10" name="BtnGuide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11" name="BtnGantt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Gantt</a:t>
            </a:r>
          </a:p>
        </xdr:txBody>
      </xdr:sp>
      <xdr:sp macro="[0]!NavBar" textlink="">
        <xdr:nvSpPr>
          <xdr:cNvPr id="12" name="BtnRessource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Ressources</a:t>
            </a:r>
          </a:p>
        </xdr:txBody>
      </xdr:sp>
      <xdr:sp macro="[0]!NavBar" textlink="">
        <xdr:nvSpPr>
          <xdr:cNvPr id="13" name="BtnSettings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B13:BN36" totalsRowShown="0" headerRowDxfId="94" dataDxfId="93">
  <autoFilter ref="B13:BN36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</autoFilter>
  <tableColumns count="65">
    <tableColumn id="14" xr3:uid="{5E011378-D9B2-434B-8C74-F135916C3B11}" name="ID" dataDxfId="92">
      <calculatedColumnFormula>IF(TabProjet[[#This Row],[IsJalon]] = "", (TabProjet[[#This Row],[IDProj]] &amp; "." &amp; TabProjet[[#This Row],[IDSubProj]]), "")</calculatedColumnFormula>
    </tableColumn>
    <tableColumn id="10" xr3:uid="{33A82585-DB2B-44E7-9275-AC5EA3E490AD}" name="Is Project" dataDxfId="91"/>
    <tableColumn id="1" xr3:uid="{FE19D7F9-7E68-477A-9689-CF570B0CBD84}" name="IDProj" dataDxfId="90">
      <calculatedColumnFormula>IF(ISNUMBER($D13),IF(TabProjet[[#This Row],[Is Project]] &lt;&gt;"",$D13+1,$D13),1)</calculatedColumnFormula>
    </tableColumn>
    <tableColumn id="12" xr3:uid="{8E1E4098-54BE-46AD-B12D-71E75D8BD0CE}" name="IDSubProj" dataDxfId="89">
      <calculatedColumnFormula>IFERROR(IF(AND(TabProjet[[#This Row],[Is Project]]= "", TabProjet[[#This Row],[IsJalon]]= ""),$E13+1, IF(TabProjet[[#This Row],[IsJalon]]= "X",$E13, 0)),1)</calculatedColumnFormula>
    </tableColumn>
    <tableColumn id="13" xr3:uid="{34D588B9-69A7-4DD6-9144-63A6C05548E2}" name="IsJalon" dataDxfId="88"/>
    <tableColumn id="2" xr3:uid="{0DC6E036-CB5E-414E-9CA8-266B3754BCD1}" name="WBS - Activité / tâche" dataDxfId="87"/>
    <tableColumn id="6" xr3:uid="{C1DF1DE8-DA2D-42A1-876D-A89759A0A7D4}" name="Début" dataDxfId="86"/>
    <tableColumn id="7" xr3:uid="{619A5E6C-C991-44B9-BB7F-5FFE4F514E1A}" name="Charge en J" dataDxfId="85"/>
    <tableColumn id="8" xr3:uid="{4418214A-69B5-4A83-BB1E-68E3FBFEE5F9}" name="Deadline" dataDxfId="84">
      <calculatedColumnFormula>IF(OR(TabProjet[[#This Row],[IsJalon]] = "X",TabProjet[[#This Row],[Début]]=""),"",WORKDAY(IF(WEEKDAY(TabProjet[[#This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0),))</calculatedColumnFormula>
    </tableColumn>
    <tableColumn id="11" xr3:uid="{31432459-77F0-400C-A56A-BA793D1066C7}" name="C0" dataDxfId="83"/>
    <tableColumn id="15" xr3:uid="{A5B38087-7AFC-4AB0-8100-9372428A0E44}" name="C1" dataDxfId="82"/>
    <tableColumn id="16" xr3:uid="{B23790DD-5CDC-4299-9BA3-EA7078D58C29}" name="C2" dataDxfId="81"/>
    <tableColumn id="17" xr3:uid="{9FCA9906-4703-4027-8369-7642905F7878}" name="C3" dataDxfId="80"/>
    <tableColumn id="18" xr3:uid="{7AE1C3A6-11C7-4214-B913-7F121F5D6C7B}" name="C4" dataDxfId="79"/>
    <tableColumn id="19" xr3:uid="{8C44A9B6-9EBE-42E7-9B1D-FA0534549368}" name="C5" dataDxfId="78"/>
    <tableColumn id="20" xr3:uid="{87BA93D9-060D-4DF9-8F7D-6A328E124F67}" name="C6" dataDxfId="77"/>
    <tableColumn id="21" xr3:uid="{F99F8ECE-1C3D-460C-A623-13250BEE51C7}" name="C7" dataDxfId="76"/>
    <tableColumn id="22" xr3:uid="{1FF8D443-22DD-48F3-B6CA-D39A5A800528}" name="C8" dataDxfId="75"/>
    <tableColumn id="23" xr3:uid="{F484ACDD-0357-448C-AAAF-8EFD2F112C21}" name="C9" dataDxfId="74"/>
    <tableColumn id="24" xr3:uid="{D77918AC-D8C3-47F6-940F-23E9F862DFB4}" name="C10" dataDxfId="73"/>
    <tableColumn id="25" xr3:uid="{50105DDE-4B56-456E-AACC-96EA350589C9}" name="C11" dataDxfId="72"/>
    <tableColumn id="26" xr3:uid="{B2B59E45-AC72-4482-B319-6C470EF73FCC}" name="C12" dataDxfId="71"/>
    <tableColumn id="27" xr3:uid="{A98AAD45-773D-48D9-B17A-EBFE31094BF5}" name="C13" dataDxfId="70"/>
    <tableColumn id="28" xr3:uid="{02FB93AA-8564-4D97-9E88-9D5F115FDBB8}" name="C14" dataDxfId="69"/>
    <tableColumn id="29" xr3:uid="{67B40E81-2761-4680-9AD0-B88C5CEA56A4}" name="C15" dataDxfId="68"/>
    <tableColumn id="30" xr3:uid="{4B7AA26B-D1F3-433A-A10C-845E847FC590}" name="C16" dataDxfId="67"/>
    <tableColumn id="31" xr3:uid="{3A280D40-A246-482A-9DBA-F68739E2C569}" name="C17" dataDxfId="66"/>
    <tableColumn id="32" xr3:uid="{AFD60292-9287-4481-A74F-E50C283A55C7}" name="C18" dataDxfId="65"/>
    <tableColumn id="33" xr3:uid="{198BD112-8E4C-4DDC-9072-A767C6CF05C2}" name="C19" dataDxfId="64"/>
    <tableColumn id="34" xr3:uid="{A8B34248-735F-432E-B459-5BD601F5FC8D}" name="C20" dataDxfId="63"/>
    <tableColumn id="35" xr3:uid="{37BD5FCF-B4D2-4E4D-9451-F12D50244F92}" name="C21" dataDxfId="62"/>
    <tableColumn id="36" xr3:uid="{25040C5B-4F3F-4ED0-BA07-E99BF0777818}" name="C22" dataDxfId="61"/>
    <tableColumn id="37" xr3:uid="{62AA482E-3E43-4765-8EF5-091BDC6F5225}" name="C23" dataDxfId="60"/>
    <tableColumn id="38" xr3:uid="{6189A7D6-D058-4992-BAAD-5648451DBE7B}" name="C24" dataDxfId="59"/>
    <tableColumn id="39" xr3:uid="{03075F3A-DC5D-45FB-97E2-813443679335}" name="C25" dataDxfId="58"/>
    <tableColumn id="40" xr3:uid="{1CAE1948-896E-41F8-BE21-A71BC9DC3F62}" name="C26" dataDxfId="57"/>
    <tableColumn id="41" xr3:uid="{0F9253E4-3E01-4F9C-B378-4E5395D92C17}" name="C27" dataDxfId="56"/>
    <tableColumn id="42" xr3:uid="{790F122F-27AD-426B-B13F-CD3FD8585104}" name="C28" dataDxfId="55"/>
    <tableColumn id="43" xr3:uid="{914053C2-B3E8-4720-BDEB-C49C4AC4B50C}" name="C29" dataDxfId="54"/>
    <tableColumn id="44" xr3:uid="{EA343FC2-4F25-4069-A46E-F4AEA2D1FB0D}" name="C30" dataDxfId="53"/>
    <tableColumn id="45" xr3:uid="{47B7D432-8691-4365-A12D-A95EBA7CE5BF}" name="C31" dataDxfId="52"/>
    <tableColumn id="46" xr3:uid="{E79689C4-C517-47F1-8241-23FD91CA3AF8}" name="C32" dataDxfId="51"/>
    <tableColumn id="47" xr3:uid="{2FA4D317-3D5C-44EF-A807-7C79CA6DE08F}" name="C33" dataDxfId="50"/>
    <tableColumn id="48" xr3:uid="{E0495E75-DC25-41A2-B74D-D75A5B814720}" name="C34" dataDxfId="49"/>
    <tableColumn id="49" xr3:uid="{391ADC20-5896-4360-93CD-0DC4113C861A}" name="C35" dataDxfId="48"/>
    <tableColumn id="50" xr3:uid="{D3068C68-0745-4B1A-9B51-7B8AE775A3C2}" name="C36" dataDxfId="47"/>
    <tableColumn id="51" xr3:uid="{87A37F2E-DC1F-4465-8265-57453ACCFA7D}" name="C37" dataDxfId="46"/>
    <tableColumn id="52" xr3:uid="{0C143BFE-C15F-4E3B-9257-D864E72AC3C7}" name="C38" dataDxfId="45"/>
    <tableColumn id="53" xr3:uid="{23B57741-D513-4B43-B61B-413AAD1DF505}" name="C39" dataDxfId="44"/>
    <tableColumn id="54" xr3:uid="{D4C5FDA7-640B-430F-A37A-34C1B0974FEA}" name="C40" dataDxfId="43"/>
    <tableColumn id="55" xr3:uid="{967EE029-FD3C-4B14-BFA2-01A8A6B13DF9}" name="C41" dataDxfId="42"/>
    <tableColumn id="56" xr3:uid="{FAB6B7EC-6A7F-4477-B654-6EE17469CD28}" name="C42" dataDxfId="41"/>
    <tableColumn id="57" xr3:uid="{04A76D1B-58C8-4134-8675-7F798C7CC071}" name="C43" dataDxfId="40"/>
    <tableColumn id="58" xr3:uid="{EF3EBBF3-8E90-4165-93CB-931208884994}" name="C44" dataDxfId="39"/>
    <tableColumn id="59" xr3:uid="{12DCEA53-9568-4DC1-AE4A-7FDBC5F91F6A}" name="C45" dataDxfId="38"/>
    <tableColumn id="60" xr3:uid="{B32091E3-23E2-4838-B370-F5F4F6AF4391}" name="C46" dataDxfId="37"/>
    <tableColumn id="61" xr3:uid="{941493BE-7E41-40EB-A92A-13E61CA793DF}" name="C47" dataDxfId="36"/>
    <tableColumn id="62" xr3:uid="{624092EB-DE2D-4103-9DC8-D735247BE38A}" name="C48" dataDxfId="35"/>
    <tableColumn id="63" xr3:uid="{C341EF51-157C-40D4-BAAB-7C160B7054C1}" name="C49" dataDxfId="34"/>
    <tableColumn id="64" xr3:uid="{DA4D28A5-88DF-4407-AC1D-C4D1E96BB2BD}" name="C50" dataDxfId="33"/>
    <tableColumn id="65" xr3:uid="{718614D1-EAA2-417F-8582-419F6FC18C4F}" name="C51" dataDxfId="32"/>
    <tableColumn id="66" xr3:uid="{67253AB3-C9EC-48C3-AEC5-8D53411CA06F}" name="C52" dataDxfId="31"/>
    <tableColumn id="67" xr3:uid="{5EBAF0C3-6EC7-4A9B-9FA3-C1CA444A0E60}" name="C53" dataDxfId="30"/>
    <tableColumn id="68" xr3:uid="{D6C0FAE2-93FB-4C8B-A3F0-F0F163FBA4B9}" name="C54" dataDxfId="29"/>
    <tableColumn id="69" xr3:uid="{0417A7FC-6F57-4FC6-B561-A4886A53AC9E}" name="C55" dataDxfId="28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D587BF-4941-494E-8286-12BEDF66C37E}" name="TabLangue" displayName="TabLangue" ref="A1:B45" totalsRowShown="0" headerRowDxfId="15" dataDxfId="14">
  <autoFilter ref="A1:B45" xr:uid="{B5D587BF-4941-494E-8286-12BEDF66C37E}"/>
  <sortState xmlns:xlrd2="http://schemas.microsoft.com/office/spreadsheetml/2017/richdata2" ref="A2:B42">
    <sortCondition ref="A1:A42"/>
  </sortState>
  <tableColumns count="2">
    <tableColumn id="1" xr3:uid="{B4E1D0D0-3B56-4681-9C12-E4E0A7B249E7}" name="Français" dataDxfId="13"/>
    <tableColumn id="2" xr3:uid="{0BB770F7-4074-4401-B5B1-F4C9F70282CE}" name="Anglais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70EDAB-C041-4F41-BDCA-2F8157291E0E}" name="TabLang" displayName="TabLang" ref="F1:F3" totalsRowShown="0">
  <autoFilter ref="F1:F3" xr:uid="{7970EDAB-C041-4F41-BDCA-2F8157291E0E}"/>
  <tableColumns count="1">
    <tableColumn id="1" xr3:uid="{7191A708-46DC-43F3-8911-A0EDD5FF02F1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N7:AN9" totalsRowShown="0" headerRowDxfId="10" dataDxfId="9">
  <autoFilter ref="AN7:AN9" xr:uid="{3253F210-AA72-4E4F-8C81-A40297988F38}">
    <filterColumn colId="0" hiddenButton="1"/>
  </autoFilter>
  <tableColumns count="1">
    <tableColumn id="1" xr3:uid="{E4B9B9C9-4A8A-4CC5-9DE7-282289B33A24}" name="Thème En tête" dataDxfId="8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619783-D82F-4498-8A20-FC7B116FA774}" name="TabColor" displayName="TabColor" ref="B8:B10" totalsRowShown="0" dataDxfId="7">
  <autoFilter ref="B8:B10" xr:uid="{D3619783-D82F-4498-8A20-FC7B116FA774}">
    <filterColumn colId="0" hiddenButton="1"/>
  </autoFilter>
  <tableColumns count="1">
    <tableColumn id="1" xr3:uid="{847962CE-3DD0-4BBA-BD4C-399FCB54C704}" name="Color" dataDxfId="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CA638-E0CD-4A2B-8D54-5254B6BDCF0E}" name="TabProjJalon" displayName="TabProjJalon" ref="AG9:AG11" totalsRowShown="0" headerRowDxfId="5" dataDxfId="3" headerRowBorderDxfId="4" tableBorderDxfId="2" totalsRowBorderDxfId="1">
  <autoFilter ref="AG9:AG11" xr:uid="{4B5CA638-E0CD-4A2B-8D54-5254B6BDCF0E}"/>
  <tableColumns count="1">
    <tableColumn id="1" xr3:uid="{B523DBB2-83F3-4860-A234-363AF5134272}" name="Co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M7" sqref="M7"/>
    </sheetView>
  </sheetViews>
  <sheetFormatPr defaultColWidth="8.88671875" defaultRowHeight="14.4" x14ac:dyDescent="0.3"/>
  <cols>
    <col min="1" max="1" width="2.33203125" customWidth="1"/>
    <col min="2" max="2" width="3.5546875" customWidth="1"/>
    <col min="6" max="6" width="20" customWidth="1"/>
    <col min="7" max="8" width="11.33203125" customWidth="1"/>
    <col min="9" max="9" width="13.6640625" customWidth="1"/>
    <col min="10" max="11" width="20" customWidth="1"/>
    <col min="13" max="13" width="20.33203125" customWidth="1"/>
    <col min="14" max="14" width="19.6640625" customWidth="1"/>
  </cols>
  <sheetData>
    <row r="1" spans="2:14" ht="18" customHeight="1" x14ac:dyDescent="0.3">
      <c r="F1" s="1"/>
      <c r="G1" s="1"/>
      <c r="H1" s="1"/>
      <c r="I1" s="1"/>
      <c r="J1" s="1"/>
      <c r="K1" s="1"/>
      <c r="L1" s="1"/>
      <c r="M1" s="11" t="s">
        <v>68</v>
      </c>
      <c r="N1" s="9">
        <v>44893</v>
      </c>
    </row>
    <row r="2" spans="2:14" ht="18" customHeight="1" x14ac:dyDescent="0.3">
      <c r="F2" s="1"/>
      <c r="G2" s="1"/>
      <c r="H2" s="1"/>
      <c r="I2" s="1"/>
      <c r="J2" s="1"/>
      <c r="K2" s="1"/>
      <c r="L2" s="1"/>
      <c r="M2" s="11" t="s">
        <v>69</v>
      </c>
      <c r="N2" s="8"/>
    </row>
    <row r="3" spans="2:14" ht="18" customHeight="1" thickBot="1" x14ac:dyDescent="0.35">
      <c r="F3" s="1"/>
      <c r="G3" s="1"/>
      <c r="H3" s="1"/>
      <c r="I3" s="1"/>
      <c r="J3" s="1"/>
      <c r="K3" s="1"/>
      <c r="L3" s="1"/>
      <c r="M3" s="10" t="s">
        <v>70</v>
      </c>
      <c r="N3" s="8" t="s">
        <v>71</v>
      </c>
    </row>
    <row r="4" spans="2:14" ht="28.95" customHeight="1" thickTop="1" thickBot="1" x14ac:dyDescent="0.35">
      <c r="B4" s="7"/>
      <c r="C4" s="7" t="s">
        <v>74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14" ht="15" thickTop="1" x14ac:dyDescent="0.3"/>
    <row r="6" spans="2:14" ht="18" x14ac:dyDescent="0.3">
      <c r="B6" s="49" t="s">
        <v>89</v>
      </c>
    </row>
    <row r="7" spans="2:14" ht="15.6" x14ac:dyDescent="0.3">
      <c r="B7" s="50" t="s">
        <v>90</v>
      </c>
    </row>
    <row r="21" spans="2:18" ht="18" x14ac:dyDescent="0.35">
      <c r="B21" s="51" t="s">
        <v>91</v>
      </c>
      <c r="C21" s="52"/>
      <c r="D21" s="52"/>
      <c r="E21" s="52"/>
      <c r="F21" s="52"/>
      <c r="G21" s="52"/>
      <c r="H21" s="52"/>
      <c r="I21" s="52"/>
      <c r="J21" s="52"/>
      <c r="K21" s="52"/>
      <c r="L21" s="53"/>
      <c r="M21" s="53"/>
      <c r="N21" s="53"/>
      <c r="O21" s="53"/>
      <c r="P21" s="53"/>
      <c r="Q21" s="53"/>
      <c r="R21" s="53"/>
    </row>
    <row r="22" spans="2:18" ht="39.6" customHeight="1" x14ac:dyDescent="0.3">
      <c r="B22" s="87" t="s">
        <v>92</v>
      </c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</row>
    <row r="28" spans="2:18" ht="21" x14ac:dyDescent="0.3">
      <c r="B28" s="54" t="s">
        <v>93</v>
      </c>
    </row>
    <row r="29" spans="2:18" ht="18" x14ac:dyDescent="0.3">
      <c r="B29" s="55" t="s">
        <v>94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</row>
    <row r="30" spans="2:18" ht="15.6" customHeight="1" x14ac:dyDescent="0.3">
      <c r="B30" s="56" t="s">
        <v>95</v>
      </c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8" ht="15.6" customHeight="1" x14ac:dyDescent="0.3">
      <c r="B31" s="56" t="s">
        <v>96</v>
      </c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52" spans="2:2" ht="15.6" x14ac:dyDescent="0.3">
      <c r="B52" s="56" t="s">
        <v>97</v>
      </c>
    </row>
    <row r="69" spans="2:2" ht="15.6" x14ac:dyDescent="0.3">
      <c r="B69" s="56" t="s">
        <v>98</v>
      </c>
    </row>
    <row r="70" spans="2:2" ht="15.6" x14ac:dyDescent="0.3">
      <c r="B70" s="56" t="s">
        <v>99</v>
      </c>
    </row>
    <row r="84" spans="2:2" ht="15.6" x14ac:dyDescent="0.3">
      <c r="B84" s="56" t="s">
        <v>100</v>
      </c>
    </row>
    <row r="85" spans="2:2" ht="15.6" x14ac:dyDescent="0.3">
      <c r="B85" s="56"/>
    </row>
    <row r="86" spans="2:2" ht="15.6" x14ac:dyDescent="0.3">
      <c r="B86" s="56" t="s">
        <v>101</v>
      </c>
    </row>
    <row r="87" spans="2:2" ht="15.6" x14ac:dyDescent="0.3">
      <c r="B87" s="56" t="s">
        <v>102</v>
      </c>
    </row>
    <row r="88" spans="2:2" ht="15.6" x14ac:dyDescent="0.3">
      <c r="B88" s="56"/>
    </row>
    <row r="89" spans="2:2" ht="15.6" x14ac:dyDescent="0.3">
      <c r="B89" s="56"/>
    </row>
    <row r="90" spans="2:2" ht="15.6" x14ac:dyDescent="0.3">
      <c r="B90" s="56"/>
    </row>
    <row r="91" spans="2:2" ht="15.6" x14ac:dyDescent="0.3">
      <c r="B91" s="56"/>
    </row>
    <row r="92" spans="2:2" ht="15.6" x14ac:dyDescent="0.3">
      <c r="B92" s="56"/>
    </row>
    <row r="93" spans="2:2" ht="15.6" x14ac:dyDescent="0.3">
      <c r="B93" s="56"/>
    </row>
    <row r="94" spans="2:2" ht="15.6" x14ac:dyDescent="0.3">
      <c r="B94" s="56"/>
    </row>
    <row r="95" spans="2:2" ht="15.6" x14ac:dyDescent="0.3">
      <c r="B95" s="56"/>
    </row>
    <row r="96" spans="2:2" ht="15.6" x14ac:dyDescent="0.3">
      <c r="B96" s="56"/>
    </row>
    <row r="97" spans="2:2" ht="15.6" x14ac:dyDescent="0.3">
      <c r="B97" s="56"/>
    </row>
    <row r="98" spans="2:2" ht="15.6" x14ac:dyDescent="0.3">
      <c r="B98" s="56"/>
    </row>
    <row r="99" spans="2:2" ht="15.6" x14ac:dyDescent="0.3">
      <c r="B99" s="56"/>
    </row>
    <row r="100" spans="2:2" ht="15.6" x14ac:dyDescent="0.3">
      <c r="B100" s="56"/>
    </row>
    <row r="101" spans="2:2" ht="15.6" x14ac:dyDescent="0.3">
      <c r="B101" s="56"/>
    </row>
    <row r="102" spans="2:2" ht="15.6" x14ac:dyDescent="0.3">
      <c r="B102" s="56"/>
    </row>
    <row r="103" spans="2:2" ht="15.6" x14ac:dyDescent="0.3">
      <c r="B103" s="56"/>
    </row>
    <row r="104" spans="2:2" ht="15.6" x14ac:dyDescent="0.3">
      <c r="B104" s="56"/>
    </row>
    <row r="105" spans="2:2" ht="15.6" x14ac:dyDescent="0.3">
      <c r="B105" s="56" t="s">
        <v>103</v>
      </c>
    </row>
    <row r="106" spans="2:2" ht="15.6" x14ac:dyDescent="0.3">
      <c r="B106" s="56"/>
    </row>
    <row r="107" spans="2:2" ht="15.6" x14ac:dyDescent="0.3">
      <c r="B107" s="56" t="s">
        <v>104</v>
      </c>
    </row>
    <row r="121" spans="2:2" ht="15.6" x14ac:dyDescent="0.3">
      <c r="B121" s="56" t="s">
        <v>105</v>
      </c>
    </row>
    <row r="134" spans="2:2" ht="18" x14ac:dyDescent="0.3">
      <c r="B134" s="55" t="s">
        <v>106</v>
      </c>
    </row>
    <row r="135" spans="2:2" ht="15.6" x14ac:dyDescent="0.3">
      <c r="B135" s="56" t="s">
        <v>107</v>
      </c>
    </row>
    <row r="150" spans="2:2" ht="15.6" x14ac:dyDescent="0.3">
      <c r="B150" s="56" t="s">
        <v>108</v>
      </c>
    </row>
    <row r="151" spans="2:2" ht="15.6" x14ac:dyDescent="0.3">
      <c r="B151" s="56" t="s">
        <v>109</v>
      </c>
    </row>
    <row r="153" spans="2:2" ht="18" x14ac:dyDescent="0.3">
      <c r="B153" s="55" t="s">
        <v>110</v>
      </c>
    </row>
    <row r="154" spans="2:2" ht="15.6" x14ac:dyDescent="0.3">
      <c r="B154" s="56" t="s">
        <v>111</v>
      </c>
    </row>
    <row r="155" spans="2:2" ht="15.6" x14ac:dyDescent="0.3">
      <c r="B155" s="56"/>
    </row>
    <row r="156" spans="2:2" ht="15.6" x14ac:dyDescent="0.3">
      <c r="B156" s="56"/>
    </row>
    <row r="164" spans="2:2" ht="15.6" x14ac:dyDescent="0.3">
      <c r="B164" s="56" t="s">
        <v>112</v>
      </c>
    </row>
    <row r="165" spans="2:2" ht="15.6" x14ac:dyDescent="0.3">
      <c r="B165" s="56" t="s">
        <v>113</v>
      </c>
    </row>
    <row r="166" spans="2:2" ht="15.6" x14ac:dyDescent="0.3">
      <c r="B166" s="56" t="s">
        <v>114</v>
      </c>
    </row>
    <row r="167" spans="2:2" ht="15.6" x14ac:dyDescent="0.3">
      <c r="B167" s="56"/>
    </row>
    <row r="168" spans="2:2" ht="15.6" x14ac:dyDescent="0.3">
      <c r="B168" s="56" t="s">
        <v>115</v>
      </c>
    </row>
    <row r="169" spans="2:2" ht="15.6" x14ac:dyDescent="0.3">
      <c r="B169" s="56"/>
    </row>
    <row r="170" spans="2:2" ht="15.6" x14ac:dyDescent="0.3">
      <c r="B170" s="56"/>
    </row>
    <row r="171" spans="2:2" ht="15.6" x14ac:dyDescent="0.3">
      <c r="B171" s="56"/>
    </row>
    <row r="172" spans="2:2" ht="15.6" x14ac:dyDescent="0.3">
      <c r="B172" s="56"/>
    </row>
    <row r="173" spans="2:2" ht="15.6" x14ac:dyDescent="0.3">
      <c r="B173" s="56"/>
    </row>
    <row r="174" spans="2:2" ht="15.6" x14ac:dyDescent="0.3">
      <c r="B174" s="56"/>
    </row>
    <row r="175" spans="2:2" ht="15.6" x14ac:dyDescent="0.3">
      <c r="B175" s="56"/>
    </row>
    <row r="176" spans="2:2" ht="15.6" x14ac:dyDescent="0.3">
      <c r="B176" s="56"/>
    </row>
    <row r="177" spans="2:2" ht="15.6" x14ac:dyDescent="0.3">
      <c r="B177" s="56"/>
    </row>
    <row r="178" spans="2:2" ht="15.6" x14ac:dyDescent="0.3">
      <c r="B178" s="56"/>
    </row>
    <row r="179" spans="2:2" ht="15.6" x14ac:dyDescent="0.3">
      <c r="B179" s="56"/>
    </row>
    <row r="180" spans="2:2" ht="15.6" x14ac:dyDescent="0.3">
      <c r="B180" s="56"/>
    </row>
    <row r="181" spans="2:2" ht="18" x14ac:dyDescent="0.3">
      <c r="B181" s="55" t="s">
        <v>116</v>
      </c>
    </row>
    <row r="182" spans="2:2" ht="15.6" x14ac:dyDescent="0.3">
      <c r="B182" s="56" t="s">
        <v>117</v>
      </c>
    </row>
    <row r="183" spans="2:2" ht="15.6" x14ac:dyDescent="0.3">
      <c r="B183" s="56"/>
    </row>
    <row r="184" spans="2:2" ht="15.6" x14ac:dyDescent="0.3">
      <c r="B184" s="56"/>
    </row>
    <row r="185" spans="2:2" ht="15.6" x14ac:dyDescent="0.3">
      <c r="B185" s="56"/>
    </row>
    <row r="186" spans="2:2" ht="15.6" x14ac:dyDescent="0.3">
      <c r="B186" s="56"/>
    </row>
    <row r="187" spans="2:2" ht="15.6" x14ac:dyDescent="0.3">
      <c r="B187" s="56"/>
    </row>
    <row r="188" spans="2:2" ht="15.6" x14ac:dyDescent="0.3">
      <c r="B188" s="56"/>
    </row>
    <row r="189" spans="2:2" ht="15.6" x14ac:dyDescent="0.3">
      <c r="B189" s="56"/>
    </row>
    <row r="190" spans="2:2" ht="15.6" x14ac:dyDescent="0.3">
      <c r="B190" s="56"/>
    </row>
    <row r="191" spans="2:2" ht="15.6" x14ac:dyDescent="0.3">
      <c r="B191" s="56"/>
    </row>
    <row r="192" spans="2:2" ht="15.6" x14ac:dyDescent="0.3">
      <c r="B192" s="56"/>
    </row>
    <row r="193" spans="2:2" ht="15.6" x14ac:dyDescent="0.3">
      <c r="B193" s="56"/>
    </row>
    <row r="194" spans="2:2" ht="15.6" x14ac:dyDescent="0.3">
      <c r="B194" s="56"/>
    </row>
    <row r="195" spans="2:2" ht="15.6" x14ac:dyDescent="0.3">
      <c r="B195" s="56"/>
    </row>
    <row r="196" spans="2:2" ht="15.6" x14ac:dyDescent="0.3">
      <c r="B196" s="56" t="s">
        <v>118</v>
      </c>
    </row>
    <row r="197" spans="2:2" ht="15.6" x14ac:dyDescent="0.3">
      <c r="B197" s="56" t="s">
        <v>119</v>
      </c>
    </row>
    <row r="198" spans="2:2" ht="15.6" x14ac:dyDescent="0.3">
      <c r="B198" s="56"/>
    </row>
    <row r="199" spans="2:2" ht="15.6" x14ac:dyDescent="0.3">
      <c r="B199" s="56"/>
    </row>
    <row r="200" spans="2:2" ht="15.6" x14ac:dyDescent="0.3">
      <c r="B200" s="56"/>
    </row>
    <row r="201" spans="2:2" ht="15.6" x14ac:dyDescent="0.3">
      <c r="B201" s="56"/>
    </row>
    <row r="202" spans="2:2" ht="15.6" x14ac:dyDescent="0.3">
      <c r="B202" s="56"/>
    </row>
    <row r="203" spans="2:2" ht="15.6" x14ac:dyDescent="0.3">
      <c r="B203" s="56"/>
    </row>
    <row r="204" spans="2:2" ht="15.6" x14ac:dyDescent="0.3">
      <c r="B204" s="56"/>
    </row>
    <row r="205" spans="2:2" ht="15.6" x14ac:dyDescent="0.3">
      <c r="B205" s="56"/>
    </row>
    <row r="206" spans="2:2" ht="15.6" x14ac:dyDescent="0.3">
      <c r="B206" s="56"/>
    </row>
    <row r="207" spans="2:2" ht="15.6" x14ac:dyDescent="0.3">
      <c r="B207" s="56"/>
    </row>
    <row r="208" spans="2:2" ht="15.6" x14ac:dyDescent="0.3">
      <c r="B208" s="56"/>
    </row>
    <row r="209" spans="2:2" ht="15.6" x14ac:dyDescent="0.3">
      <c r="B209" s="56"/>
    </row>
    <row r="210" spans="2:2" ht="15.6" x14ac:dyDescent="0.3">
      <c r="B210" s="56"/>
    </row>
    <row r="211" spans="2:2" ht="15.6" x14ac:dyDescent="0.3">
      <c r="B211" s="56"/>
    </row>
    <row r="212" spans="2:2" ht="15.6" x14ac:dyDescent="0.3">
      <c r="B212" s="56"/>
    </row>
    <row r="213" spans="2:2" ht="15.6" x14ac:dyDescent="0.3">
      <c r="B213" s="56"/>
    </row>
    <row r="214" spans="2:2" ht="15.6" x14ac:dyDescent="0.3">
      <c r="B214" s="56"/>
    </row>
    <row r="215" spans="2:2" ht="15.6" x14ac:dyDescent="0.3">
      <c r="B215" s="56"/>
    </row>
    <row r="216" spans="2:2" ht="15.6" x14ac:dyDescent="0.3">
      <c r="B216" s="56"/>
    </row>
    <row r="217" spans="2:2" ht="15.6" x14ac:dyDescent="0.3">
      <c r="B217" s="56" t="s">
        <v>120</v>
      </c>
    </row>
    <row r="218" spans="2:2" ht="15.6" x14ac:dyDescent="0.3">
      <c r="B218" s="56"/>
    </row>
    <row r="219" spans="2:2" ht="15.6" x14ac:dyDescent="0.3">
      <c r="B219" s="56"/>
    </row>
    <row r="220" spans="2:2" ht="15.6" x14ac:dyDescent="0.3">
      <c r="B220" s="56"/>
    </row>
    <row r="221" spans="2:2" ht="15.6" x14ac:dyDescent="0.3">
      <c r="B221" s="56"/>
    </row>
    <row r="222" spans="2:2" ht="15.6" x14ac:dyDescent="0.3">
      <c r="B222" s="56"/>
    </row>
    <row r="223" spans="2:2" ht="15.6" x14ac:dyDescent="0.3">
      <c r="B223" s="56"/>
    </row>
    <row r="224" spans="2:2" ht="15.6" x14ac:dyDescent="0.3">
      <c r="B224" s="56"/>
    </row>
    <row r="225" spans="2:2" ht="15.6" x14ac:dyDescent="0.3">
      <c r="B225" s="56"/>
    </row>
    <row r="226" spans="2:2" ht="15.6" x14ac:dyDescent="0.3">
      <c r="B226" s="56"/>
    </row>
    <row r="227" spans="2:2" ht="15.6" x14ac:dyDescent="0.3">
      <c r="B227" s="56"/>
    </row>
    <row r="228" spans="2:2" ht="15.6" x14ac:dyDescent="0.3">
      <c r="B228" s="56"/>
    </row>
    <row r="229" spans="2:2" ht="15.6" x14ac:dyDescent="0.3">
      <c r="B229" s="56"/>
    </row>
    <row r="230" spans="2:2" ht="15.6" x14ac:dyDescent="0.3">
      <c r="B230" s="56"/>
    </row>
    <row r="231" spans="2:2" ht="15.6" x14ac:dyDescent="0.3">
      <c r="B231" s="56"/>
    </row>
    <row r="232" spans="2:2" ht="15.6" x14ac:dyDescent="0.3">
      <c r="B232" s="56"/>
    </row>
    <row r="233" spans="2:2" ht="18" x14ac:dyDescent="0.3">
      <c r="B233" s="55" t="s">
        <v>121</v>
      </c>
    </row>
    <row r="234" spans="2:2" ht="15.6" x14ac:dyDescent="0.3">
      <c r="B234" s="56" t="s">
        <v>122</v>
      </c>
    </row>
    <row r="235" spans="2:2" ht="15.6" x14ac:dyDescent="0.3">
      <c r="B235" s="56" t="s">
        <v>123</v>
      </c>
    </row>
    <row r="236" spans="2:2" ht="15.6" x14ac:dyDescent="0.3">
      <c r="B236" s="56" t="s">
        <v>124</v>
      </c>
    </row>
    <row r="237" spans="2:2" ht="15.6" x14ac:dyDescent="0.3">
      <c r="B237" s="56"/>
    </row>
    <row r="238" spans="2:2" ht="15.6" x14ac:dyDescent="0.3">
      <c r="B238" s="56"/>
    </row>
    <row r="239" spans="2:2" ht="15.6" x14ac:dyDescent="0.3">
      <c r="B239" s="56"/>
    </row>
    <row r="240" spans="2:2" ht="15.6" x14ac:dyDescent="0.3">
      <c r="B240" s="56"/>
    </row>
    <row r="241" spans="2:2" ht="15.6" x14ac:dyDescent="0.3">
      <c r="B241" s="56"/>
    </row>
    <row r="242" spans="2:2" ht="15.6" x14ac:dyDescent="0.3">
      <c r="B242" s="56"/>
    </row>
    <row r="243" spans="2:2" ht="15.6" x14ac:dyDescent="0.3">
      <c r="B243" s="56"/>
    </row>
    <row r="244" spans="2:2" ht="15.6" x14ac:dyDescent="0.3">
      <c r="B244" s="56"/>
    </row>
    <row r="245" spans="2:2" ht="15.6" x14ac:dyDescent="0.3">
      <c r="B245" s="56"/>
    </row>
    <row r="246" spans="2:2" ht="15.6" x14ac:dyDescent="0.3">
      <c r="B246" s="56"/>
    </row>
    <row r="247" spans="2:2" ht="15.6" x14ac:dyDescent="0.3">
      <c r="B247" s="56"/>
    </row>
    <row r="248" spans="2:2" ht="15.6" x14ac:dyDescent="0.3">
      <c r="B248" s="56"/>
    </row>
    <row r="249" spans="2:2" ht="15.6" x14ac:dyDescent="0.3">
      <c r="B249" s="56" t="s">
        <v>125</v>
      </c>
    </row>
    <row r="250" spans="2:2" ht="15.6" x14ac:dyDescent="0.3">
      <c r="B250" s="56"/>
    </row>
    <row r="251" spans="2:2" ht="15.6" x14ac:dyDescent="0.3">
      <c r="B251" s="56"/>
    </row>
    <row r="252" spans="2:2" ht="15.6" x14ac:dyDescent="0.3">
      <c r="B252" s="56"/>
    </row>
    <row r="253" spans="2:2" ht="15.6" x14ac:dyDescent="0.3">
      <c r="B253" s="56"/>
    </row>
    <row r="254" spans="2:2" ht="15.6" x14ac:dyDescent="0.3">
      <c r="B254" s="56"/>
    </row>
    <row r="255" spans="2:2" ht="15.6" x14ac:dyDescent="0.3">
      <c r="B255" s="56"/>
    </row>
    <row r="256" spans="2:2" ht="15.6" x14ac:dyDescent="0.3">
      <c r="B256" s="56"/>
    </row>
    <row r="257" spans="2:2" ht="15.6" x14ac:dyDescent="0.3">
      <c r="B257" s="56"/>
    </row>
    <row r="258" spans="2:2" ht="15.6" x14ac:dyDescent="0.3">
      <c r="B258" s="56"/>
    </row>
    <row r="259" spans="2:2" ht="15.6" x14ac:dyDescent="0.3">
      <c r="B259" s="56"/>
    </row>
    <row r="260" spans="2:2" ht="15.6" x14ac:dyDescent="0.3">
      <c r="B260" s="56"/>
    </row>
    <row r="261" spans="2:2" ht="15.6" x14ac:dyDescent="0.3">
      <c r="B261" s="56"/>
    </row>
    <row r="262" spans="2:2" ht="15.6" x14ac:dyDescent="0.3">
      <c r="B262" s="56"/>
    </row>
    <row r="263" spans="2:2" ht="15.6" x14ac:dyDescent="0.3">
      <c r="B263" s="56" t="s">
        <v>126</v>
      </c>
    </row>
    <row r="265" spans="2:2" ht="15.6" x14ac:dyDescent="0.3">
      <c r="B265" s="56"/>
    </row>
    <row r="266" spans="2:2" ht="15.6" x14ac:dyDescent="0.3">
      <c r="B266" s="56"/>
    </row>
    <row r="267" spans="2:2" ht="15.6" x14ac:dyDescent="0.3">
      <c r="B267" s="56"/>
    </row>
    <row r="268" spans="2:2" ht="15.6" x14ac:dyDescent="0.3">
      <c r="B268" s="56"/>
    </row>
    <row r="269" spans="2:2" ht="15.6" x14ac:dyDescent="0.3">
      <c r="B269" s="56"/>
    </row>
    <row r="270" spans="2:2" ht="15.6" x14ac:dyDescent="0.3">
      <c r="B270" s="56"/>
    </row>
    <row r="271" spans="2:2" ht="15.6" x14ac:dyDescent="0.3">
      <c r="B271" s="56"/>
    </row>
    <row r="272" spans="2:2" ht="15.6" x14ac:dyDescent="0.3">
      <c r="B272" s="56"/>
    </row>
    <row r="273" spans="2:2" ht="15.6" x14ac:dyDescent="0.3">
      <c r="B273" s="56"/>
    </row>
    <row r="274" spans="2:2" ht="15.6" x14ac:dyDescent="0.3">
      <c r="B274" s="56"/>
    </row>
    <row r="275" spans="2:2" ht="15.6" x14ac:dyDescent="0.3">
      <c r="B275" s="56"/>
    </row>
    <row r="276" spans="2:2" ht="15.6" x14ac:dyDescent="0.3">
      <c r="B276" s="56"/>
    </row>
    <row r="277" spans="2:2" ht="15.6" x14ac:dyDescent="0.3">
      <c r="B277" s="56"/>
    </row>
    <row r="278" spans="2:2" ht="15.6" x14ac:dyDescent="0.3">
      <c r="B278" s="56"/>
    </row>
    <row r="279" spans="2:2" ht="15.6" x14ac:dyDescent="0.3">
      <c r="B279" s="56"/>
    </row>
    <row r="280" spans="2:2" ht="15.6" x14ac:dyDescent="0.3">
      <c r="B280" s="56"/>
    </row>
    <row r="281" spans="2:2" ht="15.6" x14ac:dyDescent="0.3">
      <c r="B281" s="56"/>
    </row>
    <row r="282" spans="2:2" ht="15.6" x14ac:dyDescent="0.3">
      <c r="B282" s="56"/>
    </row>
    <row r="283" spans="2:2" ht="15.6" x14ac:dyDescent="0.3">
      <c r="B283" s="56"/>
    </row>
    <row r="284" spans="2:2" ht="15.6" x14ac:dyDescent="0.3">
      <c r="B284" s="56"/>
    </row>
    <row r="285" spans="2:2" ht="15.6" x14ac:dyDescent="0.3">
      <c r="B285" s="56"/>
    </row>
    <row r="286" spans="2:2" ht="15.6" x14ac:dyDescent="0.3">
      <c r="B286" s="56"/>
    </row>
    <row r="287" spans="2:2" ht="15.6" x14ac:dyDescent="0.3">
      <c r="B287" s="56"/>
    </row>
    <row r="288" spans="2:2" ht="15.6" x14ac:dyDescent="0.3">
      <c r="B288" s="56"/>
    </row>
    <row r="289" spans="2:2" ht="15.6" x14ac:dyDescent="0.3">
      <c r="B289" s="56"/>
    </row>
    <row r="290" spans="2:2" ht="15.6" x14ac:dyDescent="0.3">
      <c r="B290" s="56"/>
    </row>
    <row r="291" spans="2:2" ht="15.6" x14ac:dyDescent="0.3">
      <c r="B291" s="56"/>
    </row>
    <row r="292" spans="2:2" ht="15.6" x14ac:dyDescent="0.3">
      <c r="B292" s="56"/>
    </row>
    <row r="293" spans="2:2" ht="15.6" x14ac:dyDescent="0.3">
      <c r="B293" s="56"/>
    </row>
    <row r="294" spans="2:2" ht="15.6" x14ac:dyDescent="0.3">
      <c r="B294" s="56"/>
    </row>
    <row r="295" spans="2:2" ht="15.6" x14ac:dyDescent="0.3">
      <c r="B295" s="56"/>
    </row>
    <row r="296" spans="2:2" ht="15.6" x14ac:dyDescent="0.3">
      <c r="B296" s="56"/>
    </row>
    <row r="297" spans="2:2" ht="15.6" x14ac:dyDescent="0.3">
      <c r="B297" s="56"/>
    </row>
    <row r="298" spans="2:2" ht="15.6" x14ac:dyDescent="0.3">
      <c r="B298" s="56"/>
    </row>
    <row r="299" spans="2:2" ht="15.6" x14ac:dyDescent="0.3">
      <c r="B299" s="56"/>
    </row>
    <row r="300" spans="2:2" ht="15.6" x14ac:dyDescent="0.3">
      <c r="B300" s="56"/>
    </row>
    <row r="301" spans="2:2" ht="15.6" x14ac:dyDescent="0.3">
      <c r="B301" s="56"/>
    </row>
    <row r="302" spans="2:2" ht="15.6" x14ac:dyDescent="0.3">
      <c r="B302" s="56"/>
    </row>
    <row r="303" spans="2:2" ht="15.6" x14ac:dyDescent="0.3">
      <c r="B303" s="56"/>
    </row>
    <row r="304" spans="2:2" ht="15.6" x14ac:dyDescent="0.3">
      <c r="B304" s="56"/>
    </row>
    <row r="305" spans="2:2" ht="15.6" x14ac:dyDescent="0.3">
      <c r="B305" s="56"/>
    </row>
    <row r="306" spans="2:2" ht="15.6" x14ac:dyDescent="0.3">
      <c r="B306" s="56"/>
    </row>
    <row r="307" spans="2:2" ht="15.6" x14ac:dyDescent="0.3">
      <c r="B307" s="56"/>
    </row>
    <row r="308" spans="2:2" ht="15.6" x14ac:dyDescent="0.3">
      <c r="B308" s="56"/>
    </row>
    <row r="309" spans="2:2" ht="15.6" x14ac:dyDescent="0.3">
      <c r="B309" s="56"/>
    </row>
    <row r="310" spans="2:2" ht="15.6" x14ac:dyDescent="0.3">
      <c r="B310" s="56"/>
    </row>
    <row r="311" spans="2:2" ht="15.6" x14ac:dyDescent="0.3">
      <c r="B311" s="56"/>
    </row>
    <row r="312" spans="2:2" ht="15.6" x14ac:dyDescent="0.3">
      <c r="B312" s="56"/>
    </row>
    <row r="313" spans="2:2" ht="15.6" x14ac:dyDescent="0.3">
      <c r="B313" s="56"/>
    </row>
    <row r="314" spans="2:2" ht="15.6" x14ac:dyDescent="0.3">
      <c r="B314" s="56"/>
    </row>
    <row r="315" spans="2:2" ht="15.6" x14ac:dyDescent="0.3">
      <c r="B315" s="56"/>
    </row>
    <row r="316" spans="2:2" ht="15.6" x14ac:dyDescent="0.3">
      <c r="B316" s="56"/>
    </row>
    <row r="317" spans="2:2" ht="15.6" x14ac:dyDescent="0.3">
      <c r="B317" s="56"/>
    </row>
    <row r="318" spans="2:2" ht="15.6" x14ac:dyDescent="0.3">
      <c r="B318" s="56"/>
    </row>
    <row r="319" spans="2:2" ht="15.6" x14ac:dyDescent="0.3">
      <c r="B319" s="56"/>
    </row>
    <row r="320" spans="2:2" ht="15.6" x14ac:dyDescent="0.3">
      <c r="B320" s="56"/>
    </row>
    <row r="321" spans="2:2" ht="15.6" x14ac:dyDescent="0.3">
      <c r="B321" s="56"/>
    </row>
    <row r="322" spans="2:2" ht="15.6" x14ac:dyDescent="0.3">
      <c r="B322" s="56"/>
    </row>
    <row r="323" spans="2:2" ht="15.6" x14ac:dyDescent="0.3">
      <c r="B323" s="56"/>
    </row>
    <row r="324" spans="2:2" ht="15.6" x14ac:dyDescent="0.3">
      <c r="B324" s="56"/>
    </row>
    <row r="325" spans="2:2" ht="15.6" x14ac:dyDescent="0.3">
      <c r="B325" s="56"/>
    </row>
    <row r="326" spans="2:2" ht="15.6" x14ac:dyDescent="0.3">
      <c r="B326" s="56"/>
    </row>
    <row r="327" spans="2:2" ht="15.6" x14ac:dyDescent="0.3">
      <c r="B327" s="56"/>
    </row>
    <row r="328" spans="2:2" ht="15.6" x14ac:dyDescent="0.3">
      <c r="B328" s="56"/>
    </row>
    <row r="329" spans="2:2" ht="15.6" x14ac:dyDescent="0.3">
      <c r="B329" s="56"/>
    </row>
    <row r="330" spans="2:2" ht="15.6" x14ac:dyDescent="0.3">
      <c r="B330" s="56"/>
    </row>
    <row r="331" spans="2:2" ht="15.6" x14ac:dyDescent="0.3">
      <c r="B331" s="56"/>
    </row>
    <row r="332" spans="2:2" ht="15.6" x14ac:dyDescent="0.3">
      <c r="B332" s="56"/>
    </row>
    <row r="333" spans="2:2" ht="15.6" x14ac:dyDescent="0.3">
      <c r="B333" s="56"/>
    </row>
    <row r="334" spans="2:2" ht="15.6" x14ac:dyDescent="0.3">
      <c r="B334" s="56"/>
    </row>
    <row r="335" spans="2:2" ht="15.6" x14ac:dyDescent="0.3">
      <c r="B335" s="56"/>
    </row>
    <row r="336" spans="2:2" ht="15.6" x14ac:dyDescent="0.3">
      <c r="B336" s="56"/>
    </row>
    <row r="337" spans="2:2" ht="15.6" x14ac:dyDescent="0.3">
      <c r="B337" s="56"/>
    </row>
    <row r="338" spans="2:2" ht="15.6" x14ac:dyDescent="0.3">
      <c r="B338" s="56"/>
    </row>
    <row r="339" spans="2:2" ht="15.6" x14ac:dyDescent="0.3">
      <c r="B339" s="56"/>
    </row>
    <row r="340" spans="2:2" ht="15.6" x14ac:dyDescent="0.3">
      <c r="B340" s="56"/>
    </row>
    <row r="341" spans="2:2" ht="15.6" x14ac:dyDescent="0.3">
      <c r="B341" s="56"/>
    </row>
    <row r="342" spans="2:2" ht="15.6" x14ac:dyDescent="0.3">
      <c r="B342" s="56"/>
    </row>
    <row r="343" spans="2:2" ht="15.6" x14ac:dyDescent="0.3">
      <c r="B343" s="56"/>
    </row>
    <row r="344" spans="2:2" ht="15.6" x14ac:dyDescent="0.3">
      <c r="B344" s="56"/>
    </row>
    <row r="345" spans="2:2" ht="15.6" x14ac:dyDescent="0.3">
      <c r="B345" s="56"/>
    </row>
    <row r="346" spans="2:2" ht="15.6" x14ac:dyDescent="0.3">
      <c r="B346" s="56"/>
    </row>
    <row r="347" spans="2:2" ht="15.6" x14ac:dyDescent="0.3">
      <c r="B347" s="56"/>
    </row>
    <row r="348" spans="2:2" ht="15.6" x14ac:dyDescent="0.3">
      <c r="B348" s="56"/>
    </row>
    <row r="349" spans="2:2" ht="15.6" x14ac:dyDescent="0.3">
      <c r="B349" s="56"/>
    </row>
    <row r="350" spans="2:2" ht="15.6" x14ac:dyDescent="0.3">
      <c r="B350" s="56"/>
    </row>
    <row r="351" spans="2:2" ht="15.6" x14ac:dyDescent="0.3">
      <c r="B351" s="56"/>
    </row>
    <row r="352" spans="2:2" ht="15.6" x14ac:dyDescent="0.3">
      <c r="B352" s="56"/>
    </row>
    <row r="353" spans="2:2" ht="15.6" x14ac:dyDescent="0.3">
      <c r="B353" s="56"/>
    </row>
    <row r="354" spans="2:2" ht="15.6" x14ac:dyDescent="0.3">
      <c r="B354" s="56"/>
    </row>
    <row r="355" spans="2:2" ht="15.6" x14ac:dyDescent="0.3">
      <c r="B355" s="56"/>
    </row>
    <row r="356" spans="2:2" ht="15.6" x14ac:dyDescent="0.3">
      <c r="B356" s="56"/>
    </row>
    <row r="357" spans="2:2" ht="15.6" x14ac:dyDescent="0.3">
      <c r="B357" s="56"/>
    </row>
    <row r="358" spans="2:2" ht="15.6" x14ac:dyDescent="0.3">
      <c r="B358" s="56"/>
    </row>
    <row r="359" spans="2:2" ht="15.6" x14ac:dyDescent="0.3">
      <c r="B359" s="56"/>
    </row>
    <row r="360" spans="2:2" ht="15.6" x14ac:dyDescent="0.3">
      <c r="B360" s="56"/>
    </row>
    <row r="361" spans="2:2" ht="15.6" x14ac:dyDescent="0.3">
      <c r="B361" s="56"/>
    </row>
    <row r="362" spans="2:2" ht="15.6" x14ac:dyDescent="0.3">
      <c r="B362" s="56"/>
    </row>
    <row r="363" spans="2:2" ht="15.6" x14ac:dyDescent="0.3">
      <c r="B363" s="56"/>
    </row>
    <row r="364" spans="2:2" ht="15.6" x14ac:dyDescent="0.3">
      <c r="B364" s="56"/>
    </row>
    <row r="365" spans="2:2" ht="15.6" x14ac:dyDescent="0.3">
      <c r="B365" s="56"/>
    </row>
    <row r="366" spans="2:2" ht="15.6" x14ac:dyDescent="0.3">
      <c r="B366" s="56"/>
    </row>
    <row r="367" spans="2:2" ht="15.6" x14ac:dyDescent="0.3">
      <c r="B367" s="56"/>
    </row>
    <row r="368" spans="2:2" ht="15.6" x14ac:dyDescent="0.3">
      <c r="B368" s="56"/>
    </row>
    <row r="369" spans="2:2" ht="15.6" x14ac:dyDescent="0.3">
      <c r="B369" s="56"/>
    </row>
    <row r="370" spans="2:2" ht="15.6" x14ac:dyDescent="0.3">
      <c r="B370" s="56"/>
    </row>
    <row r="371" spans="2:2" ht="15.6" x14ac:dyDescent="0.3">
      <c r="B371" s="56"/>
    </row>
    <row r="372" spans="2:2" ht="15.6" x14ac:dyDescent="0.3">
      <c r="B372" s="56"/>
    </row>
    <row r="373" spans="2:2" ht="15.6" x14ac:dyDescent="0.3">
      <c r="B373" s="56"/>
    </row>
    <row r="374" spans="2:2" ht="15.6" x14ac:dyDescent="0.3">
      <c r="B374" s="56"/>
    </row>
    <row r="375" spans="2:2" ht="15.6" x14ac:dyDescent="0.3">
      <c r="B375" s="56"/>
    </row>
    <row r="376" spans="2:2" ht="15.6" x14ac:dyDescent="0.3">
      <c r="B376" s="56"/>
    </row>
    <row r="377" spans="2:2" ht="15.6" x14ac:dyDescent="0.3">
      <c r="B377" s="56"/>
    </row>
    <row r="378" spans="2:2" ht="15.6" x14ac:dyDescent="0.3">
      <c r="B378" s="56"/>
    </row>
    <row r="379" spans="2:2" ht="15.6" x14ac:dyDescent="0.3">
      <c r="B379" s="56"/>
    </row>
    <row r="380" spans="2:2" ht="15.6" x14ac:dyDescent="0.3">
      <c r="B380" s="56"/>
    </row>
    <row r="381" spans="2:2" ht="15.6" x14ac:dyDescent="0.3">
      <c r="B381" s="56"/>
    </row>
    <row r="382" spans="2:2" ht="15.6" x14ac:dyDescent="0.3">
      <c r="B382" s="56"/>
    </row>
    <row r="383" spans="2:2" ht="15.6" x14ac:dyDescent="0.3">
      <c r="B383" s="56"/>
    </row>
    <row r="384" spans="2:2" ht="15.6" x14ac:dyDescent="0.3">
      <c r="B384" s="56"/>
    </row>
    <row r="385" spans="2:2" ht="15.6" x14ac:dyDescent="0.3">
      <c r="B385" s="56"/>
    </row>
    <row r="386" spans="2:2" ht="15.6" x14ac:dyDescent="0.3">
      <c r="B386" s="56"/>
    </row>
    <row r="387" spans="2:2" ht="15.6" x14ac:dyDescent="0.3">
      <c r="B387" s="56"/>
    </row>
    <row r="388" spans="2:2" ht="15.6" x14ac:dyDescent="0.3">
      <c r="B388" s="56"/>
    </row>
    <row r="389" spans="2:2" ht="15.6" x14ac:dyDescent="0.3">
      <c r="B389" s="56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ProjetClassique">
    <tabColor theme="4" tint="0.39997558519241921"/>
  </sheetPr>
  <dimension ref="B1:BP460"/>
  <sheetViews>
    <sheetView showGridLines="0" tabSelected="1" topLeftCell="A3" zoomScaleNormal="100" workbookViewId="0">
      <selection activeCell="R20" sqref="R20"/>
    </sheetView>
  </sheetViews>
  <sheetFormatPr defaultColWidth="8.88671875" defaultRowHeight="14.4" x14ac:dyDescent="0.3"/>
  <cols>
    <col min="1" max="1" width="2.88671875" customWidth="1"/>
    <col min="2" max="2" width="4.5546875" customWidth="1"/>
    <col min="3" max="3" width="8.6640625" style="71" hidden="1" customWidth="1"/>
    <col min="4" max="4" width="6.21875" style="71" hidden="1" customWidth="1"/>
    <col min="5" max="5" width="9.44140625" style="71" hidden="1" customWidth="1"/>
    <col min="6" max="6" width="6.6640625" style="72" hidden="1" customWidth="1"/>
    <col min="7" max="7" width="52" customWidth="1"/>
    <col min="8" max="8" width="11.33203125" customWidth="1"/>
    <col min="9" max="9" width="10.5546875" bestFit="1" customWidth="1"/>
    <col min="10" max="10" width="12.44140625" customWidth="1"/>
    <col min="11" max="29" width="3.44140625" customWidth="1"/>
    <col min="30" max="38" width="3" customWidth="1"/>
    <col min="39" max="66" width="3.109375" customWidth="1"/>
    <col min="67" max="67" width="1.44140625" customWidth="1"/>
  </cols>
  <sheetData>
    <row r="1" spans="2:68" ht="18" customHeight="1" x14ac:dyDescent="0.3">
      <c r="H1" s="88" t="s">
        <v>66</v>
      </c>
      <c r="I1" s="88"/>
      <c r="J1" s="90" t="s">
        <v>151</v>
      </c>
      <c r="K1" s="90"/>
      <c r="L1" s="90"/>
      <c r="N1" s="88" t="s">
        <v>147</v>
      </c>
      <c r="O1" s="88"/>
      <c r="P1" s="88"/>
      <c r="Q1" s="88"/>
      <c r="R1" s="88"/>
      <c r="S1" s="88"/>
      <c r="T1" s="88"/>
      <c r="U1" s="88"/>
      <c r="V1" s="19"/>
      <c r="W1" s="90" t="s">
        <v>150</v>
      </c>
      <c r="X1" s="90"/>
      <c r="Y1" s="90"/>
      <c r="Z1" s="90"/>
      <c r="AA1" s="90"/>
      <c r="AB1" s="90"/>
      <c r="AC1" s="90"/>
      <c r="AD1" s="90"/>
      <c r="AK1" s="92" t="s">
        <v>68</v>
      </c>
      <c r="AL1" s="92"/>
      <c r="AM1" s="92"/>
      <c r="AN1" s="92"/>
      <c r="AO1" s="92"/>
      <c r="AP1" s="92"/>
      <c r="AQ1" s="95">
        <v>44893</v>
      </c>
      <c r="AR1" s="95"/>
      <c r="AS1" s="95"/>
      <c r="AT1" s="95"/>
      <c r="AU1" s="95"/>
    </row>
    <row r="2" spans="2:68" ht="18" customHeight="1" x14ac:dyDescent="0.3">
      <c r="H2" s="89" t="s">
        <v>67</v>
      </c>
      <c r="I2" s="89"/>
      <c r="J2" s="91" t="s">
        <v>152</v>
      </c>
      <c r="K2" s="91"/>
      <c r="L2" s="91"/>
      <c r="N2" s="89" t="s">
        <v>148</v>
      </c>
      <c r="O2" s="89"/>
      <c r="P2" s="89"/>
      <c r="Q2" s="89"/>
      <c r="R2" s="89"/>
      <c r="S2" s="89"/>
      <c r="T2" s="89"/>
      <c r="U2" s="89"/>
      <c r="V2" s="19"/>
      <c r="W2" s="91" t="s">
        <v>149</v>
      </c>
      <c r="X2" s="91"/>
      <c r="Y2" s="91"/>
      <c r="Z2" s="91"/>
      <c r="AA2" s="91"/>
      <c r="AB2" s="91"/>
      <c r="AC2" s="91"/>
      <c r="AD2" s="91"/>
      <c r="AK2" s="92" t="s">
        <v>69</v>
      </c>
      <c r="AL2" s="92"/>
      <c r="AM2" s="92"/>
      <c r="AN2" s="92"/>
      <c r="AO2" s="92"/>
      <c r="AP2" s="92"/>
      <c r="AQ2" s="96"/>
      <c r="AR2" s="96"/>
      <c r="AS2" s="96"/>
      <c r="AT2" s="96"/>
      <c r="AU2" s="96"/>
    </row>
    <row r="3" spans="2:68" ht="18" customHeight="1" thickBot="1" x14ac:dyDescent="0.35">
      <c r="I3" s="1"/>
      <c r="K3" s="33"/>
      <c r="L3" s="33"/>
      <c r="M3" s="33"/>
      <c r="N3" s="33"/>
      <c r="O3" s="33"/>
      <c r="P3" s="33"/>
      <c r="Q3" s="33"/>
      <c r="AK3" s="93" t="s">
        <v>70</v>
      </c>
      <c r="AL3" s="93"/>
      <c r="AM3" s="93"/>
      <c r="AN3" s="93"/>
      <c r="AO3" s="93"/>
      <c r="AP3" s="93"/>
      <c r="AQ3" s="96" t="s">
        <v>71</v>
      </c>
      <c r="AR3" s="96"/>
      <c r="AS3" s="96"/>
      <c r="AT3" s="96"/>
      <c r="AU3" s="96"/>
    </row>
    <row r="4" spans="2:68" ht="28.95" customHeight="1" thickTop="1" thickBot="1" x14ac:dyDescent="0.35">
      <c r="B4" s="62"/>
      <c r="C4" s="73"/>
      <c r="D4" s="73"/>
      <c r="E4" s="73"/>
      <c r="F4" s="74"/>
      <c r="G4" s="62" t="s">
        <v>187</v>
      </c>
      <c r="H4" s="81" t="s">
        <v>160</v>
      </c>
      <c r="I4" s="82">
        <v>2</v>
      </c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94">
        <v>45219</v>
      </c>
      <c r="AD4" s="94"/>
      <c r="AE4" s="94"/>
      <c r="AF4" s="94"/>
      <c r="AG4" s="94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2:68" ht="15" thickTop="1" x14ac:dyDescent="0.3">
      <c r="K5" s="5" t="str">
        <f>UPPER(TEXT(DATE(YEAR($K$8), MONTH($K$8), DAY($K$8)-WEEKDAY($K$8, 2) + 1),"mmmm"))</f>
        <v>SEPTEMBRE</v>
      </c>
      <c r="L5" s="5"/>
      <c r="M5" s="5"/>
      <c r="N5" s="6" t="str">
        <f>UPPER(TEXT(DATE(YEAR($N$8), MONTH($N$8), DAY($N$8)-WEEKDAY($N$8, 2) + 1),"mmmm"))</f>
        <v>OCTOBRE</v>
      </c>
      <c r="O5" s="6"/>
      <c r="P5" s="6"/>
      <c r="Q5" s="6"/>
      <c r="R5" s="6"/>
      <c r="S5" s="5" t="str">
        <f>UPPER(TEXT(DATE(YEAR($S$8), MONTH($S$8), DAY($S$8)-WEEKDAY($S$8, 2) + 1),"mmmm"))</f>
        <v>NOVEMBRE</v>
      </c>
      <c r="T5" s="5"/>
      <c r="U5" s="5"/>
      <c r="V5" s="5"/>
      <c r="W5" s="6" t="str">
        <f>UPPER(TEXT(DATE(YEAR($W$8), MONTH($W$8), DAY($W$8)-WEEKDAY($W$8, 2) + 1),"mmmm"))</f>
        <v>DÉCEMBRE</v>
      </c>
      <c r="X5" s="6"/>
      <c r="Y5" s="6"/>
      <c r="Z5" s="6"/>
      <c r="AA5" s="5" t="str">
        <f>UPPER(TEXT(DATE(YEAR($AA$8), MONTH($AA$8), DAY($AA$8)-WEEKDAY($AA$8, 2) + 1),"mmmm"))</f>
        <v>JANVIER</v>
      </c>
      <c r="AB5" s="5"/>
      <c r="AC5" s="5"/>
      <c r="AD5" s="5"/>
      <c r="AE5" s="5"/>
      <c r="AF5" s="6" t="str">
        <f>UPPER(TEXT(DATE(YEAR($AF$8), MONTH($AF$8), DAY($AF$8)-WEEKDAY($AF$8, 2) + 1),"mmmm"))</f>
        <v>FÉVRIER</v>
      </c>
      <c r="AG5" s="6"/>
      <c r="AH5" s="6"/>
      <c r="AI5" s="6"/>
      <c r="AJ5" s="5" t="str">
        <f>UPPER(TEXT(DATE(YEAR($AJ$8), MONTH($AJ$8), DAY($AJ$8)-WEEKDAY($AJ$8, 2) + 1),"mmmm"))</f>
        <v>MARS</v>
      </c>
      <c r="AK5" s="5"/>
      <c r="AL5" s="5"/>
      <c r="AM5" s="5"/>
      <c r="AN5" s="6" t="str">
        <f>UPPER(TEXT(DATE(YEAR($AN$8), MONTH($AN$8), DAY($AN$8)-WEEKDAY($AN$8, 2) + 1),"mmmm"))</f>
        <v>AVRIL</v>
      </c>
      <c r="AO5" s="6"/>
      <c r="AP5" s="6"/>
      <c r="AQ5" s="6"/>
      <c r="AR5" s="6"/>
      <c r="AS5" s="5" t="str">
        <f>UPPER(TEXT(DATE(YEAR($AS$8), MONTH($AS$8), DAY($AS$8)-WEEKDAY($AS$8, 2) + 1),"mmmm"))</f>
        <v>MAI</v>
      </c>
      <c r="AT5" s="5"/>
      <c r="AU5" s="5"/>
      <c r="AV5" s="5"/>
      <c r="AW5" s="6" t="str">
        <f>UPPER(TEXT(DATE(YEAR($AW$8), MONTH($AW$8), DAY($AW$8)-WEEKDAY($AW$8, 2) + 1),"mmmm"))</f>
        <v>JUIN</v>
      </c>
      <c r="AX5" s="6"/>
      <c r="AY5" s="6"/>
      <c r="AZ5" s="6"/>
      <c r="BA5" s="5" t="str">
        <f>UPPER(TEXT(DATE(YEAR($BA$8), MONTH($BA$8), DAY($BA$8)-WEEKDAY($BA$8, 2) + 1),"mmmm"))</f>
        <v>JUILLET</v>
      </c>
      <c r="BB5" s="5"/>
      <c r="BC5" s="5"/>
      <c r="BD5" s="5"/>
      <c r="BE5" s="5"/>
      <c r="BF5" s="6" t="str">
        <f>UPPER(TEXT(DATE(YEAR($BF$8), MONTH($BF$8), DAY($BF$8)-WEEKDAY($BF$8, 2) + 1),"mmmm"))</f>
        <v>AOÛT</v>
      </c>
      <c r="BG5" s="6"/>
      <c r="BH5" s="6"/>
      <c r="BI5" s="6"/>
      <c r="BJ5" s="5" t="str">
        <f>UPPER(TEXT(DATE(YEAR($BJ$8), MONTH($BJ$8), DAY($BJ$8)-WEEKDAY($BJ$8, 2) + 1),"mmmm"))</f>
        <v>SEPTEMBRE</v>
      </c>
      <c r="BK5" s="5"/>
      <c r="BL5" s="5"/>
      <c r="BM5" s="5"/>
      <c r="BN5" s="5"/>
    </row>
    <row r="6" spans="2:68" ht="14.4" customHeight="1" x14ac:dyDescent="0.3">
      <c r="K6" s="37" t="str">
        <f>RIGHT("0000" &amp; YEAR($K$8), 4)</f>
        <v>2023</v>
      </c>
      <c r="L6" s="37"/>
      <c r="M6" s="37"/>
      <c r="N6" s="36" t="str">
        <f>RIGHT("0000" &amp; YEAR($N$8), 4)</f>
        <v>2023</v>
      </c>
      <c r="O6" s="36"/>
      <c r="P6" s="36"/>
      <c r="Q6" s="36"/>
      <c r="R6" s="36"/>
      <c r="S6" s="37" t="str">
        <f>RIGHT("0000" &amp; YEAR($S$8), 4)</f>
        <v>2023</v>
      </c>
      <c r="T6" s="37"/>
      <c r="U6" s="37"/>
      <c r="V6" s="37"/>
      <c r="W6" s="36" t="str">
        <f>RIGHT("0000" &amp; YEAR($W$8), 4)</f>
        <v>2023</v>
      </c>
      <c r="X6" s="36"/>
      <c r="Y6" s="36"/>
      <c r="Z6" s="36"/>
      <c r="AA6" s="37" t="str">
        <f>RIGHT("0000" &amp; YEAR($AA$8), 4)</f>
        <v>2024</v>
      </c>
      <c r="AB6" s="37"/>
      <c r="AC6" s="37"/>
      <c r="AD6" s="37"/>
      <c r="AE6" s="37"/>
      <c r="AF6" s="36" t="str">
        <f>RIGHT("0000" &amp; YEAR($AF$8), 4)</f>
        <v>2024</v>
      </c>
      <c r="AG6" s="36"/>
      <c r="AH6" s="36"/>
      <c r="AI6" s="36"/>
      <c r="AJ6" s="37" t="str">
        <f>RIGHT("0000" &amp; YEAR($AJ$8), 4)</f>
        <v>2024</v>
      </c>
      <c r="AK6" s="37"/>
      <c r="AL6" s="37"/>
      <c r="AM6" s="37"/>
      <c r="AN6" s="36" t="str">
        <f>RIGHT("0000" &amp; YEAR($AN$8), 4)</f>
        <v>2024</v>
      </c>
      <c r="AO6" s="36"/>
      <c r="AP6" s="36"/>
      <c r="AQ6" s="36"/>
      <c r="AR6" s="36"/>
      <c r="AS6" s="37" t="str">
        <f>RIGHT("0000" &amp; YEAR($AS$8), 4)</f>
        <v>2024</v>
      </c>
      <c r="AT6" s="37"/>
      <c r="AU6" s="37"/>
      <c r="AV6" s="37"/>
      <c r="AW6" s="36" t="str">
        <f>RIGHT("0000" &amp; YEAR($AW$8), 4)</f>
        <v>2024</v>
      </c>
      <c r="AX6" s="36"/>
      <c r="AY6" s="36"/>
      <c r="AZ6" s="36"/>
      <c r="BA6" s="37" t="str">
        <f>RIGHT("0000" &amp; YEAR($BA$8), 4)</f>
        <v>2024</v>
      </c>
      <c r="BB6" s="37"/>
      <c r="BC6" s="37"/>
      <c r="BD6" s="37"/>
      <c r="BE6" s="37"/>
      <c r="BF6" s="36" t="str">
        <f>RIGHT("0000" &amp; YEAR($BF$8), 4)</f>
        <v>2024</v>
      </c>
      <c r="BG6" s="36"/>
      <c r="BH6" s="36"/>
      <c r="BI6" s="36"/>
      <c r="BJ6" s="37" t="str">
        <f>RIGHT("0000" &amp; YEAR($BJ$8), 4)</f>
        <v>2024</v>
      </c>
      <c r="BK6" s="37"/>
      <c r="BL6" s="37"/>
      <c r="BM6" s="37"/>
      <c r="BN6" s="37"/>
    </row>
    <row r="7" spans="2:68" ht="7.2" hidden="1" customHeight="1" x14ac:dyDescent="0.3">
      <c r="I7" s="1"/>
      <c r="K7" s="21">
        <v>9</v>
      </c>
      <c r="L7" s="21">
        <v>9</v>
      </c>
      <c r="M7" s="21">
        <v>9</v>
      </c>
      <c r="N7" s="22">
        <v>10</v>
      </c>
      <c r="O7" s="22">
        <v>10</v>
      </c>
      <c r="P7" s="22">
        <v>10</v>
      </c>
      <c r="Q7" s="22">
        <v>10</v>
      </c>
      <c r="R7" s="22">
        <v>10</v>
      </c>
      <c r="S7" s="21">
        <v>11</v>
      </c>
      <c r="T7" s="21">
        <v>11</v>
      </c>
      <c r="U7" s="21">
        <v>11</v>
      </c>
      <c r="V7" s="21">
        <v>11</v>
      </c>
      <c r="W7" s="22">
        <v>12</v>
      </c>
      <c r="X7" s="22">
        <v>12</v>
      </c>
      <c r="Y7" s="22">
        <v>12</v>
      </c>
      <c r="Z7" s="22">
        <v>12</v>
      </c>
      <c r="AA7" s="21">
        <v>1</v>
      </c>
      <c r="AB7" s="21">
        <v>1</v>
      </c>
      <c r="AC7" s="21">
        <v>1</v>
      </c>
      <c r="AD7" s="21">
        <v>1</v>
      </c>
      <c r="AE7" s="21">
        <v>1</v>
      </c>
      <c r="AF7" s="22">
        <v>2</v>
      </c>
      <c r="AG7" s="22">
        <v>2</v>
      </c>
      <c r="AH7" s="22">
        <v>2</v>
      </c>
      <c r="AI7" s="22">
        <v>2</v>
      </c>
      <c r="AJ7" s="21">
        <v>3</v>
      </c>
      <c r="AK7" s="21">
        <v>3</v>
      </c>
      <c r="AL7" s="21">
        <v>3</v>
      </c>
      <c r="AM7" s="21">
        <v>3</v>
      </c>
      <c r="AN7" s="22">
        <v>4</v>
      </c>
      <c r="AO7" s="22">
        <v>4</v>
      </c>
      <c r="AP7" s="22">
        <v>4</v>
      </c>
      <c r="AQ7" s="22">
        <v>4</v>
      </c>
      <c r="AR7" s="22">
        <v>4</v>
      </c>
      <c r="AS7" s="21">
        <v>5</v>
      </c>
      <c r="AT7" s="21">
        <v>5</v>
      </c>
      <c r="AU7" s="21">
        <v>5</v>
      </c>
      <c r="AV7" s="21">
        <v>5</v>
      </c>
      <c r="AW7" s="22">
        <v>6</v>
      </c>
      <c r="AX7" s="22">
        <v>6</v>
      </c>
      <c r="AY7" s="22">
        <v>6</v>
      </c>
      <c r="AZ7" s="22">
        <v>6</v>
      </c>
      <c r="BA7" s="21">
        <v>7</v>
      </c>
      <c r="BB7" s="21">
        <v>7</v>
      </c>
      <c r="BC7" s="21">
        <v>7</v>
      </c>
      <c r="BD7" s="21">
        <v>7</v>
      </c>
      <c r="BE7" s="21">
        <v>7</v>
      </c>
      <c r="BF7" s="22">
        <v>8</v>
      </c>
      <c r="BG7" s="22">
        <v>8</v>
      </c>
      <c r="BH7" s="22">
        <v>8</v>
      </c>
      <c r="BI7" s="22">
        <v>8</v>
      </c>
      <c r="BJ7" s="21">
        <v>9</v>
      </c>
      <c r="BK7" s="21">
        <v>9</v>
      </c>
      <c r="BL7" s="21">
        <v>9</v>
      </c>
      <c r="BM7" s="21">
        <v>9</v>
      </c>
      <c r="BN7" s="21">
        <v>9</v>
      </c>
    </row>
    <row r="8" spans="2:68" hidden="1" x14ac:dyDescent="0.3">
      <c r="H8" s="4"/>
      <c r="I8" s="4"/>
      <c r="J8" s="48"/>
      <c r="K8" s="35">
        <f t="shared" ref="K8:AP8" si="0">IF(IsDaysGantt,ProjectStart+ COLUMN()-16,ProjectStart+7*(COLUMN()-16))</f>
        <v>45184</v>
      </c>
      <c r="L8" s="35">
        <f t="shared" si="0"/>
        <v>45191</v>
      </c>
      <c r="M8" s="35">
        <f t="shared" si="0"/>
        <v>45198</v>
      </c>
      <c r="N8" s="34">
        <f t="shared" si="0"/>
        <v>45205</v>
      </c>
      <c r="O8" s="34">
        <f t="shared" si="0"/>
        <v>45212</v>
      </c>
      <c r="P8" s="34">
        <f t="shared" si="0"/>
        <v>45219</v>
      </c>
      <c r="Q8" s="34">
        <f t="shared" si="0"/>
        <v>45226</v>
      </c>
      <c r="R8" s="34">
        <f t="shared" si="0"/>
        <v>45233</v>
      </c>
      <c r="S8" s="35">
        <f t="shared" si="0"/>
        <v>45240</v>
      </c>
      <c r="T8" s="35">
        <f t="shared" si="0"/>
        <v>45247</v>
      </c>
      <c r="U8" s="35">
        <f t="shared" si="0"/>
        <v>45254</v>
      </c>
      <c r="V8" s="35">
        <f t="shared" si="0"/>
        <v>45261</v>
      </c>
      <c r="W8" s="34">
        <f t="shared" si="0"/>
        <v>45268</v>
      </c>
      <c r="X8" s="34">
        <f t="shared" si="0"/>
        <v>45275</v>
      </c>
      <c r="Y8" s="34">
        <f t="shared" si="0"/>
        <v>45282</v>
      </c>
      <c r="Z8" s="34">
        <f t="shared" si="0"/>
        <v>45289</v>
      </c>
      <c r="AA8" s="35">
        <f t="shared" si="0"/>
        <v>45296</v>
      </c>
      <c r="AB8" s="35">
        <f t="shared" si="0"/>
        <v>45303</v>
      </c>
      <c r="AC8" s="35">
        <f t="shared" si="0"/>
        <v>45310</v>
      </c>
      <c r="AD8" s="35">
        <f t="shared" si="0"/>
        <v>45317</v>
      </c>
      <c r="AE8" s="35">
        <f t="shared" si="0"/>
        <v>45324</v>
      </c>
      <c r="AF8" s="34">
        <f t="shared" si="0"/>
        <v>45331</v>
      </c>
      <c r="AG8" s="34">
        <f t="shared" si="0"/>
        <v>45338</v>
      </c>
      <c r="AH8" s="34">
        <f t="shared" si="0"/>
        <v>45345</v>
      </c>
      <c r="AI8" s="34">
        <f t="shared" si="0"/>
        <v>45352</v>
      </c>
      <c r="AJ8" s="35">
        <f t="shared" si="0"/>
        <v>45359</v>
      </c>
      <c r="AK8" s="35">
        <f t="shared" si="0"/>
        <v>45366</v>
      </c>
      <c r="AL8" s="35">
        <f t="shared" si="0"/>
        <v>45373</v>
      </c>
      <c r="AM8" s="35">
        <f t="shared" si="0"/>
        <v>45380</v>
      </c>
      <c r="AN8" s="34">
        <f t="shared" si="0"/>
        <v>45387</v>
      </c>
      <c r="AO8" s="34">
        <f t="shared" si="0"/>
        <v>45394</v>
      </c>
      <c r="AP8" s="34">
        <f t="shared" si="0"/>
        <v>45401</v>
      </c>
      <c r="AQ8" s="34">
        <f t="shared" ref="AQ8:BN8" si="1">IF(IsDaysGantt,ProjectStart+ COLUMN()-16,ProjectStart+7*(COLUMN()-16))</f>
        <v>45408</v>
      </c>
      <c r="AR8" s="34">
        <f t="shared" si="1"/>
        <v>45415</v>
      </c>
      <c r="AS8" s="35">
        <f t="shared" si="1"/>
        <v>45422</v>
      </c>
      <c r="AT8" s="35">
        <f t="shared" si="1"/>
        <v>45429</v>
      </c>
      <c r="AU8" s="35">
        <f t="shared" si="1"/>
        <v>45436</v>
      </c>
      <c r="AV8" s="35">
        <f t="shared" si="1"/>
        <v>45443</v>
      </c>
      <c r="AW8" s="34">
        <f t="shared" si="1"/>
        <v>45450</v>
      </c>
      <c r="AX8" s="34">
        <f t="shared" si="1"/>
        <v>45457</v>
      </c>
      <c r="AY8" s="34">
        <f t="shared" si="1"/>
        <v>45464</v>
      </c>
      <c r="AZ8" s="34">
        <f t="shared" si="1"/>
        <v>45471</v>
      </c>
      <c r="BA8" s="35">
        <f t="shared" si="1"/>
        <v>45478</v>
      </c>
      <c r="BB8" s="35">
        <f t="shared" si="1"/>
        <v>45485</v>
      </c>
      <c r="BC8" s="35">
        <f t="shared" si="1"/>
        <v>45492</v>
      </c>
      <c r="BD8" s="35">
        <f t="shared" si="1"/>
        <v>45499</v>
      </c>
      <c r="BE8" s="35">
        <f t="shared" si="1"/>
        <v>45506</v>
      </c>
      <c r="BF8" s="34">
        <f t="shared" si="1"/>
        <v>45513</v>
      </c>
      <c r="BG8" s="34">
        <f t="shared" si="1"/>
        <v>45520</v>
      </c>
      <c r="BH8" s="34">
        <f t="shared" si="1"/>
        <v>45527</v>
      </c>
      <c r="BI8" s="34">
        <f t="shared" si="1"/>
        <v>45534</v>
      </c>
      <c r="BJ8" s="35">
        <f t="shared" si="1"/>
        <v>45541</v>
      </c>
      <c r="BK8" s="35">
        <f t="shared" si="1"/>
        <v>45548</v>
      </c>
      <c r="BL8" s="35">
        <f t="shared" si="1"/>
        <v>45555</v>
      </c>
      <c r="BM8" s="35">
        <f t="shared" si="1"/>
        <v>45562</v>
      </c>
      <c r="BN8" s="35">
        <f t="shared" si="1"/>
        <v>45569</v>
      </c>
    </row>
    <row r="9" spans="2:68" ht="11.4" customHeight="1" x14ac:dyDescent="0.3">
      <c r="K9" s="46">
        <f t="shared" ref="K9:AP9" si="2">IF(IsDaysGantt,K8,_xlfn.ISOWEEKNUM(K8))</f>
        <v>37</v>
      </c>
      <c r="L9" s="44">
        <f t="shared" si="2"/>
        <v>38</v>
      </c>
      <c r="M9" s="44">
        <f t="shared" si="2"/>
        <v>39</v>
      </c>
      <c r="N9" s="43">
        <f t="shared" si="2"/>
        <v>40</v>
      </c>
      <c r="O9" s="43">
        <f t="shared" si="2"/>
        <v>41</v>
      </c>
      <c r="P9" s="43">
        <f t="shared" si="2"/>
        <v>42</v>
      </c>
      <c r="Q9" s="47">
        <f t="shared" si="2"/>
        <v>43</v>
      </c>
      <c r="R9" s="42">
        <f t="shared" si="2"/>
        <v>44</v>
      </c>
      <c r="S9" s="44">
        <f t="shared" si="2"/>
        <v>45</v>
      </c>
      <c r="T9" s="44">
        <f t="shared" si="2"/>
        <v>46</v>
      </c>
      <c r="U9" s="44">
        <f t="shared" si="2"/>
        <v>47</v>
      </c>
      <c r="V9" s="44">
        <f t="shared" si="2"/>
        <v>48</v>
      </c>
      <c r="W9" s="43">
        <f t="shared" si="2"/>
        <v>49</v>
      </c>
      <c r="X9" s="47">
        <f t="shared" si="2"/>
        <v>50</v>
      </c>
      <c r="Y9" s="42">
        <f t="shared" si="2"/>
        <v>51</v>
      </c>
      <c r="Z9" s="43">
        <f t="shared" si="2"/>
        <v>52</v>
      </c>
      <c r="AA9" s="44">
        <f t="shared" si="2"/>
        <v>1</v>
      </c>
      <c r="AB9" s="44">
        <f t="shared" si="2"/>
        <v>2</v>
      </c>
      <c r="AC9" s="44">
        <f t="shared" si="2"/>
        <v>3</v>
      </c>
      <c r="AD9" s="44">
        <f t="shared" si="2"/>
        <v>4</v>
      </c>
      <c r="AE9" s="45">
        <f t="shared" si="2"/>
        <v>5</v>
      </c>
      <c r="AF9" s="42">
        <f t="shared" si="2"/>
        <v>6</v>
      </c>
      <c r="AG9" s="43">
        <f t="shared" si="2"/>
        <v>7</v>
      </c>
      <c r="AH9" s="43">
        <f t="shared" si="2"/>
        <v>8</v>
      </c>
      <c r="AI9" s="43">
        <f t="shared" si="2"/>
        <v>9</v>
      </c>
      <c r="AJ9" s="44">
        <f t="shared" si="2"/>
        <v>10</v>
      </c>
      <c r="AK9" s="44">
        <f t="shared" si="2"/>
        <v>11</v>
      </c>
      <c r="AL9" s="45">
        <f t="shared" si="2"/>
        <v>12</v>
      </c>
      <c r="AM9" s="46">
        <f t="shared" si="2"/>
        <v>13</v>
      </c>
      <c r="AN9" s="43">
        <f t="shared" si="2"/>
        <v>14</v>
      </c>
      <c r="AO9" s="43">
        <f t="shared" si="2"/>
        <v>15</v>
      </c>
      <c r="AP9" s="43">
        <f t="shared" si="2"/>
        <v>16</v>
      </c>
      <c r="AQ9" s="43">
        <f t="shared" ref="AQ9:BN9" si="3">IF(IsDaysGantt,AQ8,_xlfn.ISOWEEKNUM(AQ8))</f>
        <v>17</v>
      </c>
      <c r="AR9" s="43">
        <f t="shared" si="3"/>
        <v>18</v>
      </c>
      <c r="AS9" s="45">
        <f t="shared" si="3"/>
        <v>19</v>
      </c>
      <c r="AT9" s="46">
        <f t="shared" si="3"/>
        <v>20</v>
      </c>
      <c r="AU9" s="44">
        <f t="shared" si="3"/>
        <v>21</v>
      </c>
      <c r="AV9" s="44">
        <f t="shared" si="3"/>
        <v>22</v>
      </c>
      <c r="AW9" s="43">
        <f t="shared" si="3"/>
        <v>23</v>
      </c>
      <c r="AX9" s="43">
        <f t="shared" si="3"/>
        <v>24</v>
      </c>
      <c r="AY9" s="43">
        <f t="shared" si="3"/>
        <v>25</v>
      </c>
      <c r="AZ9" s="47">
        <f t="shared" si="3"/>
        <v>26</v>
      </c>
      <c r="BA9" s="46">
        <f t="shared" si="3"/>
        <v>27</v>
      </c>
      <c r="BB9" s="44">
        <f t="shared" si="3"/>
        <v>28</v>
      </c>
      <c r="BC9" s="44">
        <f t="shared" si="3"/>
        <v>29</v>
      </c>
      <c r="BD9" s="44">
        <f t="shared" si="3"/>
        <v>30</v>
      </c>
      <c r="BE9" s="44">
        <f t="shared" si="3"/>
        <v>31</v>
      </c>
      <c r="BF9" s="43">
        <f t="shared" si="3"/>
        <v>32</v>
      </c>
      <c r="BG9" s="47">
        <f t="shared" si="3"/>
        <v>33</v>
      </c>
      <c r="BH9" s="42">
        <f t="shared" si="3"/>
        <v>34</v>
      </c>
      <c r="BI9" s="43">
        <f t="shared" si="3"/>
        <v>35</v>
      </c>
      <c r="BJ9" s="44">
        <f t="shared" si="3"/>
        <v>36</v>
      </c>
      <c r="BK9" s="44">
        <f t="shared" si="3"/>
        <v>37</v>
      </c>
      <c r="BL9" s="44">
        <f t="shared" si="3"/>
        <v>38</v>
      </c>
      <c r="BM9" s="44">
        <f>IF(IsDaysGantt,BM8,_xlfn.ISOWEEKNUM(BM8))</f>
        <v>39</v>
      </c>
      <c r="BN9" s="45">
        <f t="shared" si="3"/>
        <v>40</v>
      </c>
    </row>
    <row r="10" spans="2:68" hidden="1" x14ac:dyDescent="0.3">
      <c r="K10" s="30"/>
      <c r="L10" s="24"/>
      <c r="M10" s="24"/>
      <c r="N10" s="23"/>
      <c r="O10" s="23"/>
      <c r="P10" s="23"/>
      <c r="Q10" s="26"/>
      <c r="R10" s="25"/>
      <c r="S10" s="24"/>
      <c r="T10" s="24"/>
      <c r="U10" s="24"/>
      <c r="V10" s="24"/>
      <c r="W10" s="23"/>
      <c r="X10" s="26"/>
      <c r="Y10" s="25"/>
      <c r="Z10" s="23"/>
      <c r="AA10" s="24"/>
      <c r="AB10" s="24"/>
      <c r="AC10" s="24"/>
      <c r="AD10" s="24"/>
      <c r="AE10" s="29"/>
      <c r="AF10" s="25"/>
      <c r="AG10" s="23"/>
      <c r="AH10" s="23"/>
      <c r="AI10" s="23"/>
      <c r="AJ10" s="24"/>
      <c r="AK10" s="24"/>
      <c r="AL10" s="29"/>
      <c r="AM10" s="24"/>
      <c r="AN10" s="23"/>
      <c r="AO10" s="23"/>
      <c r="AP10" s="23"/>
      <c r="AQ10" s="23"/>
      <c r="AR10" s="23"/>
      <c r="AS10" s="29"/>
      <c r="AT10" s="30"/>
      <c r="AU10" s="24"/>
      <c r="AV10" s="24"/>
      <c r="AW10" s="23"/>
      <c r="AX10" s="23"/>
      <c r="AY10" s="23"/>
      <c r="AZ10" s="26"/>
      <c r="BA10" s="30"/>
      <c r="BB10" s="24"/>
      <c r="BC10" s="24"/>
      <c r="BD10" s="24"/>
      <c r="BE10" s="24"/>
      <c r="BF10" s="23"/>
      <c r="BG10" s="26"/>
      <c r="BH10" s="25"/>
      <c r="BI10" s="23"/>
      <c r="BJ10" s="24"/>
      <c r="BK10" s="24"/>
      <c r="BL10" s="24"/>
      <c r="BM10" s="24"/>
      <c r="BN10" s="29"/>
    </row>
    <row r="11" spans="2:68" ht="15.6" customHeight="1" x14ac:dyDescent="0.3">
      <c r="B11" s="2" t="s">
        <v>0</v>
      </c>
      <c r="C11" s="75" t="s">
        <v>7</v>
      </c>
      <c r="D11" s="75" t="s">
        <v>4</v>
      </c>
      <c r="E11" s="75" t="s">
        <v>5</v>
      </c>
      <c r="F11" s="75" t="s">
        <v>135</v>
      </c>
      <c r="G11" s="2" t="s">
        <v>127</v>
      </c>
      <c r="H11" s="2" t="s">
        <v>2</v>
      </c>
      <c r="I11" s="2" t="s">
        <v>156</v>
      </c>
      <c r="J11" s="2" t="s">
        <v>3</v>
      </c>
      <c r="K11" s="86" t="str">
        <f t="shared" ref="K11:AP11" si="4">IF(IsDaysGantt,UPPER(LEFT(CHOOSE(WEEKDAY(K8),"D","L","M","M","J","V","S"),1)),"")</f>
        <v/>
      </c>
      <c r="L11" s="28" t="str">
        <f t="shared" si="4"/>
        <v/>
      </c>
      <c r="M11" s="28" t="str">
        <f t="shared" si="4"/>
        <v/>
      </c>
      <c r="N11" s="27" t="str">
        <f t="shared" si="4"/>
        <v/>
      </c>
      <c r="O11" s="27" t="str">
        <f t="shared" si="4"/>
        <v/>
      </c>
      <c r="P11" s="27" t="str">
        <f t="shared" si="4"/>
        <v/>
      </c>
      <c r="Q11" s="27" t="str">
        <f t="shared" si="4"/>
        <v/>
      </c>
      <c r="R11" s="27" t="str">
        <f t="shared" si="4"/>
        <v/>
      </c>
      <c r="S11" s="28" t="str">
        <f t="shared" si="4"/>
        <v/>
      </c>
      <c r="T11" s="28" t="str">
        <f t="shared" si="4"/>
        <v/>
      </c>
      <c r="U11" s="28" t="str">
        <f t="shared" si="4"/>
        <v/>
      </c>
      <c r="V11" s="28" t="str">
        <f t="shared" si="4"/>
        <v/>
      </c>
      <c r="W11" s="27" t="str">
        <f t="shared" si="4"/>
        <v/>
      </c>
      <c r="X11" s="27" t="str">
        <f t="shared" si="4"/>
        <v/>
      </c>
      <c r="Y11" s="27" t="str">
        <f t="shared" si="4"/>
        <v/>
      </c>
      <c r="Z11" s="27" t="str">
        <f t="shared" si="4"/>
        <v/>
      </c>
      <c r="AA11" s="28" t="str">
        <f t="shared" si="4"/>
        <v/>
      </c>
      <c r="AB11" s="28" t="str">
        <f t="shared" si="4"/>
        <v/>
      </c>
      <c r="AC11" s="28" t="str">
        <f t="shared" si="4"/>
        <v/>
      </c>
      <c r="AD11" s="28" t="str">
        <f t="shared" si="4"/>
        <v/>
      </c>
      <c r="AE11" s="28" t="str">
        <f t="shared" si="4"/>
        <v/>
      </c>
      <c r="AF11" s="27" t="str">
        <f t="shared" si="4"/>
        <v/>
      </c>
      <c r="AG11" s="27" t="str">
        <f t="shared" si="4"/>
        <v/>
      </c>
      <c r="AH11" s="27" t="str">
        <f t="shared" si="4"/>
        <v/>
      </c>
      <c r="AI11" s="27" t="str">
        <f t="shared" si="4"/>
        <v/>
      </c>
      <c r="AJ11" s="28" t="str">
        <f t="shared" si="4"/>
        <v/>
      </c>
      <c r="AK11" s="28" t="str">
        <f t="shared" si="4"/>
        <v/>
      </c>
      <c r="AL11" s="28" t="str">
        <f t="shared" si="4"/>
        <v/>
      </c>
      <c r="AM11" s="28" t="str">
        <f t="shared" si="4"/>
        <v/>
      </c>
      <c r="AN11" s="27" t="str">
        <f t="shared" si="4"/>
        <v/>
      </c>
      <c r="AO11" s="27" t="str">
        <f t="shared" si="4"/>
        <v/>
      </c>
      <c r="AP11" s="27" t="str">
        <f t="shared" si="4"/>
        <v/>
      </c>
      <c r="AQ11" s="27" t="str">
        <f t="shared" ref="AQ11:BN11" si="5">IF(IsDaysGantt,UPPER(LEFT(CHOOSE(WEEKDAY(AQ8),"D","L","M","M","J","V","S"),1)),"")</f>
        <v/>
      </c>
      <c r="AR11" s="27" t="str">
        <f t="shared" si="5"/>
        <v/>
      </c>
      <c r="AS11" s="28" t="str">
        <f t="shared" si="5"/>
        <v/>
      </c>
      <c r="AT11" s="28" t="str">
        <f t="shared" si="5"/>
        <v/>
      </c>
      <c r="AU11" s="28" t="str">
        <f t="shared" si="5"/>
        <v/>
      </c>
      <c r="AV11" s="28" t="str">
        <f t="shared" si="5"/>
        <v/>
      </c>
      <c r="AW11" s="27" t="str">
        <f t="shared" si="5"/>
        <v/>
      </c>
      <c r="AX11" s="27" t="str">
        <f t="shared" si="5"/>
        <v/>
      </c>
      <c r="AY11" s="27" t="str">
        <f t="shared" si="5"/>
        <v/>
      </c>
      <c r="AZ11" s="27" t="str">
        <f t="shared" si="5"/>
        <v/>
      </c>
      <c r="BA11" s="28" t="str">
        <f t="shared" si="5"/>
        <v/>
      </c>
      <c r="BB11" s="28" t="str">
        <f t="shared" si="5"/>
        <v/>
      </c>
      <c r="BC11" s="28" t="str">
        <f t="shared" si="5"/>
        <v/>
      </c>
      <c r="BD11" s="28" t="str">
        <f t="shared" si="5"/>
        <v/>
      </c>
      <c r="BE11" s="28" t="str">
        <f t="shared" si="5"/>
        <v/>
      </c>
      <c r="BF11" s="27" t="str">
        <f t="shared" si="5"/>
        <v/>
      </c>
      <c r="BG11" s="27" t="str">
        <f t="shared" si="5"/>
        <v/>
      </c>
      <c r="BH11" s="27" t="str">
        <f t="shared" si="5"/>
        <v/>
      </c>
      <c r="BI11" s="27" t="str">
        <f t="shared" si="5"/>
        <v/>
      </c>
      <c r="BJ11" s="28" t="str">
        <f t="shared" si="5"/>
        <v/>
      </c>
      <c r="BK11" s="28" t="str">
        <f t="shared" si="5"/>
        <v/>
      </c>
      <c r="BL11" s="28" t="str">
        <f t="shared" si="5"/>
        <v/>
      </c>
      <c r="BM11" s="28" t="str">
        <f t="shared" si="5"/>
        <v/>
      </c>
      <c r="BN11" s="103" t="str">
        <f t="shared" si="5"/>
        <v/>
      </c>
    </row>
    <row r="12" spans="2:68" ht="15.6" customHeight="1" x14ac:dyDescent="0.3">
      <c r="B12" s="68"/>
      <c r="C12" s="76"/>
      <c r="D12" s="76"/>
      <c r="E12" s="76"/>
      <c r="F12" s="76"/>
      <c r="G12" s="68" t="s">
        <v>157</v>
      </c>
      <c r="H12" s="69">
        <f ca="1">IFERROR(MIN(TabProjet[Début]), "")</f>
        <v>44961</v>
      </c>
      <c r="I12" s="70">
        <f>IFERROR(SUMIFS(TabProjet[Charge en J],TabProjet[Is Project], "X"), "")</f>
        <v>268</v>
      </c>
      <c r="J12" s="69">
        <f ca="1">IFERROR(MAX(TabProjet[Deadline]), "")</f>
        <v>45317</v>
      </c>
      <c r="K12" s="66"/>
      <c r="L12" s="66"/>
      <c r="M12" s="66"/>
      <c r="N12" s="66"/>
      <c r="O12" s="67"/>
      <c r="P12" s="67"/>
      <c r="Q12" s="67"/>
      <c r="R12" s="67"/>
      <c r="S12" s="66"/>
      <c r="T12" s="66"/>
      <c r="U12" s="66"/>
      <c r="V12" s="66"/>
      <c r="W12" s="67"/>
      <c r="X12" s="67"/>
      <c r="Y12" s="67"/>
      <c r="Z12" s="67"/>
      <c r="AA12" s="67"/>
      <c r="AB12" s="66"/>
      <c r="AC12" s="66"/>
      <c r="AD12" s="66"/>
      <c r="AE12" s="66"/>
      <c r="AF12" s="67"/>
      <c r="AG12" s="67"/>
      <c r="AH12" s="67"/>
      <c r="AI12" s="67"/>
      <c r="AJ12" s="67"/>
      <c r="AK12" s="66"/>
      <c r="AL12" s="66"/>
      <c r="AM12" s="66"/>
      <c r="AN12" s="66"/>
      <c r="AO12" s="67"/>
      <c r="AP12" s="67"/>
      <c r="AQ12" s="67"/>
      <c r="AR12" s="67"/>
      <c r="AS12" s="66"/>
      <c r="AT12" s="66"/>
      <c r="AU12" s="66"/>
      <c r="AV12" s="66"/>
      <c r="AW12" s="66"/>
      <c r="AX12" s="67"/>
      <c r="AY12" s="67"/>
      <c r="AZ12" s="67"/>
      <c r="BA12" s="67"/>
      <c r="BB12" s="66"/>
      <c r="BC12" s="66"/>
      <c r="BD12" s="66"/>
      <c r="BE12" s="66"/>
      <c r="BF12" s="67"/>
      <c r="BG12" s="67"/>
      <c r="BH12" s="67"/>
      <c r="BI12" s="67"/>
      <c r="BJ12" s="67"/>
      <c r="BK12" s="66"/>
      <c r="BL12" s="66"/>
      <c r="BM12" s="66"/>
      <c r="BN12" s="66"/>
    </row>
    <row r="13" spans="2:68" s="1" customFormat="1" ht="15.6" hidden="1" customHeight="1" x14ac:dyDescent="0.3">
      <c r="B13" s="1" t="s">
        <v>0</v>
      </c>
      <c r="C13" s="77" t="s">
        <v>7</v>
      </c>
      <c r="D13" s="71" t="s">
        <v>4</v>
      </c>
      <c r="E13" s="71" t="s">
        <v>5</v>
      </c>
      <c r="F13" s="71" t="s">
        <v>135</v>
      </c>
      <c r="G13" s="15" t="s">
        <v>1</v>
      </c>
      <c r="H13" s="15" t="s">
        <v>2</v>
      </c>
      <c r="I13" s="15" t="s">
        <v>156</v>
      </c>
      <c r="J13" s="1" t="s">
        <v>3</v>
      </c>
      <c r="K13" s="1" t="s">
        <v>8</v>
      </c>
      <c r="L13" s="1" t="s">
        <v>9</v>
      </c>
      <c r="M13" s="1" t="s">
        <v>10</v>
      </c>
      <c r="N13" s="1" t="s">
        <v>11</v>
      </c>
      <c r="O13" s="1" t="s">
        <v>12</v>
      </c>
      <c r="P13" s="1" t="s">
        <v>13</v>
      </c>
      <c r="Q13" s="1" t="s">
        <v>14</v>
      </c>
      <c r="R13" s="1" t="s">
        <v>15</v>
      </c>
      <c r="S13" s="1" t="s">
        <v>16</v>
      </c>
      <c r="T13" s="1" t="s">
        <v>17</v>
      </c>
      <c r="U13" s="1" t="s">
        <v>18</v>
      </c>
      <c r="V13" s="1" t="s">
        <v>19</v>
      </c>
      <c r="W13" s="1" t="s">
        <v>20</v>
      </c>
      <c r="X13" s="1" t="s">
        <v>21</v>
      </c>
      <c r="Y13" s="1" t="s">
        <v>22</v>
      </c>
      <c r="Z13" s="1" t="s">
        <v>23</v>
      </c>
      <c r="AA13" s="1" t="s">
        <v>24</v>
      </c>
      <c r="AB13" s="1" t="s">
        <v>25</v>
      </c>
      <c r="AC13" s="1" t="s">
        <v>26</v>
      </c>
      <c r="AD13" s="1" t="s">
        <v>27</v>
      </c>
      <c r="AE13" s="1" t="s">
        <v>28</v>
      </c>
      <c r="AF13" s="1" t="s">
        <v>29</v>
      </c>
      <c r="AG13" s="1" t="s">
        <v>30</v>
      </c>
      <c r="AH13" s="1" t="s">
        <v>31</v>
      </c>
      <c r="AI13" s="1" t="s">
        <v>32</v>
      </c>
      <c r="AJ13" s="1" t="s">
        <v>33</v>
      </c>
      <c r="AK13" s="1" t="s">
        <v>34</v>
      </c>
      <c r="AL13" s="1" t="s">
        <v>35</v>
      </c>
      <c r="AM13" s="1" t="s">
        <v>36</v>
      </c>
      <c r="AN13" s="1" t="s">
        <v>37</v>
      </c>
      <c r="AO13" s="1" t="s">
        <v>38</v>
      </c>
      <c r="AP13" s="1" t="s">
        <v>39</v>
      </c>
      <c r="AQ13" s="1" t="s">
        <v>40</v>
      </c>
      <c r="AR13" s="1" t="s">
        <v>41</v>
      </c>
      <c r="AS13" s="1" t="s">
        <v>42</v>
      </c>
      <c r="AT13" s="1" t="s">
        <v>43</v>
      </c>
      <c r="AU13" s="1" t="s">
        <v>44</v>
      </c>
      <c r="AV13" s="1" t="s">
        <v>45</v>
      </c>
      <c r="AW13" s="1" t="s">
        <v>46</v>
      </c>
      <c r="AX13" s="1" t="s">
        <v>47</v>
      </c>
      <c r="AY13" s="1" t="s">
        <v>48</v>
      </c>
      <c r="AZ13" s="1" t="s">
        <v>49</v>
      </c>
      <c r="BA13" s="1" t="s">
        <v>50</v>
      </c>
      <c r="BB13" s="1" t="s">
        <v>51</v>
      </c>
      <c r="BC13" s="1" t="s">
        <v>52</v>
      </c>
      <c r="BD13" s="1" t="s">
        <v>53</v>
      </c>
      <c r="BE13" s="1" t="s">
        <v>54</v>
      </c>
      <c r="BF13" s="1" t="s">
        <v>55</v>
      </c>
      <c r="BG13" s="1" t="s">
        <v>56</v>
      </c>
      <c r="BH13" s="1" t="s">
        <v>57</v>
      </c>
      <c r="BI13" s="1" t="s">
        <v>58</v>
      </c>
      <c r="BJ13" s="1" t="s">
        <v>59</v>
      </c>
      <c r="BK13" s="1" t="s">
        <v>60</v>
      </c>
      <c r="BL13" s="1" t="s">
        <v>61</v>
      </c>
      <c r="BM13" s="1" t="s">
        <v>63</v>
      </c>
      <c r="BN13" s="1" t="s">
        <v>64</v>
      </c>
    </row>
    <row r="14" spans="2:68" x14ac:dyDescent="0.3">
      <c r="B14" s="3" t="str">
        <f>IF(TabProjet[[#This Row],[IsJalon]] = "", (TabProjet[[#This Row],[IDProj]] &amp; "." &amp; TabProjet[[#This Row],[IDSubProj]]), "")</f>
        <v>1.0</v>
      </c>
      <c r="C14" s="78" t="s">
        <v>6</v>
      </c>
      <c r="D14" s="78">
        <f>IF(ISNUMBER($D13),IF(TabProjet[[#This Row],[Is Project]] &lt;&gt;"",$D13+1,$D13),1)</f>
        <v>1</v>
      </c>
      <c r="E14" s="78">
        <f>IFERROR(IF(AND(TabProjet[[#This Row],[Is Project]]= "", TabProjet[[#This Row],[IsJalon]]= ""),$E13+1, IF(TabProjet[[#This Row],[IsJalon]]= "X",$E13, 0)),1)</f>
        <v>0</v>
      </c>
      <c r="F14" s="78"/>
      <c r="G14" s="17" t="s">
        <v>131</v>
      </c>
      <c r="H14" s="18">
        <f ca="1">IF(MinStartDate(TabProjet[[#This Row],[IDProj]]) = 0, "", MinStartDate(TabProjet[[#This Row],[IDProj]]))</f>
        <v>44961</v>
      </c>
      <c r="I14" s="16">
        <f>IFERROR(SUMIFS(TabProjet[Charge en J],TabProjet[Is Project],"",TabProjet[IDProj],TabProjet[[#This Row],[IDProj]]), "")</f>
        <v>6</v>
      </c>
      <c r="J14" s="14">
        <f ca="1">IF(GetDeadline(TabProjet[[#This Row],[IDProj]]) = 0, "", GetDeadline(TabProjet[[#This Row],[IDProj]]))</f>
        <v>45043</v>
      </c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4"/>
      <c r="BP14" s="64"/>
    </row>
    <row r="15" spans="2:68" x14ac:dyDescent="0.3">
      <c r="B15" s="3" t="str">
        <f>IF(TabProjet[[#This Row],[IsJalon]] = "", (TabProjet[[#This Row],[IDProj]] &amp; "." &amp; TabProjet[[#This Row],[IDSubProj]]), "")</f>
        <v>1.1</v>
      </c>
      <c r="C15" s="78"/>
      <c r="D15" s="78">
        <f>IF(ISNUMBER($D14),IF(TabProjet[[#This Row],[Is Project]] &lt;&gt;"",$D14+1,$D14),1)</f>
        <v>1</v>
      </c>
      <c r="E15" s="78">
        <f>IFERROR(IF(AND(TabProjet[[#This Row],[Is Project]]= "", TabProjet[[#This Row],[IsJalon]]= ""),$E14+1, IF(TabProjet[[#This Row],[IsJalon]]= "X",$E14, 0)),1)</f>
        <v>1</v>
      </c>
      <c r="F15" s="78"/>
      <c r="G15" s="17" t="s">
        <v>138</v>
      </c>
      <c r="H15" s="18">
        <v>45043</v>
      </c>
      <c r="I15" s="16">
        <v>1</v>
      </c>
      <c r="J15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45043</v>
      </c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4"/>
      <c r="BP15" s="64"/>
    </row>
    <row r="16" spans="2:68" x14ac:dyDescent="0.3">
      <c r="B16" s="3" t="str">
        <f>IF(TabProjet[[#This Row],[IsJalon]] = "", (TabProjet[[#This Row],[IDProj]] &amp; "." &amp; TabProjet[[#This Row],[IDSubProj]]), "")</f>
        <v>1.2</v>
      </c>
      <c r="C16" s="78"/>
      <c r="D16" s="78">
        <f>IF(ISNUMBER($D15),IF(TabProjet[[#This Row],[Is Project]] &lt;&gt;"",$D15+1,$D15),1)</f>
        <v>1</v>
      </c>
      <c r="E16" s="78">
        <f>IFERROR(IF(AND(TabProjet[[#This Row],[Is Project]]= "", TabProjet[[#This Row],[IsJalon]]= ""),$E15+1, IF(TabProjet[[#This Row],[IsJalon]]= "X",$E15, 0)),1)</f>
        <v>2</v>
      </c>
      <c r="F16" s="78"/>
      <c r="G16" s="17" t="s">
        <v>153</v>
      </c>
      <c r="H16" s="18">
        <v>44961</v>
      </c>
      <c r="I16" s="16">
        <v>5</v>
      </c>
      <c r="J16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44967</v>
      </c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4"/>
      <c r="BP16" s="64"/>
    </row>
    <row r="17" spans="2:68" x14ac:dyDescent="0.3">
      <c r="B17" s="3" t="str">
        <f>IF(TabProjet[[#This Row],[IsJalon]] = "", (TabProjet[[#This Row],[IDProj]] &amp; "." &amp; TabProjet[[#This Row],[IDSubProj]]), "")</f>
        <v/>
      </c>
      <c r="C17" s="78"/>
      <c r="D17" s="78">
        <f>IF(ISNUMBER($D16),IF(TabProjet[[#This Row],[Is Project]] &lt;&gt;"",$D16+1,$D16),1)</f>
        <v>1</v>
      </c>
      <c r="E17" s="78">
        <f>IFERROR(IF(AND(TabProjet[[#This Row],[Is Project]]= "", TabProjet[[#This Row],[IsJalon]]= ""),$E16+1, IF(TabProjet[[#This Row],[IsJalon]]= "X",$E16, 0)),1)</f>
        <v>2</v>
      </c>
      <c r="F17" s="78" t="s">
        <v>6</v>
      </c>
      <c r="G17" s="17"/>
      <c r="H17" s="18"/>
      <c r="I17" s="16"/>
      <c r="J17" s="14" t="str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/>
      </c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4"/>
      <c r="BP17" s="64"/>
    </row>
    <row r="18" spans="2:68" x14ac:dyDescent="0.3">
      <c r="B18" s="3" t="str">
        <f>IF(TabProjet[[#This Row],[IsJalon]] = "", (TabProjet[[#This Row],[IDProj]] &amp; "." &amp; TabProjet[[#This Row],[IDSubProj]]), "")</f>
        <v>2.0</v>
      </c>
      <c r="C18" s="78" t="s">
        <v>6</v>
      </c>
      <c r="D18" s="78">
        <f>IF(ISNUMBER($D17),IF(TabProjet[[#This Row],[Is Project]] &lt;&gt;"",$D17+1,$D17),1)</f>
        <v>2</v>
      </c>
      <c r="E18" s="78">
        <f>IFERROR(IF(AND(TabProjet[[#This Row],[Is Project]]= "", TabProjet[[#This Row],[IsJalon]]= ""),$E17+1, IF(TabProjet[[#This Row],[IsJalon]]= "X",$E17, 0)),1)</f>
        <v>0</v>
      </c>
      <c r="F18" s="78"/>
      <c r="G18" s="17" t="s">
        <v>154</v>
      </c>
      <c r="H18" s="18">
        <f ca="1">IF(MinStartDate(TabProjet[[#This Row],[IDProj]]) = 0, "", MinStartDate(TabProjet[[#This Row],[IDProj]]))</f>
        <v>45095</v>
      </c>
      <c r="I18" s="16">
        <f>IFERROR(SUMIFS(TabProjet[Charge en J],TabProjet[Is Project],"",TabProjet[IDProj],TabProjet[[#This Row],[IDProj]]), "")</f>
        <v>70</v>
      </c>
      <c r="J18" s="14">
        <f ca="1">IF(GetDeadline(TabProjet[[#This Row],[IDProj]]) = 0, "", GetDeadline(TabProjet[[#This Row],[IDProj]]))</f>
        <v>45176</v>
      </c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4"/>
      <c r="BP18" s="64"/>
    </row>
    <row r="19" spans="2:68" x14ac:dyDescent="0.3">
      <c r="B19" s="3" t="str">
        <f>IF(TabProjet[[#This Row],[IsJalon]] = "", (TabProjet[[#This Row],[IDProj]] &amp; "." &amp; TabProjet[[#This Row],[IDSubProj]]), "")</f>
        <v>2.1</v>
      </c>
      <c r="C19" s="78"/>
      <c r="D19" s="78">
        <f>IF(ISNUMBER($D18),IF(TabProjet[[#This Row],[Is Project]] &lt;&gt;"",$D18+1,$D18),1)</f>
        <v>2</v>
      </c>
      <c r="E19" s="78">
        <f>IFERROR(IF(AND(TabProjet[[#This Row],[Is Project]]= "", TabProjet[[#This Row],[IsJalon]]= ""),$E18+1, IF(TabProjet[[#This Row],[IsJalon]]= "X",$E18, 0)),1)</f>
        <v>1</v>
      </c>
      <c r="F19" s="78"/>
      <c r="G19" s="17" t="s">
        <v>75</v>
      </c>
      <c r="H19" s="18">
        <v>45095</v>
      </c>
      <c r="I19" s="16">
        <v>20</v>
      </c>
      <c r="J19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45121</v>
      </c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4"/>
      <c r="BP19" s="64"/>
    </row>
    <row r="20" spans="2:68" x14ac:dyDescent="0.3">
      <c r="B20" s="3" t="str">
        <f>IF(TabProjet[[#This Row],[IsJalon]] = "", (TabProjet[[#This Row],[IDProj]] &amp; "." &amp; TabProjet[[#This Row],[IDSubProj]]), "")</f>
        <v>2.2</v>
      </c>
      <c r="C20" s="78"/>
      <c r="D20" s="78">
        <f>IF(ISNUMBER($D19),IF(TabProjet[[#This Row],[Is Project]] &lt;&gt;"",$D19+1,$D19),1)</f>
        <v>2</v>
      </c>
      <c r="E20" s="78">
        <f>IFERROR(IF(AND(TabProjet[[#This Row],[Is Project]]= "", TabProjet[[#This Row],[IsJalon]]= ""),$E19+1, IF(TabProjet[[#This Row],[IsJalon]]= "X",$E19, 0)),1)</f>
        <v>2</v>
      </c>
      <c r="F20" s="78"/>
      <c r="G20" s="17" t="s">
        <v>139</v>
      </c>
      <c r="H20" s="18">
        <v>45107</v>
      </c>
      <c r="I20" s="16">
        <v>50</v>
      </c>
      <c r="J20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45176</v>
      </c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4"/>
      <c r="BP20" s="64"/>
    </row>
    <row r="21" spans="2:68" x14ac:dyDescent="0.3">
      <c r="B21" s="3" t="str">
        <f>IF(TabProjet[[#This Row],[IsJalon]] = "", (TabProjet[[#This Row],[IDProj]] &amp; "." &amp; TabProjet[[#This Row],[IDSubProj]]), "")</f>
        <v/>
      </c>
      <c r="C21" s="78"/>
      <c r="D21" s="78">
        <f>IF(ISNUMBER($D20),IF(TabProjet[[#This Row],[Is Project]] &lt;&gt;"",$D20+1,$D20),1)</f>
        <v>2</v>
      </c>
      <c r="E21" s="78">
        <f>IFERROR(IF(AND(TabProjet[[#This Row],[Is Project]]= "", TabProjet[[#This Row],[IsJalon]]= ""),$E20+1, IF(TabProjet[[#This Row],[IsJalon]]= "X",$E20, 0)),1)</f>
        <v>2</v>
      </c>
      <c r="F21" s="78" t="s">
        <v>6</v>
      </c>
      <c r="G21" s="17" t="s">
        <v>140</v>
      </c>
      <c r="H21" s="18">
        <v>45061</v>
      </c>
      <c r="I21" s="16"/>
      <c r="J21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45061</v>
      </c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4"/>
      <c r="BP21" s="64"/>
    </row>
    <row r="22" spans="2:68" x14ac:dyDescent="0.3">
      <c r="B22" s="3" t="str">
        <f>IF(TabProjet[[#This Row],[IsJalon]] = "", (TabProjet[[#This Row],[IDProj]] &amp; "." &amp; TabProjet[[#This Row],[IDSubProj]]), "")</f>
        <v>3.0</v>
      </c>
      <c r="C22" s="78" t="s">
        <v>6</v>
      </c>
      <c r="D22" s="78">
        <f>IF(ISNUMBER($D21),IF(TabProjet[[#This Row],[Is Project]] &lt;&gt;"",$D21+1,$D21),1)</f>
        <v>3</v>
      </c>
      <c r="E22" s="78">
        <f>IFERROR(IF(AND(TabProjet[[#This Row],[Is Project]]= "", TabProjet[[#This Row],[IsJalon]]= ""),$E21+1, IF(TabProjet[[#This Row],[IsJalon]]= "X",$E21, 0)),1)</f>
        <v>0</v>
      </c>
      <c r="F22" s="78"/>
      <c r="G22" s="17" t="s">
        <v>132</v>
      </c>
      <c r="H22" s="18">
        <f ca="1">IF(MinStartDate(TabProjet[[#This Row],[IDProj]]) = 0, "", MinStartDate(TabProjet[[#This Row],[IDProj]]))</f>
        <v>45132</v>
      </c>
      <c r="I22" s="16">
        <f>IFERROR(SUMIFS(TabProjet[Charge en J],TabProjet[Is Project],"",TabProjet[IDProj],TabProjet[[#This Row],[IDProj]]), "")</f>
        <v>48</v>
      </c>
      <c r="J22" s="14">
        <f ca="1">IF(GetDeadline(TabProjet[[#This Row],[IDProj]]) = 0, "", GetDeadline(TabProjet[[#This Row],[IDProj]]))</f>
        <v>45191</v>
      </c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4"/>
      <c r="BP22" s="64"/>
    </row>
    <row r="23" spans="2:68" x14ac:dyDescent="0.3">
      <c r="B23" s="3" t="str">
        <f>IF(TabProjet[[#This Row],[IsJalon]] = "", (TabProjet[[#This Row],[IDProj]] &amp; "." &amp; TabProjet[[#This Row],[IDSubProj]]), "")</f>
        <v>3.1</v>
      </c>
      <c r="C23" s="78"/>
      <c r="D23" s="78">
        <f>IF(ISNUMBER($D22),IF(TabProjet[[#This Row],[Is Project]] &lt;&gt;"",$D22+1,$D22),1)</f>
        <v>3</v>
      </c>
      <c r="E23" s="78">
        <f>IFERROR(IF(AND(TabProjet[[#This Row],[Is Project]]= "", TabProjet[[#This Row],[IsJalon]]= ""),$E22+1, IF(TabProjet[[#This Row],[IsJalon]]= "X",$E22, 0)),1)</f>
        <v>1</v>
      </c>
      <c r="F23" s="78"/>
      <c r="G23" s="17" t="s">
        <v>141</v>
      </c>
      <c r="H23" s="18">
        <v>45132</v>
      </c>
      <c r="I23" s="16">
        <v>18</v>
      </c>
      <c r="J23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45155</v>
      </c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4"/>
      <c r="BP23" s="64"/>
    </row>
    <row r="24" spans="2:68" x14ac:dyDescent="0.3">
      <c r="B24" s="3" t="str">
        <f>IF(TabProjet[[#This Row],[IsJalon]] = "", (TabProjet[[#This Row],[IDProj]] &amp; "." &amp; TabProjet[[#This Row],[IDSubProj]]), "")</f>
        <v>3.2</v>
      </c>
      <c r="C24" s="78"/>
      <c r="D24" s="78">
        <f>IF(ISNUMBER($D23),IF(TabProjet[[#This Row],[Is Project]] &lt;&gt;"",$D23+1,$D23),1)</f>
        <v>3</v>
      </c>
      <c r="E24" s="78">
        <f>IFERROR(IF(AND(TabProjet[[#This Row],[Is Project]]= "", TabProjet[[#This Row],[IsJalon]]= ""),$E23+1, IF(TabProjet[[#This Row],[IsJalon]]= "X",$E23, 0)),1)</f>
        <v>2</v>
      </c>
      <c r="F24" s="78"/>
      <c r="G24" s="17" t="s">
        <v>155</v>
      </c>
      <c r="H24" s="18">
        <v>45150</v>
      </c>
      <c r="I24" s="16">
        <v>30</v>
      </c>
      <c r="J24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45191</v>
      </c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4"/>
      <c r="BP24" s="64"/>
    </row>
    <row r="25" spans="2:68" x14ac:dyDescent="0.3">
      <c r="B25" s="3" t="str">
        <f>IF(TabProjet[[#This Row],[IsJalon]] = "", (TabProjet[[#This Row],[IDProj]] &amp; "." &amp; TabProjet[[#This Row],[IDSubProj]]), "")</f>
        <v/>
      </c>
      <c r="C25" s="78"/>
      <c r="D25" s="78">
        <f>IF(ISNUMBER($D24),IF(TabProjet[[#This Row],[Is Project]] &lt;&gt;"",$D24+1,$D24),1)</f>
        <v>3</v>
      </c>
      <c r="E25" s="78">
        <f>IFERROR(IF(AND(TabProjet[[#This Row],[Is Project]]= "", TabProjet[[#This Row],[IsJalon]]= ""),$E24+1, IF(TabProjet[[#This Row],[IsJalon]]= "X",$E24, 0)),1)</f>
        <v>2</v>
      </c>
      <c r="F25" s="78" t="s">
        <v>6</v>
      </c>
      <c r="G25" s="17" t="s">
        <v>142</v>
      </c>
      <c r="H25" s="18">
        <v>45150</v>
      </c>
      <c r="I25" s="16"/>
      <c r="J25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45152</v>
      </c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4"/>
      <c r="BP25" s="64"/>
    </row>
    <row r="26" spans="2:68" x14ac:dyDescent="0.3">
      <c r="B26" s="3" t="str">
        <f>IF(TabProjet[[#This Row],[IsJalon]] = "", (TabProjet[[#This Row],[IDProj]] &amp; "." &amp; TabProjet[[#This Row],[IDSubProj]]), "")</f>
        <v>4.0</v>
      </c>
      <c r="C26" s="78" t="s">
        <v>6</v>
      </c>
      <c r="D26" s="78">
        <f>IF(ISNUMBER($D25),IF(TabProjet[[#This Row],[Is Project]] &lt;&gt;"",$D25+1,$D25),1)</f>
        <v>4</v>
      </c>
      <c r="E26" s="78">
        <f>IFERROR(IF(AND(TabProjet[[#This Row],[Is Project]]= "", TabProjet[[#This Row],[IsJalon]]= ""),$E25+1, IF(TabProjet[[#This Row],[IsJalon]]= "X",$E25, 0)),1)</f>
        <v>0</v>
      </c>
      <c r="F26" s="78"/>
      <c r="G26" s="17" t="s">
        <v>133</v>
      </c>
      <c r="H26" s="18">
        <f ca="1">IF(MinStartDate(TabProjet[[#This Row],[IDProj]]) = 0, "", MinStartDate(TabProjet[[#This Row],[IDProj]]))</f>
        <v>45194</v>
      </c>
      <c r="I26" s="16">
        <f>IFERROR(SUMIFS(TabProjet[Charge en J],TabProjet[Is Project],"",TabProjet[IDProj],TabProjet[[#This Row],[IDProj]]), "")</f>
        <v>59</v>
      </c>
      <c r="J26" s="14">
        <f ca="1">IF(GetDeadline(TabProjet[[#This Row],[IDProj]]) = 0, "", GetDeadline(TabProjet[[#This Row],[IDProj]]))</f>
        <v>45247</v>
      </c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4"/>
      <c r="BP26" s="64"/>
    </row>
    <row r="27" spans="2:68" x14ac:dyDescent="0.3">
      <c r="B27" s="3" t="str">
        <f>IF(TabProjet[[#This Row],[IsJalon]] = "", (TabProjet[[#This Row],[IDProj]] &amp; "." &amp; TabProjet[[#This Row],[IDSubProj]]), "")</f>
        <v>4.1</v>
      </c>
      <c r="C27" s="78"/>
      <c r="D27" s="78">
        <f>IF(ISNUMBER($D26),IF(TabProjet[[#This Row],[Is Project]] &lt;&gt;"",$D26+1,$D26),1)</f>
        <v>4</v>
      </c>
      <c r="E27" s="78">
        <f>IFERROR(IF(AND(TabProjet[[#This Row],[Is Project]]= "", TabProjet[[#This Row],[IsJalon]]= ""),$E26+1, IF(TabProjet[[#This Row],[IsJalon]]= "X",$E26, 0)),1)</f>
        <v>1</v>
      </c>
      <c r="F27" s="78"/>
      <c r="G27" s="17" t="s">
        <v>143</v>
      </c>
      <c r="H27" s="18">
        <v>45194</v>
      </c>
      <c r="I27" s="16">
        <v>14</v>
      </c>
      <c r="J27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45211</v>
      </c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4"/>
      <c r="BP27" s="64"/>
    </row>
    <row r="28" spans="2:68" x14ac:dyDescent="0.3">
      <c r="B28" s="3" t="str">
        <f>IF(TabProjet[[#This Row],[IsJalon]] = "", (TabProjet[[#This Row],[IDProj]] &amp; "." &amp; TabProjet[[#This Row],[IDSubProj]]), "")</f>
        <v>4.2</v>
      </c>
      <c r="C28" s="78"/>
      <c r="D28" s="78">
        <f>IF(ISNUMBER($D27),IF(TabProjet[[#This Row],[Is Project]] &lt;&gt;"",$D27+1,$D27),1)</f>
        <v>4</v>
      </c>
      <c r="E28" s="78">
        <f>IFERROR(IF(AND(TabProjet[[#This Row],[Is Project]]= "", TabProjet[[#This Row],[IsJalon]]= ""),$E27+1, IF(TabProjet[[#This Row],[IsJalon]]= "X",$E27, 0)),1)</f>
        <v>2</v>
      </c>
      <c r="F28" s="78"/>
      <c r="G28" s="17" t="s">
        <v>144</v>
      </c>
      <c r="H28" s="18">
        <v>45204</v>
      </c>
      <c r="I28" s="16">
        <v>20</v>
      </c>
      <c r="J28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45231</v>
      </c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4"/>
      <c r="BP28" s="64"/>
    </row>
    <row r="29" spans="2:68" x14ac:dyDescent="0.3">
      <c r="B29" s="3" t="str">
        <f>IF(TabProjet[[#This Row],[IsJalon]] = "", (TabProjet[[#This Row],[IDProj]] &amp; "." &amp; TabProjet[[#This Row],[IDSubProj]]), "")</f>
        <v>4.3</v>
      </c>
      <c r="C29" s="78"/>
      <c r="D29" s="78">
        <f>IF(ISNUMBER($D28),IF(TabProjet[[#This Row],[Is Project]] &lt;&gt;"",$D28+1,$D28),1)</f>
        <v>4</v>
      </c>
      <c r="E29" s="78">
        <f>IFERROR(IF(AND(TabProjet[[#This Row],[Is Project]]= "", TabProjet[[#This Row],[IsJalon]]= ""),$E28+1, IF(TabProjet[[#This Row],[IsJalon]]= "X",$E28, 0)),1)</f>
        <v>3</v>
      </c>
      <c r="F29" s="78"/>
      <c r="G29" s="17" t="s">
        <v>76</v>
      </c>
      <c r="H29" s="18">
        <v>45219</v>
      </c>
      <c r="I29" s="16">
        <v>10</v>
      </c>
      <c r="J29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45232</v>
      </c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4"/>
      <c r="BP29" s="64"/>
    </row>
    <row r="30" spans="2:68" x14ac:dyDescent="0.3">
      <c r="B30" s="3" t="str">
        <f>IF(TabProjet[[#This Row],[IsJalon]] = "", (TabProjet[[#This Row],[IDProj]] &amp; "." &amp; TabProjet[[#This Row],[IDSubProj]]), "")</f>
        <v>4.4</v>
      </c>
      <c r="C30" s="78"/>
      <c r="D30" s="78">
        <f>IF(ISNUMBER($D29),IF(TabProjet[[#This Row],[Is Project]] &lt;&gt;"",$D29+1,$D29),1)</f>
        <v>4</v>
      </c>
      <c r="E30" s="78">
        <f>IFERROR(IF(AND(TabProjet[[#This Row],[Is Project]]= "", TabProjet[[#This Row],[IsJalon]]= ""),$E29+1, IF(TabProjet[[#This Row],[IsJalon]]= "X",$E29, 0)),1)</f>
        <v>4</v>
      </c>
      <c r="F30" s="78"/>
      <c r="G30" s="17" t="s">
        <v>77</v>
      </c>
      <c r="H30" s="18">
        <v>45229</v>
      </c>
      <c r="I30" s="16">
        <v>15</v>
      </c>
      <c r="J30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45247</v>
      </c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4"/>
      <c r="BP30" s="64"/>
    </row>
    <row r="31" spans="2:68" x14ac:dyDescent="0.3">
      <c r="B31" s="3" t="str">
        <f>IF(TabProjet[[#This Row],[IsJalon]] = "", (TabProjet[[#This Row],[IDProj]] &amp; "." &amp; TabProjet[[#This Row],[IDSubProj]]), "")</f>
        <v/>
      </c>
      <c r="C31" s="78"/>
      <c r="D31" s="78">
        <f>IF(ISNUMBER($D30),IF(TabProjet[[#This Row],[Is Project]] &lt;&gt;"",$D30+1,$D30),1)</f>
        <v>4</v>
      </c>
      <c r="E31" s="78">
        <f>IFERROR(IF(AND(TabProjet[[#This Row],[Is Project]]= "", TabProjet[[#This Row],[IsJalon]]= ""),$E30+1, IF(TabProjet[[#This Row],[IsJalon]]= "X",$E30, 0)),1)</f>
        <v>4</v>
      </c>
      <c r="F31" s="78" t="s">
        <v>6</v>
      </c>
      <c r="G31" s="17" t="s">
        <v>145</v>
      </c>
      <c r="H31" s="18"/>
      <c r="I31" s="16"/>
      <c r="J31" s="14" t="str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/>
      </c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4"/>
      <c r="BP31" s="64"/>
    </row>
    <row r="32" spans="2:68" x14ac:dyDescent="0.3">
      <c r="B32" s="3" t="str">
        <f>IF(TabProjet[[#This Row],[IsJalon]] = "", (TabProjet[[#This Row],[IDProj]] &amp; "." &amp; TabProjet[[#This Row],[IDSubProj]]), "")</f>
        <v>5.0</v>
      </c>
      <c r="C32" s="78" t="s">
        <v>6</v>
      </c>
      <c r="D32" s="78">
        <f>IF(ISNUMBER($D31),IF(TabProjet[[#This Row],[Is Project]] &lt;&gt;"",$D31+1,$D31),1)</f>
        <v>5</v>
      </c>
      <c r="E32" s="78">
        <f>IFERROR(IF(AND(TabProjet[[#This Row],[Is Project]]= "", TabProjet[[#This Row],[IsJalon]]= ""),$E31+1, IF(TabProjet[[#This Row],[IsJalon]]= "X",$E31, 0)),1)</f>
        <v>0</v>
      </c>
      <c r="F32" s="78"/>
      <c r="G32" s="17" t="s">
        <v>134</v>
      </c>
      <c r="H32" s="18">
        <f ca="1">IF(MinStartDate(TabProjet[[#This Row],[IDProj]]) = 0, "", MinStartDate(TabProjet[[#This Row],[IDProj]]))</f>
        <v>45232</v>
      </c>
      <c r="I32" s="16">
        <f>IFERROR(SUMIFS(TabProjet[Charge en J],TabProjet[Is Project],"",TabProjet[IDProj],TabProjet[[#This Row],[IDProj]]), "")</f>
        <v>85</v>
      </c>
      <c r="J32" s="14">
        <f ca="1">IF(GetDeadline(TabProjet[[#This Row],[IDProj]]) = 0, "", GetDeadline(TabProjet[[#This Row],[IDProj]]))</f>
        <v>45317</v>
      </c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4"/>
      <c r="BP32" s="64"/>
    </row>
    <row r="33" spans="2:68" x14ac:dyDescent="0.3">
      <c r="B33" s="3" t="str">
        <f>IF(TabProjet[[#This Row],[IsJalon]] = "", (TabProjet[[#This Row],[IDProj]] &amp; "." &amp; TabProjet[[#This Row],[IDSubProj]]), "")</f>
        <v>5.1</v>
      </c>
      <c r="C33" s="78"/>
      <c r="D33" s="78">
        <f>IF(ISNUMBER($D32),IF(TabProjet[[#This Row],[Is Project]] &lt;&gt;"",$D32+1,$D32),1)</f>
        <v>5</v>
      </c>
      <c r="E33" s="78">
        <f>IFERROR(IF(AND(TabProjet[[#This Row],[Is Project]]= "", TabProjet[[#This Row],[IsJalon]]= ""),$E32+1, IF(TabProjet[[#This Row],[IsJalon]]= "X",$E32, 0)),1)</f>
        <v>1</v>
      </c>
      <c r="F33" s="78"/>
      <c r="G33" s="17" t="s">
        <v>78</v>
      </c>
      <c r="H33" s="18">
        <v>45232</v>
      </c>
      <c r="I33" s="16">
        <v>25</v>
      </c>
      <c r="J33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45266</v>
      </c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4"/>
      <c r="BP33" s="64"/>
    </row>
    <row r="34" spans="2:68" x14ac:dyDescent="0.3">
      <c r="B34" s="3" t="str">
        <f>IF(TabProjet[[#This Row],[IsJalon]] = "", (TabProjet[[#This Row],[IDProj]] &amp; "." &amp; TabProjet[[#This Row],[IDSubProj]]), "")</f>
        <v>5.2</v>
      </c>
      <c r="C34" s="78"/>
      <c r="D34" s="78">
        <f>IF(ISNUMBER($D33),IF(TabProjet[[#This Row],[Is Project]] &lt;&gt;"",$D33+1,$D33),1)</f>
        <v>5</v>
      </c>
      <c r="E34" s="78">
        <f>IFERROR(IF(AND(TabProjet[[#This Row],[Is Project]]= "", TabProjet[[#This Row],[IsJalon]]= ""),$E33+1, IF(TabProjet[[#This Row],[IsJalon]]= "X",$E33, 0)),1)</f>
        <v>2</v>
      </c>
      <c r="F34" s="78"/>
      <c r="G34" s="17" t="s">
        <v>79</v>
      </c>
      <c r="H34" s="18">
        <v>45255</v>
      </c>
      <c r="I34" s="16">
        <v>45</v>
      </c>
      <c r="J34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45317</v>
      </c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4"/>
      <c r="BP34" s="64"/>
    </row>
    <row r="35" spans="2:68" x14ac:dyDescent="0.3">
      <c r="B35" s="3" t="str">
        <f>IF(TabProjet[[#This Row],[IsJalon]] = "", (TabProjet[[#This Row],[IDProj]] &amp; "." &amp; TabProjet[[#This Row],[IDSubProj]]), "")</f>
        <v>5.3</v>
      </c>
      <c r="C35" s="78"/>
      <c r="D35" s="78">
        <f>IF(ISNUMBER($D34),IF(TabProjet[[#This Row],[Is Project]] &lt;&gt;"",$D34+1,$D34),1)</f>
        <v>5</v>
      </c>
      <c r="E35" s="78">
        <f>IFERROR(IF(AND(TabProjet[[#This Row],[Is Project]]= "", TabProjet[[#This Row],[IsJalon]]= ""),$E34+1, IF(TabProjet[[#This Row],[IsJalon]]= "X",$E34, 0)),1)</f>
        <v>3</v>
      </c>
      <c r="F35" s="78"/>
      <c r="G35" s="17" t="s">
        <v>80</v>
      </c>
      <c r="H35" s="18">
        <v>45260</v>
      </c>
      <c r="I35" s="16">
        <v>15</v>
      </c>
      <c r="J35" s="14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45280</v>
      </c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4"/>
      <c r="BP35" s="64"/>
    </row>
    <row r="36" spans="2:68" x14ac:dyDescent="0.3">
      <c r="B36" s="3" t="str">
        <f>IF(TabProjet[[#This Row],[IsJalon]] = "", (TabProjet[[#This Row],[IDProj]] &amp; "." &amp; TabProjet[[#This Row],[IDSubProj]]), "")</f>
        <v/>
      </c>
      <c r="C36" s="78"/>
      <c r="D36" s="78">
        <f>IF(ISNUMBER($D35),IF(TabProjet[[#This Row],[Is Project]] &lt;&gt;"",$D35+1,$D35),1)</f>
        <v>5</v>
      </c>
      <c r="E36" s="78">
        <f>IFERROR(IF(AND(TabProjet[[#This Row],[Is Project]]= "", TabProjet[[#This Row],[IsJalon]]= ""),$E35+1, IF(TabProjet[[#This Row],[IsJalon]]= "X",$E35, 0)),1)</f>
        <v>3</v>
      </c>
      <c r="F36" s="78" t="s">
        <v>6</v>
      </c>
      <c r="G36" s="17" t="s">
        <v>146</v>
      </c>
      <c r="H36" s="18"/>
      <c r="I36" s="16"/>
      <c r="J36" s="14" t="str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/>
      </c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4"/>
      <c r="BP36" s="64"/>
    </row>
    <row r="37" spans="2:68" x14ac:dyDescent="0.3"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4"/>
      <c r="BP37" s="64"/>
    </row>
    <row r="38" spans="2:68" x14ac:dyDescent="0.3"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4"/>
      <c r="BP38" s="64"/>
    </row>
    <row r="39" spans="2:68" x14ac:dyDescent="0.3"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4"/>
      <c r="BP39" s="64"/>
    </row>
    <row r="40" spans="2:68" x14ac:dyDescent="0.3"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4"/>
      <c r="BP40" s="64"/>
    </row>
    <row r="41" spans="2:68" x14ac:dyDescent="0.3"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4"/>
      <c r="BP41" s="64"/>
    </row>
    <row r="42" spans="2:68" x14ac:dyDescent="0.3"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  <c r="BD42" s="65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4"/>
      <c r="BP42" s="64"/>
    </row>
    <row r="43" spans="2:68" x14ac:dyDescent="0.3"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4"/>
      <c r="BP43" s="64"/>
    </row>
    <row r="44" spans="2:68" x14ac:dyDescent="0.3"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4"/>
      <c r="BP44" s="64"/>
    </row>
    <row r="45" spans="2:68" x14ac:dyDescent="0.3"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  <c r="BD45" s="65"/>
      <c r="BE45" s="65"/>
      <c r="BF45" s="65"/>
      <c r="BG45" s="65"/>
      <c r="BH45" s="65"/>
      <c r="BI45" s="65"/>
      <c r="BJ45" s="65"/>
      <c r="BK45" s="65"/>
      <c r="BL45" s="65"/>
      <c r="BM45" s="65"/>
      <c r="BN45" s="65"/>
      <c r="BO45" s="64"/>
      <c r="BP45" s="64"/>
    </row>
    <row r="46" spans="2:68" x14ac:dyDescent="0.3"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4"/>
      <c r="BP46" s="64"/>
    </row>
    <row r="47" spans="2:68" x14ac:dyDescent="0.3"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4"/>
      <c r="BP47" s="64"/>
    </row>
    <row r="48" spans="2:68" x14ac:dyDescent="0.3"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4"/>
      <c r="BP48" s="64"/>
    </row>
    <row r="49" spans="11:68" x14ac:dyDescent="0.3"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4"/>
      <c r="BP49" s="64"/>
    </row>
    <row r="50" spans="11:68" x14ac:dyDescent="0.3"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4"/>
      <c r="BP50" s="64"/>
    </row>
    <row r="51" spans="11:68" x14ac:dyDescent="0.3"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4"/>
      <c r="BP51" s="64"/>
    </row>
    <row r="52" spans="11:68" x14ac:dyDescent="0.3"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4"/>
      <c r="BP52" s="64"/>
    </row>
    <row r="53" spans="11:68" x14ac:dyDescent="0.3"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4"/>
      <c r="BP53" s="64"/>
    </row>
    <row r="54" spans="11:68" x14ac:dyDescent="0.3"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4"/>
      <c r="BP54" s="64"/>
    </row>
    <row r="55" spans="11:68" x14ac:dyDescent="0.3"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4"/>
      <c r="BP55" s="64"/>
    </row>
    <row r="56" spans="11:68" x14ac:dyDescent="0.3"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4"/>
      <c r="BP56" s="64"/>
    </row>
    <row r="57" spans="11:68" x14ac:dyDescent="0.3"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4"/>
      <c r="BP57" s="64"/>
    </row>
    <row r="58" spans="11:68" x14ac:dyDescent="0.3"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4"/>
      <c r="BP58" s="64"/>
    </row>
    <row r="59" spans="11:68" x14ac:dyDescent="0.3"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4"/>
      <c r="BP59" s="64"/>
    </row>
    <row r="60" spans="11:68" x14ac:dyDescent="0.3"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4"/>
      <c r="BP60" s="64"/>
    </row>
    <row r="61" spans="11:68" x14ac:dyDescent="0.3"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4"/>
      <c r="BP61" s="64"/>
    </row>
    <row r="62" spans="11:68" x14ac:dyDescent="0.3"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4"/>
      <c r="BP62" s="64"/>
    </row>
    <row r="63" spans="11:68" x14ac:dyDescent="0.3"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4"/>
      <c r="BP63" s="64"/>
    </row>
    <row r="64" spans="11:68" x14ac:dyDescent="0.3"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4"/>
      <c r="BP64" s="64"/>
    </row>
    <row r="65" spans="11:68" x14ac:dyDescent="0.3"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4"/>
      <c r="BP65" s="64"/>
    </row>
    <row r="66" spans="11:68" x14ac:dyDescent="0.3"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4"/>
      <c r="BP66" s="64"/>
    </row>
    <row r="67" spans="11:68" x14ac:dyDescent="0.3"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4"/>
      <c r="BP67" s="64"/>
    </row>
    <row r="68" spans="11:68" x14ac:dyDescent="0.3"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4"/>
      <c r="BP68" s="64"/>
    </row>
    <row r="69" spans="11:68" ht="16.95" customHeight="1" x14ac:dyDescent="0.3"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4"/>
      <c r="BP69" s="64"/>
    </row>
    <row r="70" spans="11:68" ht="16.95" customHeight="1" x14ac:dyDescent="0.3"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4"/>
      <c r="BP70" s="64"/>
    </row>
    <row r="71" spans="11:68" ht="16.95" customHeight="1" x14ac:dyDescent="0.3"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4"/>
      <c r="BP71" s="64"/>
    </row>
    <row r="72" spans="11:68" ht="16.95" customHeight="1" x14ac:dyDescent="0.3"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4"/>
      <c r="BP72" s="64"/>
    </row>
    <row r="73" spans="11:68" ht="16.95" customHeight="1" x14ac:dyDescent="0.3"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4"/>
      <c r="BP73" s="64"/>
    </row>
    <row r="74" spans="11:68" ht="16.95" customHeight="1" x14ac:dyDescent="0.3"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4"/>
      <c r="BP74" s="64"/>
    </row>
    <row r="75" spans="11:68" ht="16.95" customHeight="1" x14ac:dyDescent="0.3"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4"/>
      <c r="BP75" s="64"/>
    </row>
    <row r="76" spans="11:68" ht="16.95" customHeight="1" x14ac:dyDescent="0.3"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4"/>
      <c r="BP76" s="64"/>
    </row>
    <row r="77" spans="11:68" ht="16.95" customHeight="1" x14ac:dyDescent="0.3"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4"/>
      <c r="BP77" s="64"/>
    </row>
    <row r="78" spans="11:68" ht="16.95" customHeight="1" x14ac:dyDescent="0.3"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4"/>
      <c r="BP78" s="64"/>
    </row>
    <row r="79" spans="11:68" ht="16.95" customHeight="1" x14ac:dyDescent="0.3"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65"/>
      <c r="BO79" s="64"/>
      <c r="BP79" s="64"/>
    </row>
    <row r="80" spans="11:68" ht="16.95" customHeight="1" x14ac:dyDescent="0.3"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4"/>
      <c r="BP80" s="64"/>
    </row>
    <row r="81" spans="11:68" ht="16.95" customHeight="1" x14ac:dyDescent="0.3"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4"/>
      <c r="BP81" s="64"/>
    </row>
    <row r="82" spans="11:68" ht="16.95" customHeight="1" x14ac:dyDescent="0.3"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4"/>
      <c r="BP82" s="64"/>
    </row>
    <row r="83" spans="11:68" ht="16.95" customHeight="1" x14ac:dyDescent="0.3"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4"/>
      <c r="BP83" s="64"/>
    </row>
    <row r="84" spans="11:68" ht="16.95" customHeight="1" x14ac:dyDescent="0.3"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4"/>
      <c r="BP84" s="64"/>
    </row>
    <row r="85" spans="11:68" ht="16.95" customHeight="1" x14ac:dyDescent="0.3"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4"/>
      <c r="BP85" s="64"/>
    </row>
    <row r="86" spans="11:68" ht="16.95" customHeight="1" x14ac:dyDescent="0.3"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4"/>
      <c r="BP86" s="64"/>
    </row>
    <row r="87" spans="11:68" ht="16.95" customHeight="1" x14ac:dyDescent="0.3"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4"/>
      <c r="BP87" s="64"/>
    </row>
    <row r="88" spans="11:68" ht="16.95" customHeight="1" x14ac:dyDescent="0.3"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/>
      <c r="AZ88" s="65"/>
      <c r="BA88" s="65"/>
      <c r="BB88" s="65"/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4"/>
      <c r="BP88" s="64"/>
    </row>
    <row r="89" spans="11:68" ht="16.95" customHeight="1" x14ac:dyDescent="0.3"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4"/>
      <c r="BP89" s="64"/>
    </row>
    <row r="90" spans="11:68" ht="16.95" customHeight="1" x14ac:dyDescent="0.3"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5"/>
      <c r="BB90" s="65"/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4"/>
      <c r="BP90" s="64"/>
    </row>
    <row r="91" spans="11:68" ht="16.95" customHeight="1" x14ac:dyDescent="0.3"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/>
      <c r="AZ91" s="65"/>
      <c r="BA91" s="65"/>
      <c r="BB91" s="65"/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4"/>
      <c r="BP91" s="64"/>
    </row>
    <row r="92" spans="11:68" ht="16.95" customHeight="1" x14ac:dyDescent="0.3"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5"/>
      <c r="AK92" s="65"/>
      <c r="AL92" s="65"/>
      <c r="AM92" s="65"/>
      <c r="AN92" s="65"/>
      <c r="AO92" s="65"/>
      <c r="AP92" s="65"/>
      <c r="AQ92" s="65"/>
      <c r="AR92" s="65"/>
      <c r="AS92" s="65"/>
      <c r="AT92" s="65"/>
      <c r="AU92" s="65"/>
      <c r="AV92" s="65"/>
      <c r="AW92" s="65"/>
      <c r="AX92" s="65"/>
      <c r="AY92" s="65"/>
      <c r="AZ92" s="65"/>
      <c r="BA92" s="65"/>
      <c r="BB92" s="65"/>
      <c r="BC92" s="65"/>
      <c r="BD92" s="65"/>
      <c r="BE92" s="65"/>
      <c r="BF92" s="65"/>
      <c r="BG92" s="65"/>
      <c r="BH92" s="65"/>
      <c r="BI92" s="65"/>
      <c r="BJ92" s="65"/>
      <c r="BK92" s="65"/>
      <c r="BL92" s="65"/>
      <c r="BM92" s="65"/>
      <c r="BN92" s="65"/>
      <c r="BO92" s="64"/>
      <c r="BP92" s="64"/>
    </row>
    <row r="93" spans="11:68" ht="16.95" customHeight="1" x14ac:dyDescent="0.3"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4"/>
      <c r="BP93" s="64"/>
    </row>
    <row r="94" spans="11:68" ht="16.95" customHeight="1" x14ac:dyDescent="0.3"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5"/>
      <c r="AK94" s="65"/>
      <c r="AL94" s="65"/>
      <c r="AM94" s="65"/>
      <c r="AN94" s="65"/>
      <c r="AO94" s="65"/>
      <c r="AP94" s="65"/>
      <c r="AQ94" s="65"/>
      <c r="AR94" s="65"/>
      <c r="AS94" s="65"/>
      <c r="AT94" s="65"/>
      <c r="AU94" s="65"/>
      <c r="AV94" s="65"/>
      <c r="AW94" s="65"/>
      <c r="AX94" s="65"/>
      <c r="AY94" s="65"/>
      <c r="AZ94" s="65"/>
      <c r="BA94" s="65"/>
      <c r="BB94" s="65"/>
      <c r="BC94" s="65"/>
      <c r="BD94" s="65"/>
      <c r="BE94" s="65"/>
      <c r="BF94" s="65"/>
      <c r="BG94" s="65"/>
      <c r="BH94" s="65"/>
      <c r="BI94" s="65"/>
      <c r="BJ94" s="65"/>
      <c r="BK94" s="65"/>
      <c r="BL94" s="65"/>
      <c r="BM94" s="65"/>
      <c r="BN94" s="65"/>
      <c r="BO94" s="64"/>
      <c r="BP94" s="64"/>
    </row>
    <row r="95" spans="11:68" ht="16.95" customHeight="1" x14ac:dyDescent="0.3"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4"/>
      <c r="BP95" s="64"/>
    </row>
    <row r="96" spans="11:68" ht="16.95" customHeight="1" x14ac:dyDescent="0.3"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4"/>
      <c r="BP96" s="64"/>
    </row>
    <row r="97" spans="11:68" ht="16.95" customHeight="1" x14ac:dyDescent="0.3"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/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4"/>
      <c r="BP97" s="64"/>
    </row>
    <row r="98" spans="11:68" ht="16.95" customHeight="1" x14ac:dyDescent="0.3"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5"/>
      <c r="AK98" s="65"/>
      <c r="AL98" s="65"/>
      <c r="AM98" s="65"/>
      <c r="AN98" s="65"/>
      <c r="AO98" s="65"/>
      <c r="AP98" s="65"/>
      <c r="AQ98" s="65"/>
      <c r="AR98" s="65"/>
      <c r="AS98" s="65"/>
      <c r="AT98" s="65"/>
      <c r="AU98" s="65"/>
      <c r="AV98" s="65"/>
      <c r="AW98" s="65"/>
      <c r="AX98" s="65"/>
      <c r="AY98" s="65"/>
      <c r="AZ98" s="65"/>
      <c r="BA98" s="65"/>
      <c r="BB98" s="65"/>
      <c r="BC98" s="65"/>
      <c r="BD98" s="65"/>
      <c r="BE98" s="65"/>
      <c r="BF98" s="65"/>
      <c r="BG98" s="65"/>
      <c r="BH98" s="65"/>
      <c r="BI98" s="65"/>
      <c r="BJ98" s="65"/>
      <c r="BK98" s="65"/>
      <c r="BL98" s="65"/>
      <c r="BM98" s="65"/>
      <c r="BN98" s="65"/>
      <c r="BO98" s="64"/>
      <c r="BP98" s="64"/>
    </row>
    <row r="99" spans="11:68" ht="16.95" customHeight="1" x14ac:dyDescent="0.3"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4"/>
      <c r="BP99" s="64"/>
    </row>
    <row r="100" spans="11:68" ht="16.95" customHeight="1" x14ac:dyDescent="0.3"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4"/>
      <c r="BP100" s="64"/>
    </row>
    <row r="101" spans="11:68" ht="16.95" customHeight="1" x14ac:dyDescent="0.3"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4"/>
      <c r="BP101" s="64"/>
    </row>
    <row r="102" spans="11:68" ht="16.95" customHeight="1" x14ac:dyDescent="0.3"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5"/>
      <c r="BE102" s="65"/>
      <c r="BF102" s="65"/>
      <c r="BG102" s="65"/>
      <c r="BH102" s="65"/>
      <c r="BI102" s="65"/>
      <c r="BJ102" s="65"/>
      <c r="BK102" s="65"/>
      <c r="BL102" s="65"/>
      <c r="BM102" s="65"/>
      <c r="BN102" s="65"/>
      <c r="BO102" s="64"/>
      <c r="BP102" s="64"/>
    </row>
    <row r="103" spans="11:68" ht="16.95" customHeight="1" x14ac:dyDescent="0.3"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4"/>
      <c r="BP103" s="64"/>
    </row>
    <row r="104" spans="11:68" ht="16.95" customHeight="1" x14ac:dyDescent="0.3"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5"/>
      <c r="BE104" s="65"/>
      <c r="BF104" s="65"/>
      <c r="BG104" s="65"/>
      <c r="BH104" s="65"/>
      <c r="BI104" s="65"/>
      <c r="BJ104" s="65"/>
      <c r="BK104" s="65"/>
      <c r="BL104" s="65"/>
      <c r="BM104" s="65"/>
      <c r="BN104" s="65"/>
      <c r="BO104" s="64"/>
      <c r="BP104" s="64"/>
    </row>
    <row r="105" spans="11:68" ht="16.95" customHeight="1" x14ac:dyDescent="0.3"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4"/>
      <c r="BP105" s="64"/>
    </row>
    <row r="106" spans="11:68" ht="16.95" customHeight="1" x14ac:dyDescent="0.3"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5"/>
      <c r="AK106" s="65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5"/>
      <c r="BE106" s="65"/>
      <c r="BF106" s="65"/>
      <c r="BG106" s="65"/>
      <c r="BH106" s="65"/>
      <c r="BI106" s="65"/>
      <c r="BJ106" s="65"/>
      <c r="BK106" s="65"/>
      <c r="BL106" s="65"/>
      <c r="BM106" s="65"/>
      <c r="BN106" s="65"/>
      <c r="BO106" s="64"/>
      <c r="BP106" s="64"/>
    </row>
    <row r="107" spans="11:68" ht="16.95" customHeight="1" x14ac:dyDescent="0.3"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4"/>
      <c r="BP107" s="64"/>
    </row>
    <row r="108" spans="11:68" ht="16.95" customHeight="1" x14ac:dyDescent="0.3"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4"/>
      <c r="BP108" s="64"/>
    </row>
    <row r="109" spans="11:68" ht="16.95" customHeight="1" x14ac:dyDescent="0.3"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4"/>
      <c r="BP109" s="64"/>
    </row>
    <row r="110" spans="11:68" ht="16.95" customHeight="1" x14ac:dyDescent="0.3"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5"/>
      <c r="BE110" s="65"/>
      <c r="BF110" s="65"/>
      <c r="BG110" s="65"/>
      <c r="BH110" s="65"/>
      <c r="BI110" s="65"/>
      <c r="BJ110" s="65"/>
      <c r="BK110" s="65"/>
      <c r="BL110" s="65"/>
      <c r="BM110" s="65"/>
      <c r="BN110" s="65"/>
      <c r="BO110" s="64"/>
      <c r="BP110" s="64"/>
    </row>
    <row r="111" spans="11:68" ht="16.95" customHeight="1" x14ac:dyDescent="0.3"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5"/>
      <c r="BC111" s="65"/>
      <c r="BD111" s="65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4"/>
      <c r="BP111" s="64"/>
    </row>
    <row r="112" spans="11:68" ht="16.95" customHeight="1" x14ac:dyDescent="0.3"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4"/>
      <c r="BP112" s="64"/>
    </row>
    <row r="113" spans="11:68" ht="16.95" customHeight="1" x14ac:dyDescent="0.3"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/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4"/>
      <c r="BP113" s="64"/>
    </row>
    <row r="114" spans="11:68" ht="16.95" customHeight="1" x14ac:dyDescent="0.3"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4"/>
      <c r="BP114" s="64"/>
    </row>
    <row r="115" spans="11:68" ht="16.95" customHeight="1" x14ac:dyDescent="0.3"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5"/>
      <c r="BD115" s="65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4"/>
      <c r="BP115" s="64"/>
    </row>
    <row r="116" spans="11:68" ht="16.95" customHeight="1" x14ac:dyDescent="0.3"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4"/>
      <c r="BP116" s="64"/>
    </row>
    <row r="117" spans="11:68" ht="16.95" customHeight="1" x14ac:dyDescent="0.3"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5"/>
      <c r="BC117" s="65"/>
      <c r="BD117" s="65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4"/>
      <c r="BP117" s="64"/>
    </row>
    <row r="118" spans="11:68" ht="16.95" customHeight="1" x14ac:dyDescent="0.3"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5"/>
      <c r="AP118" s="65"/>
      <c r="AQ118" s="65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5"/>
      <c r="BC118" s="65"/>
      <c r="BD118" s="65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4"/>
      <c r="BP118" s="64"/>
    </row>
    <row r="119" spans="11:68" ht="16.95" customHeight="1" x14ac:dyDescent="0.3"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5"/>
      <c r="AK119" s="65"/>
      <c r="AL119" s="65"/>
      <c r="AM119" s="65"/>
      <c r="AN119" s="65"/>
      <c r="AO119" s="65"/>
      <c r="AP119" s="65"/>
      <c r="AQ119" s="65"/>
      <c r="AR119" s="65"/>
      <c r="AS119" s="65"/>
      <c r="AT119" s="65"/>
      <c r="AU119" s="65"/>
      <c r="AV119" s="65"/>
      <c r="AW119" s="65"/>
      <c r="AX119" s="65"/>
      <c r="AY119" s="65"/>
      <c r="AZ119" s="65"/>
      <c r="BA119" s="65"/>
      <c r="BB119" s="65"/>
      <c r="BC119" s="65"/>
      <c r="BD119" s="65"/>
      <c r="BE119" s="65"/>
      <c r="BF119" s="65"/>
      <c r="BG119" s="65"/>
      <c r="BH119" s="65"/>
      <c r="BI119" s="65"/>
      <c r="BJ119" s="65"/>
      <c r="BK119" s="65"/>
      <c r="BL119" s="65"/>
      <c r="BM119" s="65"/>
      <c r="BN119" s="65"/>
      <c r="BO119" s="64"/>
      <c r="BP119" s="64"/>
    </row>
    <row r="120" spans="11:68" ht="16.95" customHeight="1" x14ac:dyDescent="0.3"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4"/>
      <c r="BP120" s="64"/>
    </row>
    <row r="121" spans="11:68" ht="16.95" customHeight="1" x14ac:dyDescent="0.3"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5"/>
      <c r="BD121" s="65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4"/>
      <c r="BP121" s="64"/>
    </row>
    <row r="122" spans="11:68" ht="16.95" customHeight="1" x14ac:dyDescent="0.3"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5"/>
      <c r="BD122" s="65"/>
      <c r="BE122" s="65"/>
      <c r="BF122" s="65"/>
      <c r="BG122" s="65"/>
      <c r="BH122" s="65"/>
      <c r="BI122" s="65"/>
      <c r="BJ122" s="65"/>
      <c r="BK122" s="65"/>
      <c r="BL122" s="65"/>
      <c r="BM122" s="65"/>
      <c r="BN122" s="65"/>
      <c r="BO122" s="64"/>
      <c r="BP122" s="64"/>
    </row>
    <row r="123" spans="11:68" ht="16.95" customHeight="1" x14ac:dyDescent="0.3"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5"/>
      <c r="AP123" s="65"/>
      <c r="AQ123" s="65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5"/>
      <c r="BC123" s="65"/>
      <c r="BD123" s="65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4"/>
      <c r="BP123" s="64"/>
    </row>
    <row r="124" spans="11:68" ht="16.95" customHeight="1" x14ac:dyDescent="0.3"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4"/>
      <c r="BP124" s="64"/>
    </row>
    <row r="125" spans="11:68" ht="16.95" customHeight="1" x14ac:dyDescent="0.3"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4"/>
      <c r="BP125" s="64"/>
    </row>
    <row r="126" spans="11:68" ht="16.95" customHeight="1" x14ac:dyDescent="0.3"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5"/>
      <c r="AR126" s="65"/>
      <c r="AS126" s="65"/>
      <c r="AT126" s="65"/>
      <c r="AU126" s="65"/>
      <c r="AV126" s="65"/>
      <c r="AW126" s="65"/>
      <c r="AX126" s="65"/>
      <c r="AY126" s="65"/>
      <c r="AZ126" s="65"/>
      <c r="BA126" s="65"/>
      <c r="BB126" s="65"/>
      <c r="BC126" s="65"/>
      <c r="BD126" s="65"/>
      <c r="BE126" s="65"/>
      <c r="BF126" s="65"/>
      <c r="BG126" s="65"/>
      <c r="BH126" s="65"/>
      <c r="BI126" s="65"/>
      <c r="BJ126" s="65"/>
      <c r="BK126" s="65"/>
      <c r="BL126" s="65"/>
      <c r="BM126" s="65"/>
      <c r="BN126" s="65"/>
      <c r="BO126" s="64"/>
      <c r="BP126" s="64"/>
    </row>
    <row r="127" spans="11:68" ht="16.95" customHeight="1" x14ac:dyDescent="0.3"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5"/>
      <c r="BC127" s="65"/>
      <c r="BD127" s="65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4"/>
      <c r="BP127" s="64"/>
    </row>
    <row r="128" spans="11:68" ht="16.95" customHeight="1" x14ac:dyDescent="0.3"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5"/>
      <c r="BB128" s="65"/>
      <c r="BC128" s="65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4"/>
      <c r="BP128" s="64"/>
    </row>
    <row r="129" spans="11:68" ht="16.95" customHeight="1" x14ac:dyDescent="0.3"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/>
      <c r="BI129" s="65"/>
      <c r="BJ129" s="65"/>
      <c r="BK129" s="65"/>
      <c r="BL129" s="65"/>
      <c r="BM129" s="65"/>
      <c r="BN129" s="65"/>
      <c r="BO129" s="64"/>
      <c r="BP129" s="64"/>
    </row>
    <row r="130" spans="11:68" x14ac:dyDescent="0.3"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/>
      <c r="BF130" s="65"/>
      <c r="BG130" s="65"/>
      <c r="BH130" s="65"/>
      <c r="BI130" s="65"/>
      <c r="BJ130" s="65"/>
      <c r="BK130" s="65"/>
      <c r="BL130" s="65"/>
      <c r="BM130" s="65"/>
      <c r="BN130" s="65"/>
      <c r="BO130" s="64"/>
      <c r="BP130" s="64"/>
    </row>
    <row r="131" spans="11:68" x14ac:dyDescent="0.3"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/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4"/>
      <c r="BP131" s="64"/>
    </row>
    <row r="132" spans="11:68" x14ac:dyDescent="0.3"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4"/>
      <c r="BP132" s="64"/>
    </row>
    <row r="133" spans="11:68" x14ac:dyDescent="0.3"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/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4"/>
      <c r="BP133" s="64"/>
    </row>
    <row r="134" spans="11:68" x14ac:dyDescent="0.3"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/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4"/>
      <c r="BP134" s="64"/>
    </row>
    <row r="135" spans="11:68" x14ac:dyDescent="0.3"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  <c r="BL135" s="65"/>
      <c r="BM135" s="65"/>
      <c r="BN135" s="65"/>
      <c r="BO135" s="64"/>
      <c r="BP135" s="64"/>
    </row>
    <row r="136" spans="11:68" x14ac:dyDescent="0.3"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  <c r="BL136" s="65"/>
      <c r="BM136" s="65"/>
      <c r="BN136" s="65"/>
      <c r="BO136" s="64"/>
      <c r="BP136" s="64"/>
    </row>
    <row r="137" spans="11:68" x14ac:dyDescent="0.3"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4"/>
      <c r="BP137" s="64"/>
    </row>
    <row r="138" spans="11:68" x14ac:dyDescent="0.3"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  <c r="AT138" s="65"/>
      <c r="AU138" s="65"/>
      <c r="AV138" s="65"/>
      <c r="AW138" s="65"/>
      <c r="AX138" s="65"/>
      <c r="AY138" s="65"/>
      <c r="AZ138" s="65"/>
      <c r="BA138" s="65"/>
      <c r="BB138" s="65"/>
      <c r="BC138" s="65"/>
      <c r="BD138" s="65"/>
      <c r="BE138" s="65"/>
      <c r="BF138" s="65"/>
      <c r="BG138" s="65"/>
      <c r="BH138" s="65"/>
      <c r="BI138" s="65"/>
      <c r="BJ138" s="65"/>
      <c r="BK138" s="65"/>
      <c r="BL138" s="65"/>
      <c r="BM138" s="65"/>
      <c r="BN138" s="65"/>
      <c r="BO138" s="64"/>
      <c r="BP138" s="64"/>
    </row>
    <row r="139" spans="11:68" x14ac:dyDescent="0.3"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  <c r="BL139" s="65"/>
      <c r="BM139" s="65"/>
      <c r="BN139" s="65"/>
      <c r="BO139" s="64"/>
      <c r="BP139" s="64"/>
    </row>
    <row r="140" spans="11:68" x14ac:dyDescent="0.3"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  <c r="BL140" s="65"/>
      <c r="BM140" s="65"/>
      <c r="BN140" s="65"/>
      <c r="BO140" s="64"/>
      <c r="BP140" s="64"/>
    </row>
    <row r="141" spans="11:68" x14ac:dyDescent="0.3"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  <c r="BL141" s="65"/>
      <c r="BM141" s="65"/>
      <c r="BN141" s="65"/>
      <c r="BO141" s="64"/>
      <c r="BP141" s="64"/>
    </row>
    <row r="142" spans="11:68" x14ac:dyDescent="0.3"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  <c r="AX142" s="65"/>
      <c r="AY142" s="65"/>
      <c r="AZ142" s="65"/>
      <c r="BA142" s="65"/>
      <c r="BB142" s="65"/>
      <c r="BC142" s="65"/>
      <c r="BD142" s="65"/>
      <c r="BE142" s="65"/>
      <c r="BF142" s="65"/>
      <c r="BG142" s="65"/>
      <c r="BH142" s="65"/>
      <c r="BI142" s="65"/>
      <c r="BJ142" s="65"/>
      <c r="BK142" s="65"/>
      <c r="BL142" s="65"/>
      <c r="BM142" s="65"/>
      <c r="BN142" s="65"/>
      <c r="BO142" s="64"/>
      <c r="BP142" s="64"/>
    </row>
    <row r="143" spans="11:68" x14ac:dyDescent="0.3"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  <c r="BL143" s="65"/>
      <c r="BM143" s="65"/>
      <c r="BN143" s="65"/>
      <c r="BO143" s="64"/>
      <c r="BP143" s="64"/>
    </row>
    <row r="144" spans="11:68" x14ac:dyDescent="0.3"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65"/>
      <c r="AY144" s="65"/>
      <c r="AZ144" s="65"/>
      <c r="BA144" s="65"/>
      <c r="BB144" s="65"/>
      <c r="BC144" s="65"/>
      <c r="BD144" s="65"/>
      <c r="BE144" s="65"/>
      <c r="BF144" s="65"/>
      <c r="BG144" s="65"/>
      <c r="BH144" s="65"/>
      <c r="BI144" s="65"/>
      <c r="BJ144" s="65"/>
      <c r="BK144" s="65"/>
      <c r="BL144" s="65"/>
      <c r="BM144" s="65"/>
      <c r="BN144" s="65"/>
      <c r="BO144" s="64"/>
      <c r="BP144" s="64"/>
    </row>
    <row r="145" spans="11:68" x14ac:dyDescent="0.3"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65"/>
      <c r="AY145" s="65"/>
      <c r="AZ145" s="65"/>
      <c r="BA145" s="65"/>
      <c r="BB145" s="65"/>
      <c r="BC145" s="65"/>
      <c r="BD145" s="65"/>
      <c r="BE145" s="65"/>
      <c r="BF145" s="65"/>
      <c r="BG145" s="65"/>
      <c r="BH145" s="65"/>
      <c r="BI145" s="65"/>
      <c r="BJ145" s="65"/>
      <c r="BK145" s="65"/>
      <c r="BL145" s="65"/>
      <c r="BM145" s="65"/>
      <c r="BN145" s="65"/>
      <c r="BO145" s="64"/>
      <c r="BP145" s="64"/>
    </row>
    <row r="146" spans="11:68" x14ac:dyDescent="0.3"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  <c r="BL146" s="65"/>
      <c r="BM146" s="65"/>
      <c r="BN146" s="65"/>
      <c r="BO146" s="64"/>
      <c r="BP146" s="64"/>
    </row>
    <row r="147" spans="11:68" x14ac:dyDescent="0.3"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  <c r="BL147" s="65"/>
      <c r="BM147" s="65"/>
      <c r="BN147" s="65"/>
      <c r="BO147" s="64"/>
      <c r="BP147" s="64"/>
    </row>
    <row r="148" spans="11:68" x14ac:dyDescent="0.3"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/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  <c r="BL148" s="65"/>
      <c r="BM148" s="65"/>
      <c r="BN148" s="65"/>
      <c r="BO148" s="64"/>
      <c r="BP148" s="64"/>
    </row>
    <row r="149" spans="11:68" x14ac:dyDescent="0.3"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/>
      <c r="BE149" s="65"/>
      <c r="BF149" s="65"/>
      <c r="BG149" s="65"/>
      <c r="BH149" s="65"/>
      <c r="BI149" s="65"/>
      <c r="BJ149" s="65"/>
      <c r="BK149" s="65"/>
      <c r="BL149" s="65"/>
      <c r="BM149" s="65"/>
      <c r="BN149" s="65"/>
      <c r="BO149" s="64"/>
      <c r="BP149" s="64"/>
    </row>
    <row r="150" spans="11:68" x14ac:dyDescent="0.3"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/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4"/>
      <c r="BP150" s="64"/>
    </row>
    <row r="151" spans="11:68" x14ac:dyDescent="0.3"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/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  <c r="BL151" s="65"/>
      <c r="BM151" s="65"/>
      <c r="BN151" s="65"/>
      <c r="BO151" s="64"/>
      <c r="BP151" s="64"/>
    </row>
    <row r="152" spans="11:68" x14ac:dyDescent="0.3"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H152" s="65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  <c r="AX152" s="65"/>
      <c r="AY152" s="65"/>
      <c r="AZ152" s="65"/>
      <c r="BA152" s="65"/>
      <c r="BB152" s="65"/>
      <c r="BC152" s="65"/>
      <c r="BD152" s="65"/>
      <c r="BE152" s="65"/>
      <c r="BF152" s="65"/>
      <c r="BG152" s="65"/>
      <c r="BH152" s="65"/>
      <c r="BI152" s="65"/>
      <c r="BJ152" s="65"/>
      <c r="BK152" s="65"/>
      <c r="BL152" s="65"/>
      <c r="BM152" s="65"/>
      <c r="BN152" s="65"/>
      <c r="BO152" s="64"/>
      <c r="BP152" s="64"/>
    </row>
    <row r="153" spans="11:68" x14ac:dyDescent="0.3"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H153" s="65"/>
      <c r="AI153" s="65"/>
      <c r="AJ153" s="65"/>
      <c r="AK153" s="65"/>
      <c r="AL153" s="65"/>
      <c r="AM153" s="65"/>
      <c r="AN153" s="65"/>
      <c r="AO153" s="65"/>
      <c r="AP153" s="65"/>
      <c r="AQ153" s="65"/>
      <c r="AR153" s="65"/>
      <c r="AS153" s="65"/>
      <c r="AT153" s="65"/>
      <c r="AU153" s="65"/>
      <c r="AV153" s="65"/>
      <c r="AW153" s="65"/>
      <c r="AX153" s="65"/>
      <c r="AY153" s="65"/>
      <c r="AZ153" s="65"/>
      <c r="BA153" s="65"/>
      <c r="BB153" s="65"/>
      <c r="BC153" s="65"/>
      <c r="BD153" s="65"/>
      <c r="BE153" s="65"/>
      <c r="BF153" s="65"/>
      <c r="BG153" s="65"/>
      <c r="BH153" s="65"/>
      <c r="BI153" s="65"/>
      <c r="BJ153" s="65"/>
      <c r="BK153" s="65"/>
      <c r="BL153" s="65"/>
      <c r="BM153" s="65"/>
      <c r="BN153" s="65"/>
      <c r="BO153" s="64"/>
      <c r="BP153" s="64"/>
    </row>
    <row r="154" spans="11:68" x14ac:dyDescent="0.3"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65"/>
      <c r="AY154" s="65"/>
      <c r="AZ154" s="65"/>
      <c r="BA154" s="65"/>
      <c r="BB154" s="65"/>
      <c r="BC154" s="65"/>
      <c r="BD154" s="65"/>
      <c r="BE154" s="65"/>
      <c r="BF154" s="65"/>
      <c r="BG154" s="65"/>
      <c r="BH154" s="65"/>
      <c r="BI154" s="65"/>
      <c r="BJ154" s="65"/>
      <c r="BK154" s="65"/>
      <c r="BL154" s="65"/>
      <c r="BM154" s="65"/>
      <c r="BN154" s="65"/>
      <c r="BO154" s="64"/>
      <c r="BP154" s="64"/>
    </row>
    <row r="155" spans="11:68" x14ac:dyDescent="0.3"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5"/>
      <c r="AR155" s="65"/>
      <c r="AS155" s="65"/>
      <c r="AT155" s="65"/>
      <c r="AU155" s="65"/>
      <c r="AV155" s="65"/>
      <c r="AW155" s="65"/>
      <c r="AX155" s="65"/>
      <c r="AY155" s="65"/>
      <c r="AZ155" s="65"/>
      <c r="BA155" s="65"/>
      <c r="BB155" s="65"/>
      <c r="BC155" s="65"/>
      <c r="BD155" s="65"/>
      <c r="BE155" s="65"/>
      <c r="BF155" s="65"/>
      <c r="BG155" s="65"/>
      <c r="BH155" s="65"/>
      <c r="BI155" s="65"/>
      <c r="BJ155" s="65"/>
      <c r="BK155" s="65"/>
      <c r="BL155" s="65"/>
      <c r="BM155" s="65"/>
      <c r="BN155" s="65"/>
      <c r="BO155" s="64"/>
      <c r="BP155" s="64"/>
    </row>
    <row r="156" spans="11:68" x14ac:dyDescent="0.3"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5"/>
      <c r="AR156" s="65"/>
      <c r="AS156" s="65"/>
      <c r="AT156" s="65"/>
      <c r="AU156" s="65"/>
      <c r="AV156" s="65"/>
      <c r="AW156" s="65"/>
      <c r="AX156" s="65"/>
      <c r="AY156" s="65"/>
      <c r="AZ156" s="65"/>
      <c r="BA156" s="65"/>
      <c r="BB156" s="65"/>
      <c r="BC156" s="65"/>
      <c r="BD156" s="65"/>
      <c r="BE156" s="65"/>
      <c r="BF156" s="65"/>
      <c r="BG156" s="65"/>
      <c r="BH156" s="65"/>
      <c r="BI156" s="65"/>
      <c r="BJ156" s="65"/>
      <c r="BK156" s="65"/>
      <c r="BL156" s="65"/>
      <c r="BM156" s="65"/>
      <c r="BN156" s="65"/>
      <c r="BO156" s="64"/>
      <c r="BP156" s="64"/>
    </row>
    <row r="157" spans="11:68" x14ac:dyDescent="0.3"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H157" s="65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  <c r="AT157" s="65"/>
      <c r="AU157" s="65"/>
      <c r="AV157" s="65"/>
      <c r="AW157" s="65"/>
      <c r="AX157" s="65"/>
      <c r="AY157" s="65"/>
      <c r="AZ157" s="65"/>
      <c r="BA157" s="65"/>
      <c r="BB157" s="65"/>
      <c r="BC157" s="65"/>
      <c r="BD157" s="65"/>
      <c r="BE157" s="65"/>
      <c r="BF157" s="65"/>
      <c r="BG157" s="65"/>
      <c r="BH157" s="65"/>
      <c r="BI157" s="65"/>
      <c r="BJ157" s="65"/>
      <c r="BK157" s="65"/>
      <c r="BL157" s="65"/>
      <c r="BM157" s="65"/>
      <c r="BN157" s="65"/>
      <c r="BO157" s="64"/>
      <c r="BP157" s="64"/>
    </row>
    <row r="158" spans="11:68" x14ac:dyDescent="0.3"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H158" s="65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  <c r="AT158" s="65"/>
      <c r="AU158" s="65"/>
      <c r="AV158" s="65"/>
      <c r="AW158" s="65"/>
      <c r="AX158" s="65"/>
      <c r="AY158" s="65"/>
      <c r="AZ158" s="65"/>
      <c r="BA158" s="65"/>
      <c r="BB158" s="65"/>
      <c r="BC158" s="65"/>
      <c r="BD158" s="65"/>
      <c r="BE158" s="65"/>
      <c r="BF158" s="65"/>
      <c r="BG158" s="65"/>
      <c r="BH158" s="65"/>
      <c r="BI158" s="65"/>
      <c r="BJ158" s="65"/>
      <c r="BK158" s="65"/>
      <c r="BL158" s="65"/>
      <c r="BM158" s="65"/>
      <c r="BN158" s="65"/>
      <c r="BO158" s="64"/>
      <c r="BP158" s="64"/>
    </row>
    <row r="159" spans="11:68" x14ac:dyDescent="0.3"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H159" s="65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  <c r="AT159" s="65"/>
      <c r="AU159" s="65"/>
      <c r="AV159" s="65"/>
      <c r="AW159" s="65"/>
      <c r="AX159" s="65"/>
      <c r="AY159" s="65"/>
      <c r="AZ159" s="65"/>
      <c r="BA159" s="65"/>
      <c r="BB159" s="65"/>
      <c r="BC159" s="65"/>
      <c r="BD159" s="65"/>
      <c r="BE159" s="65"/>
      <c r="BF159" s="65"/>
      <c r="BG159" s="65"/>
      <c r="BH159" s="65"/>
      <c r="BI159" s="65"/>
      <c r="BJ159" s="65"/>
      <c r="BK159" s="65"/>
      <c r="BL159" s="65"/>
      <c r="BM159" s="65"/>
      <c r="BN159" s="65"/>
      <c r="BO159" s="64"/>
      <c r="BP159" s="64"/>
    </row>
    <row r="160" spans="11:68" x14ac:dyDescent="0.3"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  <c r="AT160" s="65"/>
      <c r="AU160" s="65"/>
      <c r="AV160" s="65"/>
      <c r="AW160" s="65"/>
      <c r="AX160" s="65"/>
      <c r="AY160" s="65"/>
      <c r="AZ160" s="65"/>
      <c r="BA160" s="65"/>
      <c r="BB160" s="65"/>
      <c r="BC160" s="65"/>
      <c r="BD160" s="65"/>
      <c r="BE160" s="65"/>
      <c r="BF160" s="65"/>
      <c r="BG160" s="65"/>
      <c r="BH160" s="65"/>
      <c r="BI160" s="65"/>
      <c r="BJ160" s="65"/>
      <c r="BK160" s="65"/>
      <c r="BL160" s="65"/>
      <c r="BM160" s="65"/>
      <c r="BN160" s="65"/>
      <c r="BO160" s="64"/>
      <c r="BP160" s="64"/>
    </row>
    <row r="161" spans="11:68" x14ac:dyDescent="0.3"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H161" s="65"/>
      <c r="AI161" s="65"/>
      <c r="AJ161" s="65"/>
      <c r="AK161" s="65"/>
      <c r="AL161" s="65"/>
      <c r="AM161" s="65"/>
      <c r="AN161" s="65"/>
      <c r="AO161" s="65"/>
      <c r="AP161" s="65"/>
      <c r="AQ161" s="65"/>
      <c r="AR161" s="65"/>
      <c r="AS161" s="65"/>
      <c r="AT161" s="65"/>
      <c r="AU161" s="65"/>
      <c r="AV161" s="65"/>
      <c r="AW161" s="65"/>
      <c r="AX161" s="65"/>
      <c r="AY161" s="65"/>
      <c r="AZ161" s="65"/>
      <c r="BA161" s="65"/>
      <c r="BB161" s="65"/>
      <c r="BC161" s="65"/>
      <c r="BD161" s="65"/>
      <c r="BE161" s="65"/>
      <c r="BF161" s="65"/>
      <c r="BG161" s="65"/>
      <c r="BH161" s="65"/>
      <c r="BI161" s="65"/>
      <c r="BJ161" s="65"/>
      <c r="BK161" s="65"/>
      <c r="BL161" s="65"/>
      <c r="BM161" s="65"/>
      <c r="BN161" s="65"/>
      <c r="BO161" s="64"/>
      <c r="BP161" s="64"/>
    </row>
    <row r="162" spans="11:68" x14ac:dyDescent="0.3"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H162" s="65"/>
      <c r="AI162" s="65"/>
      <c r="AJ162" s="65"/>
      <c r="AK162" s="65"/>
      <c r="AL162" s="65"/>
      <c r="AM162" s="65"/>
      <c r="AN162" s="65"/>
      <c r="AO162" s="65"/>
      <c r="AP162" s="65"/>
      <c r="AQ162" s="65"/>
      <c r="AR162" s="65"/>
      <c r="AS162" s="65"/>
      <c r="AT162" s="65"/>
      <c r="AU162" s="65"/>
      <c r="AV162" s="65"/>
      <c r="AW162" s="65"/>
      <c r="AX162" s="65"/>
      <c r="AY162" s="65"/>
      <c r="AZ162" s="65"/>
      <c r="BA162" s="65"/>
      <c r="BB162" s="65"/>
      <c r="BC162" s="65"/>
      <c r="BD162" s="65"/>
      <c r="BE162" s="65"/>
      <c r="BF162" s="65"/>
      <c r="BG162" s="65"/>
      <c r="BH162" s="65"/>
      <c r="BI162" s="65"/>
      <c r="BJ162" s="65"/>
      <c r="BK162" s="65"/>
      <c r="BL162" s="65"/>
      <c r="BM162" s="65"/>
      <c r="BN162" s="65"/>
      <c r="BO162" s="64"/>
      <c r="BP162" s="64"/>
    </row>
    <row r="163" spans="11:68" x14ac:dyDescent="0.3"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/>
      <c r="BI163" s="65"/>
      <c r="BJ163" s="65"/>
      <c r="BK163" s="65"/>
      <c r="BL163" s="65"/>
      <c r="BM163" s="65"/>
      <c r="BN163" s="65"/>
      <c r="BO163" s="64"/>
      <c r="BP163" s="64"/>
    </row>
    <row r="164" spans="11:68" x14ac:dyDescent="0.3"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65"/>
      <c r="AS164" s="65"/>
      <c r="AT164" s="65"/>
      <c r="AU164" s="65"/>
      <c r="AV164" s="65"/>
      <c r="AW164" s="65"/>
      <c r="AX164" s="65"/>
      <c r="AY164" s="65"/>
      <c r="AZ164" s="65"/>
      <c r="BA164" s="65"/>
      <c r="BB164" s="65"/>
      <c r="BC164" s="65"/>
      <c r="BD164" s="65"/>
      <c r="BE164" s="65"/>
      <c r="BF164" s="65"/>
      <c r="BG164" s="65"/>
      <c r="BH164" s="65"/>
      <c r="BI164" s="65"/>
      <c r="BJ164" s="65"/>
      <c r="BK164" s="65"/>
      <c r="BL164" s="65"/>
      <c r="BM164" s="65"/>
      <c r="BN164" s="65"/>
      <c r="BO164" s="64"/>
      <c r="BP164" s="64"/>
    </row>
    <row r="165" spans="11:68" x14ac:dyDescent="0.3"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65"/>
      <c r="AS165" s="65"/>
      <c r="AT165" s="65"/>
      <c r="AU165" s="65"/>
      <c r="AV165" s="65"/>
      <c r="AW165" s="65"/>
      <c r="AX165" s="65"/>
      <c r="AY165" s="65"/>
      <c r="AZ165" s="65"/>
      <c r="BA165" s="65"/>
      <c r="BB165" s="65"/>
      <c r="BC165" s="65"/>
      <c r="BD165" s="65"/>
      <c r="BE165" s="65"/>
      <c r="BF165" s="65"/>
      <c r="BG165" s="65"/>
      <c r="BH165" s="65"/>
      <c r="BI165" s="65"/>
      <c r="BJ165" s="65"/>
      <c r="BK165" s="65"/>
      <c r="BL165" s="65"/>
      <c r="BM165" s="65"/>
      <c r="BN165" s="65"/>
      <c r="BO165" s="64"/>
      <c r="BP165" s="64"/>
    </row>
    <row r="166" spans="11:68" x14ac:dyDescent="0.3"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/>
      <c r="AJ166" s="65"/>
      <c r="AK166" s="65"/>
      <c r="AL166" s="65"/>
      <c r="AM166" s="65"/>
      <c r="AN166" s="65"/>
      <c r="AO166" s="65"/>
      <c r="AP166" s="65"/>
      <c r="AQ166" s="65"/>
      <c r="AR166" s="65"/>
      <c r="AS166" s="65"/>
      <c r="AT166" s="65"/>
      <c r="AU166" s="65"/>
      <c r="AV166" s="65"/>
      <c r="AW166" s="65"/>
      <c r="AX166" s="65"/>
      <c r="AY166" s="65"/>
      <c r="AZ166" s="65"/>
      <c r="BA166" s="65"/>
      <c r="BB166" s="65"/>
      <c r="BC166" s="65"/>
      <c r="BD166" s="65"/>
      <c r="BE166" s="65"/>
      <c r="BF166" s="65"/>
      <c r="BG166" s="65"/>
      <c r="BH166" s="65"/>
      <c r="BI166" s="65"/>
      <c r="BJ166" s="65"/>
      <c r="BK166" s="65"/>
      <c r="BL166" s="65"/>
      <c r="BM166" s="65"/>
      <c r="BN166" s="65"/>
      <c r="BO166" s="64"/>
      <c r="BP166" s="64"/>
    </row>
    <row r="167" spans="11:68" x14ac:dyDescent="0.3"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  <c r="AX167" s="65"/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4"/>
      <c r="BP167" s="64"/>
    </row>
    <row r="168" spans="11:68" x14ac:dyDescent="0.3"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  <c r="AW168" s="65"/>
      <c r="AX168" s="65"/>
      <c r="AY168" s="65"/>
      <c r="AZ168" s="65"/>
      <c r="BA168" s="65"/>
      <c r="BB168" s="65"/>
      <c r="BC168" s="65"/>
      <c r="BD168" s="65"/>
      <c r="BE168" s="65"/>
      <c r="BF168" s="65"/>
      <c r="BG168" s="65"/>
      <c r="BH168" s="65"/>
      <c r="BI168" s="65"/>
      <c r="BJ168" s="65"/>
      <c r="BK168" s="65"/>
      <c r="BL168" s="65"/>
      <c r="BM168" s="65"/>
      <c r="BN168" s="65"/>
      <c r="BO168" s="64"/>
      <c r="BP168" s="64"/>
    </row>
    <row r="169" spans="11:68" x14ac:dyDescent="0.3"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  <c r="AH169" s="65"/>
      <c r="AI169" s="65"/>
      <c r="AJ169" s="65"/>
      <c r="AK169" s="65"/>
      <c r="AL169" s="65"/>
      <c r="AM169" s="65"/>
      <c r="AN169" s="65"/>
      <c r="AO169" s="65"/>
      <c r="AP169" s="65"/>
      <c r="AQ169" s="65"/>
      <c r="AR169" s="65"/>
      <c r="AS169" s="65"/>
      <c r="AT169" s="65"/>
      <c r="AU169" s="65"/>
      <c r="AV169" s="65"/>
      <c r="AW169" s="65"/>
      <c r="AX169" s="65"/>
      <c r="AY169" s="65"/>
      <c r="AZ169" s="65"/>
      <c r="BA169" s="65"/>
      <c r="BB169" s="65"/>
      <c r="BC169" s="65"/>
      <c r="BD169" s="65"/>
      <c r="BE169" s="65"/>
      <c r="BF169" s="65"/>
      <c r="BG169" s="65"/>
      <c r="BH169" s="65"/>
      <c r="BI169" s="65"/>
      <c r="BJ169" s="65"/>
      <c r="BK169" s="65"/>
      <c r="BL169" s="65"/>
      <c r="BM169" s="65"/>
      <c r="BN169" s="65"/>
      <c r="BO169" s="64"/>
      <c r="BP169" s="64"/>
    </row>
    <row r="170" spans="11:68" x14ac:dyDescent="0.3"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  <c r="AH170" s="65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  <c r="AT170" s="65"/>
      <c r="AU170" s="65"/>
      <c r="AV170" s="65"/>
      <c r="AW170" s="65"/>
      <c r="AX170" s="65"/>
      <c r="AY170" s="65"/>
      <c r="AZ170" s="65"/>
      <c r="BA170" s="65"/>
      <c r="BB170" s="65"/>
      <c r="BC170" s="65"/>
      <c r="BD170" s="65"/>
      <c r="BE170" s="65"/>
      <c r="BF170" s="65"/>
      <c r="BG170" s="65"/>
      <c r="BH170" s="65"/>
      <c r="BI170" s="65"/>
      <c r="BJ170" s="65"/>
      <c r="BK170" s="65"/>
      <c r="BL170" s="65"/>
      <c r="BM170" s="65"/>
      <c r="BN170" s="65"/>
      <c r="BO170" s="64"/>
      <c r="BP170" s="64"/>
    </row>
    <row r="171" spans="11:68" x14ac:dyDescent="0.3"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4"/>
      <c r="BP171" s="64"/>
    </row>
    <row r="172" spans="11:68" x14ac:dyDescent="0.3"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  <c r="AT172" s="65"/>
      <c r="AU172" s="65"/>
      <c r="AV172" s="65"/>
      <c r="AW172" s="65"/>
      <c r="AX172" s="65"/>
      <c r="AY172" s="65"/>
      <c r="AZ172" s="65"/>
      <c r="BA172" s="65"/>
      <c r="BB172" s="65"/>
      <c r="BC172" s="65"/>
      <c r="BD172" s="65"/>
      <c r="BE172" s="65"/>
      <c r="BF172" s="65"/>
      <c r="BG172" s="65"/>
      <c r="BH172" s="65"/>
      <c r="BI172" s="65"/>
      <c r="BJ172" s="65"/>
      <c r="BK172" s="65"/>
      <c r="BL172" s="65"/>
      <c r="BM172" s="65"/>
      <c r="BN172" s="65"/>
      <c r="BO172" s="64"/>
      <c r="BP172" s="64"/>
    </row>
    <row r="173" spans="11:68" x14ac:dyDescent="0.3"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  <c r="AH173" s="65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  <c r="AT173" s="65"/>
      <c r="AU173" s="65"/>
      <c r="AV173" s="65"/>
      <c r="AW173" s="65"/>
      <c r="AX173" s="65"/>
      <c r="AY173" s="65"/>
      <c r="AZ173" s="65"/>
      <c r="BA173" s="65"/>
      <c r="BB173" s="65"/>
      <c r="BC173" s="65"/>
      <c r="BD173" s="65"/>
      <c r="BE173" s="65"/>
      <c r="BF173" s="65"/>
      <c r="BG173" s="65"/>
      <c r="BH173" s="65"/>
      <c r="BI173" s="65"/>
      <c r="BJ173" s="65"/>
      <c r="BK173" s="65"/>
      <c r="BL173" s="65"/>
      <c r="BM173" s="65"/>
      <c r="BN173" s="65"/>
      <c r="BO173" s="64"/>
      <c r="BP173" s="64"/>
    </row>
    <row r="174" spans="11:68" x14ac:dyDescent="0.3"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AT174" s="65"/>
      <c r="AU174" s="65"/>
      <c r="AV174" s="65"/>
      <c r="AW174" s="65"/>
      <c r="AX174" s="65"/>
      <c r="AY174" s="65"/>
      <c r="AZ174" s="65"/>
      <c r="BA174" s="65"/>
      <c r="BB174" s="65"/>
      <c r="BC174" s="65"/>
      <c r="BD174" s="65"/>
      <c r="BE174" s="65"/>
      <c r="BF174" s="65"/>
      <c r="BG174" s="65"/>
      <c r="BH174" s="65"/>
      <c r="BI174" s="65"/>
      <c r="BJ174" s="65"/>
      <c r="BK174" s="65"/>
      <c r="BL174" s="65"/>
      <c r="BM174" s="65"/>
      <c r="BN174" s="65"/>
      <c r="BO174" s="64"/>
      <c r="BP174" s="64"/>
    </row>
    <row r="175" spans="11:68" x14ac:dyDescent="0.3"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  <c r="AH175" s="65"/>
      <c r="AI175" s="65"/>
      <c r="AJ175" s="65"/>
      <c r="AK175" s="65"/>
      <c r="AL175" s="65"/>
      <c r="AM175" s="65"/>
      <c r="AN175" s="65"/>
      <c r="AO175" s="65"/>
      <c r="AP175" s="65"/>
      <c r="AQ175" s="65"/>
      <c r="AR175" s="65"/>
      <c r="AS175" s="65"/>
      <c r="AT175" s="65"/>
      <c r="AU175" s="65"/>
      <c r="AV175" s="65"/>
      <c r="AW175" s="65"/>
      <c r="AX175" s="65"/>
      <c r="AY175" s="65"/>
      <c r="AZ175" s="65"/>
      <c r="BA175" s="65"/>
      <c r="BB175" s="65"/>
      <c r="BC175" s="65"/>
      <c r="BD175" s="65"/>
      <c r="BE175" s="65"/>
      <c r="BF175" s="65"/>
      <c r="BG175" s="65"/>
      <c r="BH175" s="65"/>
      <c r="BI175" s="65"/>
      <c r="BJ175" s="65"/>
      <c r="BK175" s="65"/>
      <c r="BL175" s="65"/>
      <c r="BM175" s="65"/>
      <c r="BN175" s="65"/>
      <c r="BO175" s="64"/>
      <c r="BP175" s="64"/>
    </row>
    <row r="176" spans="11:68" x14ac:dyDescent="0.3"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  <c r="AH176" s="65"/>
      <c r="AI176" s="65"/>
      <c r="AJ176" s="65"/>
      <c r="AK176" s="65"/>
      <c r="AL176" s="65"/>
      <c r="AM176" s="65"/>
      <c r="AN176" s="65"/>
      <c r="AO176" s="65"/>
      <c r="AP176" s="65"/>
      <c r="AQ176" s="65"/>
      <c r="AR176" s="65"/>
      <c r="AS176" s="65"/>
      <c r="AT176" s="65"/>
      <c r="AU176" s="65"/>
      <c r="AV176" s="65"/>
      <c r="AW176" s="65"/>
      <c r="AX176" s="65"/>
      <c r="AY176" s="65"/>
      <c r="AZ176" s="65"/>
      <c r="BA176" s="65"/>
      <c r="BB176" s="65"/>
      <c r="BC176" s="65"/>
      <c r="BD176" s="65"/>
      <c r="BE176" s="65"/>
      <c r="BF176" s="65"/>
      <c r="BG176" s="65"/>
      <c r="BH176" s="65"/>
      <c r="BI176" s="65"/>
      <c r="BJ176" s="65"/>
      <c r="BK176" s="65"/>
      <c r="BL176" s="65"/>
      <c r="BM176" s="65"/>
      <c r="BN176" s="65"/>
      <c r="BO176" s="64"/>
      <c r="BP176" s="64"/>
    </row>
    <row r="177" spans="11:68" x14ac:dyDescent="0.3"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  <c r="AH177" s="65"/>
      <c r="AI177" s="65"/>
      <c r="AJ177" s="65"/>
      <c r="AK177" s="65"/>
      <c r="AL177" s="65"/>
      <c r="AM177" s="65"/>
      <c r="AN177" s="65"/>
      <c r="AO177" s="65"/>
      <c r="AP177" s="65"/>
      <c r="AQ177" s="65"/>
      <c r="AR177" s="65"/>
      <c r="AS177" s="65"/>
      <c r="AT177" s="65"/>
      <c r="AU177" s="65"/>
      <c r="AV177" s="65"/>
      <c r="AW177" s="65"/>
      <c r="AX177" s="65"/>
      <c r="AY177" s="65"/>
      <c r="AZ177" s="65"/>
      <c r="BA177" s="65"/>
      <c r="BB177" s="65"/>
      <c r="BC177" s="65"/>
      <c r="BD177" s="65"/>
      <c r="BE177" s="65"/>
      <c r="BF177" s="65"/>
      <c r="BG177" s="65"/>
      <c r="BH177" s="65"/>
      <c r="BI177" s="65"/>
      <c r="BJ177" s="65"/>
      <c r="BK177" s="65"/>
      <c r="BL177" s="65"/>
      <c r="BM177" s="65"/>
      <c r="BN177" s="65"/>
      <c r="BO177" s="64"/>
      <c r="BP177" s="64"/>
    </row>
    <row r="178" spans="11:68" x14ac:dyDescent="0.3"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  <c r="AH178" s="65"/>
      <c r="AI178" s="65"/>
      <c r="AJ178" s="65"/>
      <c r="AK178" s="65"/>
      <c r="AL178" s="65"/>
      <c r="AM178" s="65"/>
      <c r="AN178" s="65"/>
      <c r="AO178" s="65"/>
      <c r="AP178" s="65"/>
      <c r="AQ178" s="65"/>
      <c r="AR178" s="65"/>
      <c r="AS178" s="65"/>
      <c r="AT178" s="65"/>
      <c r="AU178" s="65"/>
      <c r="AV178" s="65"/>
      <c r="AW178" s="65"/>
      <c r="AX178" s="65"/>
      <c r="AY178" s="65"/>
      <c r="AZ178" s="65"/>
      <c r="BA178" s="65"/>
      <c r="BB178" s="65"/>
      <c r="BC178" s="65"/>
      <c r="BD178" s="65"/>
      <c r="BE178" s="65"/>
      <c r="BF178" s="65"/>
      <c r="BG178" s="65"/>
      <c r="BH178" s="65"/>
      <c r="BI178" s="65"/>
      <c r="BJ178" s="65"/>
      <c r="BK178" s="65"/>
      <c r="BL178" s="65"/>
      <c r="BM178" s="65"/>
      <c r="BN178" s="65"/>
      <c r="BO178" s="64"/>
      <c r="BP178" s="64"/>
    </row>
    <row r="179" spans="11:68" x14ac:dyDescent="0.3"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  <c r="AH179" s="65"/>
      <c r="AI179" s="65"/>
      <c r="AJ179" s="65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5"/>
      <c r="AV179" s="65"/>
      <c r="AW179" s="65"/>
      <c r="AX179" s="65"/>
      <c r="AY179" s="65"/>
      <c r="AZ179" s="65"/>
      <c r="BA179" s="65"/>
      <c r="BB179" s="65"/>
      <c r="BC179" s="65"/>
      <c r="BD179" s="65"/>
      <c r="BE179" s="65"/>
      <c r="BF179" s="65"/>
      <c r="BG179" s="65"/>
      <c r="BH179" s="65"/>
      <c r="BI179" s="65"/>
      <c r="BJ179" s="65"/>
      <c r="BK179" s="65"/>
      <c r="BL179" s="65"/>
      <c r="BM179" s="65"/>
      <c r="BN179" s="65"/>
      <c r="BO179" s="64"/>
      <c r="BP179" s="64"/>
    </row>
    <row r="180" spans="11:68" x14ac:dyDescent="0.3"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/>
      <c r="AM180" s="65"/>
      <c r="AN180" s="65"/>
      <c r="AO180" s="65"/>
      <c r="AP180" s="65"/>
      <c r="AQ180" s="65"/>
      <c r="AR180" s="65"/>
      <c r="AS180" s="65"/>
      <c r="AT180" s="65"/>
      <c r="AU180" s="65"/>
      <c r="AV180" s="65"/>
      <c r="AW180" s="65"/>
      <c r="AX180" s="65"/>
      <c r="AY180" s="65"/>
      <c r="AZ180" s="65"/>
      <c r="BA180" s="65"/>
      <c r="BB180" s="65"/>
      <c r="BC180" s="65"/>
      <c r="BD180" s="65"/>
      <c r="BE180" s="65"/>
      <c r="BF180" s="65"/>
      <c r="BG180" s="65"/>
      <c r="BH180" s="65"/>
      <c r="BI180" s="65"/>
      <c r="BJ180" s="65"/>
      <c r="BK180" s="65"/>
      <c r="BL180" s="65"/>
      <c r="BM180" s="65"/>
      <c r="BN180" s="65"/>
      <c r="BO180" s="64"/>
      <c r="BP180" s="64"/>
    </row>
    <row r="181" spans="11:68" x14ac:dyDescent="0.3"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  <c r="AT181" s="65"/>
      <c r="AU181" s="65"/>
      <c r="AV181" s="65"/>
      <c r="AW181" s="65"/>
      <c r="AX181" s="65"/>
      <c r="AY181" s="65"/>
      <c r="AZ181" s="65"/>
      <c r="BA181" s="65"/>
      <c r="BB181" s="65"/>
      <c r="BC181" s="65"/>
      <c r="BD181" s="65"/>
      <c r="BE181" s="65"/>
      <c r="BF181" s="65"/>
      <c r="BG181" s="65"/>
      <c r="BH181" s="65"/>
      <c r="BI181" s="65"/>
      <c r="BJ181" s="65"/>
      <c r="BK181" s="65"/>
      <c r="BL181" s="65"/>
      <c r="BM181" s="65"/>
      <c r="BN181" s="65"/>
      <c r="BO181" s="64"/>
      <c r="BP181" s="64"/>
    </row>
    <row r="182" spans="11:68" x14ac:dyDescent="0.3"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  <c r="AT182" s="65"/>
      <c r="AU182" s="65"/>
      <c r="AV182" s="65"/>
      <c r="AW182" s="65"/>
      <c r="AX182" s="65"/>
      <c r="AY182" s="65"/>
      <c r="AZ182" s="65"/>
      <c r="BA182" s="65"/>
      <c r="BB182" s="65"/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4"/>
      <c r="BP182" s="64"/>
    </row>
    <row r="183" spans="11:68" x14ac:dyDescent="0.3"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/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  <c r="AT183" s="65"/>
      <c r="AU183" s="65"/>
      <c r="AV183" s="65"/>
      <c r="AW183" s="65"/>
      <c r="AX183" s="65"/>
      <c r="AY183" s="65"/>
      <c r="AZ183" s="65"/>
      <c r="BA183" s="65"/>
      <c r="BB183" s="65"/>
      <c r="BC183" s="65"/>
      <c r="BD183" s="65"/>
      <c r="BE183" s="65"/>
      <c r="BF183" s="65"/>
      <c r="BG183" s="65"/>
      <c r="BH183" s="65"/>
      <c r="BI183" s="65"/>
      <c r="BJ183" s="65"/>
      <c r="BK183" s="65"/>
      <c r="BL183" s="65"/>
      <c r="BM183" s="65"/>
      <c r="BN183" s="65"/>
      <c r="BO183" s="64"/>
      <c r="BP183" s="64"/>
    </row>
    <row r="184" spans="11:68" x14ac:dyDescent="0.3"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/>
      <c r="AF184" s="65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4"/>
      <c r="BP184" s="64"/>
    </row>
    <row r="185" spans="11:68" x14ac:dyDescent="0.3"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/>
      <c r="AF185" s="65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  <c r="AT185" s="65"/>
      <c r="AU185" s="65"/>
      <c r="AV185" s="65"/>
      <c r="AW185" s="65"/>
      <c r="AX185" s="65"/>
      <c r="AY185" s="65"/>
      <c r="AZ185" s="65"/>
      <c r="BA185" s="65"/>
      <c r="BB185" s="65"/>
      <c r="BC185" s="65"/>
      <c r="BD185" s="65"/>
      <c r="BE185" s="65"/>
      <c r="BF185" s="65"/>
      <c r="BG185" s="65"/>
      <c r="BH185" s="65"/>
      <c r="BI185" s="65"/>
      <c r="BJ185" s="65"/>
      <c r="BK185" s="65"/>
      <c r="BL185" s="65"/>
      <c r="BM185" s="65"/>
      <c r="BN185" s="65"/>
      <c r="BO185" s="64"/>
      <c r="BP185" s="64"/>
    </row>
    <row r="186" spans="11:68" x14ac:dyDescent="0.3"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  <c r="AT186" s="65"/>
      <c r="AU186" s="65"/>
      <c r="AV186" s="65"/>
      <c r="AW186" s="65"/>
      <c r="AX186" s="65"/>
      <c r="AY186" s="65"/>
      <c r="AZ186" s="65"/>
      <c r="BA186" s="65"/>
      <c r="BB186" s="65"/>
      <c r="BC186" s="65"/>
      <c r="BD186" s="65"/>
      <c r="BE186" s="65"/>
      <c r="BF186" s="65"/>
      <c r="BG186" s="65"/>
      <c r="BH186" s="65"/>
      <c r="BI186" s="65"/>
      <c r="BJ186" s="65"/>
      <c r="BK186" s="65"/>
      <c r="BL186" s="65"/>
      <c r="BM186" s="65"/>
      <c r="BN186" s="65"/>
      <c r="BO186" s="64"/>
      <c r="BP186" s="64"/>
    </row>
    <row r="187" spans="11:68" x14ac:dyDescent="0.3"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  <c r="AT187" s="65"/>
      <c r="AU187" s="65"/>
      <c r="AV187" s="65"/>
      <c r="AW187" s="65"/>
      <c r="AX187" s="65"/>
      <c r="AY187" s="65"/>
      <c r="AZ187" s="65"/>
      <c r="BA187" s="65"/>
      <c r="BB187" s="65"/>
      <c r="BC187" s="65"/>
      <c r="BD187" s="65"/>
      <c r="BE187" s="65"/>
      <c r="BF187" s="65"/>
      <c r="BG187" s="65"/>
      <c r="BH187" s="65"/>
      <c r="BI187" s="65"/>
      <c r="BJ187" s="65"/>
      <c r="BK187" s="65"/>
      <c r="BL187" s="65"/>
      <c r="BM187" s="65"/>
      <c r="BN187" s="65"/>
      <c r="BO187" s="64"/>
      <c r="BP187" s="64"/>
    </row>
    <row r="188" spans="11:68" x14ac:dyDescent="0.3"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  <c r="AX188" s="65"/>
      <c r="AY188" s="65"/>
      <c r="AZ188" s="65"/>
      <c r="BA188" s="65"/>
      <c r="BB188" s="65"/>
      <c r="BC188" s="65"/>
      <c r="BD188" s="65"/>
      <c r="BE188" s="65"/>
      <c r="BF188" s="65"/>
      <c r="BG188" s="65"/>
      <c r="BH188" s="65"/>
      <c r="BI188" s="65"/>
      <c r="BJ188" s="65"/>
      <c r="BK188" s="65"/>
      <c r="BL188" s="65"/>
      <c r="BM188" s="65"/>
      <c r="BN188" s="65"/>
      <c r="BO188" s="64"/>
      <c r="BP188" s="64"/>
    </row>
    <row r="189" spans="11:68" x14ac:dyDescent="0.3"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  <c r="AF189" s="65"/>
      <c r="AG189" s="65"/>
      <c r="AH189" s="65"/>
      <c r="AI189" s="65"/>
      <c r="AJ189" s="65"/>
      <c r="AK189" s="65"/>
      <c r="AL189" s="65"/>
      <c r="AM189" s="65"/>
      <c r="AN189" s="65"/>
      <c r="AO189" s="65"/>
      <c r="AP189" s="65"/>
      <c r="AQ189" s="65"/>
      <c r="AR189" s="65"/>
      <c r="AS189" s="65"/>
      <c r="AT189" s="65"/>
      <c r="AU189" s="65"/>
      <c r="AV189" s="65"/>
      <c r="AW189" s="65"/>
      <c r="AX189" s="65"/>
      <c r="AY189" s="65"/>
      <c r="AZ189" s="65"/>
      <c r="BA189" s="65"/>
      <c r="BB189" s="65"/>
      <c r="BC189" s="65"/>
      <c r="BD189" s="65"/>
      <c r="BE189" s="65"/>
      <c r="BF189" s="65"/>
      <c r="BG189" s="65"/>
      <c r="BH189" s="65"/>
      <c r="BI189" s="65"/>
      <c r="BJ189" s="65"/>
      <c r="BK189" s="65"/>
      <c r="BL189" s="65"/>
      <c r="BM189" s="65"/>
      <c r="BN189" s="65"/>
      <c r="BO189" s="64"/>
      <c r="BP189" s="64"/>
    </row>
    <row r="190" spans="11:68" x14ac:dyDescent="0.3"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5"/>
      <c r="AC190" s="65"/>
      <c r="AD190" s="65"/>
      <c r="AE190" s="65"/>
      <c r="AF190" s="65"/>
      <c r="AG190" s="65"/>
      <c r="AH190" s="65"/>
      <c r="AI190" s="65"/>
      <c r="AJ190" s="65"/>
      <c r="AK190" s="65"/>
      <c r="AL190" s="65"/>
      <c r="AM190" s="65"/>
      <c r="AN190" s="65"/>
      <c r="AO190" s="65"/>
      <c r="AP190" s="65"/>
      <c r="AQ190" s="65"/>
      <c r="AR190" s="65"/>
      <c r="AS190" s="65"/>
      <c r="AT190" s="65"/>
      <c r="AU190" s="65"/>
      <c r="AV190" s="65"/>
      <c r="AW190" s="65"/>
      <c r="AX190" s="65"/>
      <c r="AY190" s="65"/>
      <c r="AZ190" s="65"/>
      <c r="BA190" s="65"/>
      <c r="BB190" s="65"/>
      <c r="BC190" s="65"/>
      <c r="BD190" s="65"/>
      <c r="BE190" s="65"/>
      <c r="BF190" s="65"/>
      <c r="BG190" s="65"/>
      <c r="BH190" s="65"/>
      <c r="BI190" s="65"/>
      <c r="BJ190" s="65"/>
      <c r="BK190" s="65"/>
      <c r="BL190" s="65"/>
      <c r="BM190" s="65"/>
      <c r="BN190" s="65"/>
      <c r="BO190" s="64"/>
      <c r="BP190" s="64"/>
    </row>
    <row r="191" spans="11:68" x14ac:dyDescent="0.3"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  <c r="AF191" s="65"/>
      <c r="AG191" s="65"/>
      <c r="AH191" s="65"/>
      <c r="AI191" s="65"/>
      <c r="AJ191" s="65"/>
      <c r="AK191" s="65"/>
      <c r="AL191" s="65"/>
      <c r="AM191" s="65"/>
      <c r="AN191" s="65"/>
      <c r="AO191" s="65"/>
      <c r="AP191" s="65"/>
      <c r="AQ191" s="65"/>
      <c r="AR191" s="65"/>
      <c r="AS191" s="65"/>
      <c r="AT191" s="65"/>
      <c r="AU191" s="65"/>
      <c r="AV191" s="65"/>
      <c r="AW191" s="65"/>
      <c r="AX191" s="65"/>
      <c r="AY191" s="65"/>
      <c r="AZ191" s="65"/>
      <c r="BA191" s="65"/>
      <c r="BB191" s="65"/>
      <c r="BC191" s="65"/>
      <c r="BD191" s="65"/>
      <c r="BE191" s="65"/>
      <c r="BF191" s="65"/>
      <c r="BG191" s="65"/>
      <c r="BH191" s="65"/>
      <c r="BI191" s="65"/>
      <c r="BJ191" s="65"/>
      <c r="BK191" s="65"/>
      <c r="BL191" s="65"/>
      <c r="BM191" s="65"/>
      <c r="BN191" s="65"/>
      <c r="BO191" s="64"/>
      <c r="BP191" s="64"/>
    </row>
    <row r="192" spans="11:68" x14ac:dyDescent="0.3"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  <c r="AF192" s="65"/>
      <c r="AG192" s="65"/>
      <c r="AH192" s="65"/>
      <c r="AI192" s="65"/>
      <c r="AJ192" s="65"/>
      <c r="AK192" s="65"/>
      <c r="AL192" s="65"/>
      <c r="AM192" s="65"/>
      <c r="AN192" s="65"/>
      <c r="AO192" s="65"/>
      <c r="AP192" s="65"/>
      <c r="AQ192" s="65"/>
      <c r="AR192" s="65"/>
      <c r="AS192" s="65"/>
      <c r="AT192" s="65"/>
      <c r="AU192" s="65"/>
      <c r="AV192" s="65"/>
      <c r="AW192" s="65"/>
      <c r="AX192" s="65"/>
      <c r="AY192" s="65"/>
      <c r="AZ192" s="65"/>
      <c r="BA192" s="65"/>
      <c r="BB192" s="65"/>
      <c r="BC192" s="65"/>
      <c r="BD192" s="65"/>
      <c r="BE192" s="65"/>
      <c r="BF192" s="65"/>
      <c r="BG192" s="65"/>
      <c r="BH192" s="65"/>
      <c r="BI192" s="65"/>
      <c r="BJ192" s="65"/>
      <c r="BK192" s="65"/>
      <c r="BL192" s="65"/>
      <c r="BM192" s="65"/>
      <c r="BN192" s="65"/>
      <c r="BO192" s="64"/>
      <c r="BP192" s="64"/>
    </row>
    <row r="193" spans="11:68" x14ac:dyDescent="0.3"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  <c r="AF193" s="65"/>
      <c r="AG193" s="65"/>
      <c r="AH193" s="65"/>
      <c r="AI193" s="65"/>
      <c r="AJ193" s="65"/>
      <c r="AK193" s="65"/>
      <c r="AL193" s="65"/>
      <c r="AM193" s="65"/>
      <c r="AN193" s="65"/>
      <c r="AO193" s="65"/>
      <c r="AP193" s="65"/>
      <c r="AQ193" s="65"/>
      <c r="AR193" s="65"/>
      <c r="AS193" s="65"/>
      <c r="AT193" s="65"/>
      <c r="AU193" s="65"/>
      <c r="AV193" s="65"/>
      <c r="AW193" s="65"/>
      <c r="AX193" s="65"/>
      <c r="AY193" s="65"/>
      <c r="AZ193" s="65"/>
      <c r="BA193" s="65"/>
      <c r="BB193" s="65"/>
      <c r="BC193" s="65"/>
      <c r="BD193" s="65"/>
      <c r="BE193" s="65"/>
      <c r="BF193" s="65"/>
      <c r="BG193" s="65"/>
      <c r="BH193" s="65"/>
      <c r="BI193" s="65"/>
      <c r="BJ193" s="65"/>
      <c r="BK193" s="65"/>
      <c r="BL193" s="65"/>
      <c r="BM193" s="65"/>
      <c r="BN193" s="65"/>
      <c r="BO193" s="64"/>
      <c r="BP193" s="64"/>
    </row>
    <row r="194" spans="11:68" x14ac:dyDescent="0.3"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  <c r="AF194" s="65"/>
      <c r="AG194" s="65"/>
      <c r="AH194" s="65"/>
      <c r="AI194" s="65"/>
      <c r="AJ194" s="65"/>
      <c r="AK194" s="65"/>
      <c r="AL194" s="65"/>
      <c r="AM194" s="65"/>
      <c r="AN194" s="65"/>
      <c r="AO194" s="65"/>
      <c r="AP194" s="65"/>
      <c r="AQ194" s="65"/>
      <c r="AR194" s="65"/>
      <c r="AS194" s="65"/>
      <c r="AT194" s="65"/>
      <c r="AU194" s="65"/>
      <c r="AV194" s="65"/>
      <c r="AW194" s="65"/>
      <c r="AX194" s="65"/>
      <c r="AY194" s="65"/>
      <c r="AZ194" s="65"/>
      <c r="BA194" s="65"/>
      <c r="BB194" s="65"/>
      <c r="BC194" s="65"/>
      <c r="BD194" s="65"/>
      <c r="BE194" s="65"/>
      <c r="BF194" s="65"/>
      <c r="BG194" s="65"/>
      <c r="BH194" s="65"/>
      <c r="BI194" s="65"/>
      <c r="BJ194" s="65"/>
      <c r="BK194" s="65"/>
      <c r="BL194" s="65"/>
      <c r="BM194" s="65"/>
      <c r="BN194" s="65"/>
      <c r="BO194" s="64"/>
      <c r="BP194" s="64"/>
    </row>
    <row r="195" spans="11:68" x14ac:dyDescent="0.3"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  <c r="AF195" s="65"/>
      <c r="AG195" s="65"/>
      <c r="AH195" s="65"/>
      <c r="AI195" s="65"/>
      <c r="AJ195" s="65"/>
      <c r="AK195" s="65"/>
      <c r="AL195" s="65"/>
      <c r="AM195" s="65"/>
      <c r="AN195" s="65"/>
      <c r="AO195" s="65"/>
      <c r="AP195" s="65"/>
      <c r="AQ195" s="65"/>
      <c r="AR195" s="65"/>
      <c r="AS195" s="65"/>
      <c r="AT195" s="65"/>
      <c r="AU195" s="65"/>
      <c r="AV195" s="65"/>
      <c r="AW195" s="65"/>
      <c r="AX195" s="65"/>
      <c r="AY195" s="65"/>
      <c r="AZ195" s="65"/>
      <c r="BA195" s="65"/>
      <c r="BB195" s="65"/>
      <c r="BC195" s="65"/>
      <c r="BD195" s="65"/>
      <c r="BE195" s="65"/>
      <c r="BF195" s="65"/>
      <c r="BG195" s="65"/>
      <c r="BH195" s="65"/>
      <c r="BI195" s="65"/>
      <c r="BJ195" s="65"/>
      <c r="BK195" s="65"/>
      <c r="BL195" s="65"/>
      <c r="BM195" s="65"/>
      <c r="BN195" s="65"/>
      <c r="BO195" s="64"/>
      <c r="BP195" s="64"/>
    </row>
    <row r="196" spans="11:68" x14ac:dyDescent="0.3"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  <c r="AF196" s="65"/>
      <c r="AG196" s="65"/>
      <c r="AH196" s="65"/>
      <c r="AI196" s="65"/>
      <c r="AJ196" s="65"/>
      <c r="AK196" s="65"/>
      <c r="AL196" s="65"/>
      <c r="AM196" s="65"/>
      <c r="AN196" s="65"/>
      <c r="AO196" s="65"/>
      <c r="AP196" s="65"/>
      <c r="AQ196" s="65"/>
      <c r="AR196" s="65"/>
      <c r="AS196" s="65"/>
      <c r="AT196" s="65"/>
      <c r="AU196" s="65"/>
      <c r="AV196" s="65"/>
      <c r="AW196" s="65"/>
      <c r="AX196" s="65"/>
      <c r="AY196" s="65"/>
      <c r="AZ196" s="65"/>
      <c r="BA196" s="65"/>
      <c r="BB196" s="65"/>
      <c r="BC196" s="65"/>
      <c r="BD196" s="65"/>
      <c r="BE196" s="65"/>
      <c r="BF196" s="65"/>
      <c r="BG196" s="65"/>
      <c r="BH196" s="65"/>
      <c r="BI196" s="65"/>
      <c r="BJ196" s="65"/>
      <c r="BK196" s="65"/>
      <c r="BL196" s="65"/>
      <c r="BM196" s="65"/>
      <c r="BN196" s="65"/>
      <c r="BO196" s="64"/>
      <c r="BP196" s="64"/>
    </row>
    <row r="197" spans="11:68" x14ac:dyDescent="0.3"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  <c r="AX197" s="65"/>
      <c r="AY197" s="65"/>
      <c r="AZ197" s="65"/>
      <c r="BA197" s="65"/>
      <c r="BB197" s="65"/>
      <c r="BC197" s="65"/>
      <c r="BD197" s="65"/>
      <c r="BE197" s="65"/>
      <c r="BF197" s="65"/>
      <c r="BG197" s="65"/>
      <c r="BH197" s="65"/>
      <c r="BI197" s="65"/>
      <c r="BJ197" s="65"/>
      <c r="BK197" s="65"/>
      <c r="BL197" s="65"/>
      <c r="BM197" s="65"/>
      <c r="BN197" s="65"/>
      <c r="BO197" s="64"/>
      <c r="BP197" s="64"/>
    </row>
    <row r="198" spans="11:68" x14ac:dyDescent="0.3"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4"/>
      <c r="BP198" s="64"/>
    </row>
    <row r="199" spans="11:68" x14ac:dyDescent="0.3"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  <c r="AT199" s="65"/>
      <c r="AU199" s="65"/>
      <c r="AV199" s="65"/>
      <c r="AW199" s="65"/>
      <c r="AX199" s="65"/>
      <c r="AY199" s="65"/>
      <c r="AZ199" s="65"/>
      <c r="BA199" s="65"/>
      <c r="BB199" s="65"/>
      <c r="BC199" s="65"/>
      <c r="BD199" s="65"/>
      <c r="BE199" s="65"/>
      <c r="BF199" s="65"/>
      <c r="BG199" s="65"/>
      <c r="BH199" s="65"/>
      <c r="BI199" s="65"/>
      <c r="BJ199" s="65"/>
      <c r="BK199" s="65"/>
      <c r="BL199" s="65"/>
      <c r="BM199" s="65"/>
      <c r="BN199" s="65"/>
      <c r="BO199" s="64"/>
      <c r="BP199" s="64"/>
    </row>
    <row r="200" spans="11:68" x14ac:dyDescent="0.3"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  <c r="AG200" s="65"/>
      <c r="AH200" s="65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  <c r="AT200" s="65"/>
      <c r="AU200" s="65"/>
      <c r="AV200" s="65"/>
      <c r="AW200" s="65"/>
      <c r="AX200" s="65"/>
      <c r="AY200" s="65"/>
      <c r="AZ200" s="65"/>
      <c r="BA200" s="65"/>
      <c r="BB200" s="65"/>
      <c r="BC200" s="65"/>
      <c r="BD200" s="65"/>
      <c r="BE200" s="65"/>
      <c r="BF200" s="65"/>
      <c r="BG200" s="65"/>
      <c r="BH200" s="65"/>
      <c r="BI200" s="65"/>
      <c r="BJ200" s="65"/>
      <c r="BK200" s="65"/>
      <c r="BL200" s="65"/>
      <c r="BM200" s="65"/>
      <c r="BN200" s="65"/>
      <c r="BO200" s="64"/>
      <c r="BP200" s="64"/>
    </row>
    <row r="201" spans="11:68" x14ac:dyDescent="0.3"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  <c r="AX201" s="65"/>
      <c r="AY201" s="65"/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4"/>
      <c r="BP201" s="64"/>
    </row>
    <row r="202" spans="11:68" x14ac:dyDescent="0.3"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65"/>
      <c r="AS202" s="65"/>
      <c r="AT202" s="65"/>
      <c r="AU202" s="65"/>
      <c r="AV202" s="65"/>
      <c r="AW202" s="65"/>
      <c r="AX202" s="65"/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4"/>
      <c r="BP202" s="64"/>
    </row>
    <row r="203" spans="11:68" x14ac:dyDescent="0.3"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  <c r="AG203" s="65"/>
      <c r="AH203" s="65"/>
      <c r="AI203" s="65"/>
      <c r="AJ203" s="65"/>
      <c r="AK203" s="65"/>
      <c r="AL203" s="65"/>
      <c r="AM203" s="65"/>
      <c r="AN203" s="65"/>
      <c r="AO203" s="65"/>
      <c r="AP203" s="65"/>
      <c r="AQ203" s="65"/>
      <c r="AR203" s="65"/>
      <c r="AS203" s="65"/>
      <c r="AT203" s="65"/>
      <c r="AU203" s="65"/>
      <c r="AV203" s="65"/>
      <c r="AW203" s="65"/>
      <c r="AX203" s="65"/>
      <c r="AY203" s="65"/>
      <c r="AZ203" s="65"/>
      <c r="BA203" s="65"/>
      <c r="BB203" s="65"/>
      <c r="BC203" s="65"/>
      <c r="BD203" s="65"/>
      <c r="BE203" s="65"/>
      <c r="BF203" s="65"/>
      <c r="BG203" s="65"/>
      <c r="BH203" s="65"/>
      <c r="BI203" s="65"/>
      <c r="BJ203" s="65"/>
      <c r="BK203" s="65"/>
      <c r="BL203" s="65"/>
      <c r="BM203" s="65"/>
      <c r="BN203" s="65"/>
      <c r="BO203" s="64"/>
      <c r="BP203" s="64"/>
    </row>
    <row r="204" spans="11:68" x14ac:dyDescent="0.3"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5"/>
      <c r="AC204" s="65"/>
      <c r="AD204" s="65"/>
      <c r="AE204" s="65"/>
      <c r="AF204" s="65"/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65"/>
      <c r="AS204" s="65"/>
      <c r="AT204" s="65"/>
      <c r="AU204" s="65"/>
      <c r="AV204" s="65"/>
      <c r="AW204" s="65"/>
      <c r="AX204" s="65"/>
      <c r="AY204" s="65"/>
      <c r="AZ204" s="65"/>
      <c r="BA204" s="65"/>
      <c r="BB204" s="65"/>
      <c r="BC204" s="65"/>
      <c r="BD204" s="65"/>
      <c r="BE204" s="65"/>
      <c r="BF204" s="65"/>
      <c r="BG204" s="65"/>
      <c r="BH204" s="65"/>
      <c r="BI204" s="65"/>
      <c r="BJ204" s="65"/>
      <c r="BK204" s="65"/>
      <c r="BL204" s="65"/>
      <c r="BM204" s="65"/>
      <c r="BN204" s="65"/>
      <c r="BO204" s="64"/>
      <c r="BP204" s="64"/>
    </row>
    <row r="205" spans="11:68" x14ac:dyDescent="0.3"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4"/>
      <c r="BP205" s="64"/>
    </row>
    <row r="206" spans="11:68" x14ac:dyDescent="0.3"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5"/>
      <c r="AF206" s="65"/>
      <c r="AG206" s="65"/>
      <c r="AH206" s="65"/>
      <c r="AI206" s="65"/>
      <c r="AJ206" s="65"/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  <c r="AX206" s="65"/>
      <c r="AY206" s="65"/>
      <c r="AZ206" s="65"/>
      <c r="BA206" s="65"/>
      <c r="BB206" s="65"/>
      <c r="BC206" s="65"/>
      <c r="BD206" s="65"/>
      <c r="BE206" s="65"/>
      <c r="BF206" s="65"/>
      <c r="BG206" s="65"/>
      <c r="BH206" s="65"/>
      <c r="BI206" s="65"/>
      <c r="BJ206" s="65"/>
      <c r="BK206" s="65"/>
      <c r="BL206" s="65"/>
      <c r="BM206" s="65"/>
      <c r="BN206" s="65"/>
      <c r="BO206" s="64"/>
      <c r="BP206" s="64"/>
    </row>
    <row r="207" spans="11:68" x14ac:dyDescent="0.3"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5"/>
      <c r="AG207" s="65"/>
      <c r="AH207" s="65"/>
      <c r="AI207" s="65"/>
      <c r="AJ207" s="65"/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  <c r="AX207" s="65"/>
      <c r="AY207" s="65"/>
      <c r="AZ207" s="65"/>
      <c r="BA207" s="65"/>
      <c r="BB207" s="65"/>
      <c r="BC207" s="65"/>
      <c r="BD207" s="65"/>
      <c r="BE207" s="65"/>
      <c r="BF207" s="65"/>
      <c r="BG207" s="65"/>
      <c r="BH207" s="65"/>
      <c r="BI207" s="65"/>
      <c r="BJ207" s="65"/>
      <c r="BK207" s="65"/>
      <c r="BL207" s="65"/>
      <c r="BM207" s="65"/>
      <c r="BN207" s="65"/>
      <c r="BO207" s="64"/>
      <c r="BP207" s="64"/>
    </row>
    <row r="208" spans="11:68" x14ac:dyDescent="0.3"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  <c r="AF208" s="65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AU208" s="65"/>
      <c r="AV208" s="65"/>
      <c r="AW208" s="65"/>
      <c r="AX208" s="65"/>
      <c r="AY208" s="65"/>
      <c r="AZ208" s="65"/>
      <c r="BA208" s="65"/>
      <c r="BB208" s="65"/>
      <c r="BC208" s="65"/>
      <c r="BD208" s="65"/>
      <c r="BE208" s="65"/>
      <c r="BF208" s="65"/>
      <c r="BG208" s="65"/>
      <c r="BH208" s="65"/>
      <c r="BI208" s="65"/>
      <c r="BJ208" s="65"/>
      <c r="BK208" s="65"/>
      <c r="BL208" s="65"/>
      <c r="BM208" s="65"/>
      <c r="BN208" s="65"/>
      <c r="BO208" s="64"/>
      <c r="BP208" s="64"/>
    </row>
    <row r="209" spans="11:68" x14ac:dyDescent="0.3"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  <c r="AF209" s="65"/>
      <c r="AG209" s="65"/>
      <c r="AH209" s="65"/>
      <c r="AI209" s="65"/>
      <c r="AJ209" s="65"/>
      <c r="AK209" s="65"/>
      <c r="AL209" s="65"/>
      <c r="AM209" s="65"/>
      <c r="AN209" s="65"/>
      <c r="AO209" s="65"/>
      <c r="AP209" s="65"/>
      <c r="AQ209" s="65"/>
      <c r="AR209" s="65"/>
      <c r="AS209" s="65"/>
      <c r="AT209" s="65"/>
      <c r="AU209" s="65"/>
      <c r="AV209" s="65"/>
      <c r="AW209" s="65"/>
      <c r="AX209" s="65"/>
      <c r="AY209" s="65"/>
      <c r="AZ209" s="65"/>
      <c r="BA209" s="65"/>
      <c r="BB209" s="65"/>
      <c r="BC209" s="65"/>
      <c r="BD209" s="65"/>
      <c r="BE209" s="65"/>
      <c r="BF209" s="65"/>
      <c r="BG209" s="65"/>
      <c r="BH209" s="65"/>
      <c r="BI209" s="65"/>
      <c r="BJ209" s="65"/>
      <c r="BK209" s="65"/>
      <c r="BL209" s="65"/>
      <c r="BM209" s="65"/>
      <c r="BN209" s="65"/>
      <c r="BO209" s="64"/>
      <c r="BP209" s="64"/>
    </row>
    <row r="210" spans="11:68" x14ac:dyDescent="0.3"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5"/>
      <c r="AF210" s="65"/>
      <c r="AG210" s="65"/>
      <c r="AH210" s="65"/>
      <c r="AI210" s="65"/>
      <c r="AJ210" s="65"/>
      <c r="AK210" s="65"/>
      <c r="AL210" s="65"/>
      <c r="AM210" s="65"/>
      <c r="AN210" s="65"/>
      <c r="AO210" s="65"/>
      <c r="AP210" s="65"/>
      <c r="AQ210" s="65"/>
      <c r="AR210" s="65"/>
      <c r="AS210" s="65"/>
      <c r="AT210" s="65"/>
      <c r="AU210" s="65"/>
      <c r="AV210" s="65"/>
      <c r="AW210" s="65"/>
      <c r="AX210" s="65"/>
      <c r="AY210" s="65"/>
      <c r="AZ210" s="65"/>
      <c r="BA210" s="65"/>
      <c r="BB210" s="65"/>
      <c r="BC210" s="65"/>
      <c r="BD210" s="65"/>
      <c r="BE210" s="65"/>
      <c r="BF210" s="65"/>
      <c r="BG210" s="65"/>
      <c r="BH210" s="65"/>
      <c r="BI210" s="65"/>
      <c r="BJ210" s="65"/>
      <c r="BK210" s="65"/>
      <c r="BL210" s="65"/>
      <c r="BM210" s="65"/>
      <c r="BN210" s="65"/>
      <c r="BO210" s="64"/>
      <c r="BP210" s="64"/>
    </row>
    <row r="211" spans="11:68" x14ac:dyDescent="0.3"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  <c r="AF211" s="65"/>
      <c r="AG211" s="65"/>
      <c r="AH211" s="65"/>
      <c r="AI211" s="65"/>
      <c r="AJ211" s="65"/>
      <c r="AK211" s="65"/>
      <c r="AL211" s="65"/>
      <c r="AM211" s="65"/>
      <c r="AN211" s="65"/>
      <c r="AO211" s="65"/>
      <c r="AP211" s="65"/>
      <c r="AQ211" s="65"/>
      <c r="AR211" s="65"/>
      <c r="AS211" s="65"/>
      <c r="AT211" s="65"/>
      <c r="AU211" s="65"/>
      <c r="AV211" s="65"/>
      <c r="AW211" s="65"/>
      <c r="AX211" s="65"/>
      <c r="AY211" s="65"/>
      <c r="AZ211" s="65"/>
      <c r="BA211" s="65"/>
      <c r="BB211" s="65"/>
      <c r="BC211" s="65"/>
      <c r="BD211" s="65"/>
      <c r="BE211" s="65"/>
      <c r="BF211" s="65"/>
      <c r="BG211" s="65"/>
      <c r="BH211" s="65"/>
      <c r="BI211" s="65"/>
      <c r="BJ211" s="65"/>
      <c r="BK211" s="65"/>
      <c r="BL211" s="65"/>
      <c r="BM211" s="65"/>
      <c r="BN211" s="65"/>
      <c r="BO211" s="64"/>
      <c r="BP211" s="64"/>
    </row>
    <row r="212" spans="11:68" x14ac:dyDescent="0.3"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5"/>
      <c r="AF212" s="65"/>
      <c r="AG212" s="65"/>
      <c r="AH212" s="65"/>
      <c r="AI212" s="65"/>
      <c r="AJ212" s="65"/>
      <c r="AK212" s="65"/>
      <c r="AL212" s="65"/>
      <c r="AM212" s="65"/>
      <c r="AN212" s="65"/>
      <c r="AO212" s="65"/>
      <c r="AP212" s="65"/>
      <c r="AQ212" s="65"/>
      <c r="AR212" s="65"/>
      <c r="AS212" s="65"/>
      <c r="AT212" s="65"/>
      <c r="AU212" s="65"/>
      <c r="AV212" s="65"/>
      <c r="AW212" s="65"/>
      <c r="AX212" s="65"/>
      <c r="AY212" s="65"/>
      <c r="AZ212" s="65"/>
      <c r="BA212" s="65"/>
      <c r="BB212" s="65"/>
      <c r="BC212" s="65"/>
      <c r="BD212" s="65"/>
      <c r="BE212" s="65"/>
      <c r="BF212" s="65"/>
      <c r="BG212" s="65"/>
      <c r="BH212" s="65"/>
      <c r="BI212" s="65"/>
      <c r="BJ212" s="65"/>
      <c r="BK212" s="65"/>
      <c r="BL212" s="65"/>
      <c r="BM212" s="65"/>
      <c r="BN212" s="65"/>
      <c r="BO212" s="64"/>
      <c r="BP212" s="64"/>
    </row>
    <row r="213" spans="11:68" x14ac:dyDescent="0.3"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  <c r="AG213" s="65"/>
      <c r="AH213" s="65"/>
      <c r="AI213" s="65"/>
      <c r="AJ213" s="65"/>
      <c r="AK213" s="65"/>
      <c r="AL213" s="65"/>
      <c r="AM213" s="65"/>
      <c r="AN213" s="65"/>
      <c r="AO213" s="65"/>
      <c r="AP213" s="65"/>
      <c r="AQ213" s="65"/>
      <c r="AR213" s="65"/>
      <c r="AS213" s="65"/>
      <c r="AT213" s="65"/>
      <c r="AU213" s="65"/>
      <c r="AV213" s="65"/>
      <c r="AW213" s="65"/>
      <c r="AX213" s="65"/>
      <c r="AY213" s="65"/>
      <c r="AZ213" s="65"/>
      <c r="BA213" s="65"/>
      <c r="BB213" s="65"/>
      <c r="BC213" s="65"/>
      <c r="BD213" s="65"/>
      <c r="BE213" s="65"/>
      <c r="BF213" s="65"/>
      <c r="BG213" s="65"/>
      <c r="BH213" s="65"/>
      <c r="BI213" s="65"/>
      <c r="BJ213" s="65"/>
      <c r="BK213" s="65"/>
      <c r="BL213" s="65"/>
      <c r="BM213" s="65"/>
      <c r="BN213" s="65"/>
      <c r="BO213" s="64"/>
      <c r="BP213" s="64"/>
    </row>
    <row r="214" spans="11:68" x14ac:dyDescent="0.3"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  <c r="AG214" s="65"/>
      <c r="AH214" s="65"/>
      <c r="AI214" s="65"/>
      <c r="AJ214" s="65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5"/>
      <c r="AV214" s="65"/>
      <c r="AW214" s="65"/>
      <c r="AX214" s="65"/>
      <c r="AY214" s="65"/>
      <c r="AZ214" s="65"/>
      <c r="BA214" s="65"/>
      <c r="BB214" s="65"/>
      <c r="BC214" s="65"/>
      <c r="BD214" s="65"/>
      <c r="BE214" s="65"/>
      <c r="BF214" s="65"/>
      <c r="BG214" s="65"/>
      <c r="BH214" s="65"/>
      <c r="BI214" s="65"/>
      <c r="BJ214" s="65"/>
      <c r="BK214" s="65"/>
      <c r="BL214" s="65"/>
      <c r="BM214" s="65"/>
      <c r="BN214" s="65"/>
      <c r="BO214" s="64"/>
      <c r="BP214" s="64"/>
    </row>
    <row r="215" spans="11:68" x14ac:dyDescent="0.3"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4"/>
      <c r="BP215" s="64"/>
    </row>
    <row r="216" spans="11:68" x14ac:dyDescent="0.3"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/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4"/>
      <c r="BP216" s="64"/>
    </row>
    <row r="217" spans="11:68" x14ac:dyDescent="0.3"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/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4"/>
      <c r="BP217" s="64"/>
    </row>
    <row r="218" spans="11:68" x14ac:dyDescent="0.3"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/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4"/>
      <c r="BP218" s="64"/>
    </row>
    <row r="219" spans="11:68" x14ac:dyDescent="0.3"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/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4"/>
      <c r="BP219" s="64"/>
    </row>
    <row r="220" spans="11:68" x14ac:dyDescent="0.3"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5"/>
      <c r="AR220" s="65"/>
      <c r="AS220" s="65"/>
      <c r="AT220" s="65"/>
      <c r="AU220" s="65"/>
      <c r="AV220" s="65"/>
      <c r="AW220" s="65"/>
      <c r="AX220" s="65"/>
      <c r="AY220" s="65"/>
      <c r="AZ220" s="65"/>
      <c r="BA220" s="65"/>
      <c r="BB220" s="65"/>
      <c r="BC220" s="65"/>
      <c r="BD220" s="65"/>
      <c r="BE220" s="65"/>
      <c r="BF220" s="65"/>
      <c r="BG220" s="65"/>
      <c r="BH220" s="65"/>
      <c r="BI220" s="65"/>
      <c r="BJ220" s="65"/>
      <c r="BK220" s="65"/>
      <c r="BL220" s="65"/>
      <c r="BM220" s="65"/>
      <c r="BN220" s="65"/>
      <c r="BO220" s="64"/>
      <c r="BP220" s="64"/>
    </row>
    <row r="221" spans="11:68" x14ac:dyDescent="0.3"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65"/>
      <c r="AS221" s="65"/>
      <c r="AT221" s="65"/>
      <c r="AU221" s="65"/>
      <c r="AV221" s="65"/>
      <c r="AW221" s="65"/>
      <c r="AX221" s="65"/>
      <c r="AY221" s="65"/>
      <c r="AZ221" s="65"/>
      <c r="BA221" s="65"/>
      <c r="BB221" s="65"/>
      <c r="BC221" s="65"/>
      <c r="BD221" s="65"/>
      <c r="BE221" s="65"/>
      <c r="BF221" s="65"/>
      <c r="BG221" s="65"/>
      <c r="BH221" s="65"/>
      <c r="BI221" s="65"/>
      <c r="BJ221" s="65"/>
      <c r="BK221" s="65"/>
      <c r="BL221" s="65"/>
      <c r="BM221" s="65"/>
      <c r="BN221" s="65"/>
      <c r="BO221" s="64"/>
      <c r="BP221" s="64"/>
    </row>
    <row r="222" spans="11:68" x14ac:dyDescent="0.3"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4"/>
      <c r="BP222" s="64"/>
    </row>
    <row r="223" spans="11:68" x14ac:dyDescent="0.3"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  <c r="AT223" s="65"/>
      <c r="AU223" s="65"/>
      <c r="AV223" s="65"/>
      <c r="AW223" s="65"/>
      <c r="AX223" s="65"/>
      <c r="AY223" s="65"/>
      <c r="AZ223" s="65"/>
      <c r="BA223" s="65"/>
      <c r="BB223" s="65"/>
      <c r="BC223" s="65"/>
      <c r="BD223" s="65"/>
      <c r="BE223" s="65"/>
      <c r="BF223" s="65"/>
      <c r="BG223" s="65"/>
      <c r="BH223" s="65"/>
      <c r="BI223" s="65"/>
      <c r="BJ223" s="65"/>
      <c r="BK223" s="65"/>
      <c r="BL223" s="65"/>
      <c r="BM223" s="65"/>
      <c r="BN223" s="65"/>
      <c r="BO223" s="64"/>
      <c r="BP223" s="64"/>
    </row>
    <row r="224" spans="11:68" x14ac:dyDescent="0.3"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  <c r="AT224" s="65"/>
      <c r="AU224" s="65"/>
      <c r="AV224" s="65"/>
      <c r="AW224" s="65"/>
      <c r="AX224" s="65"/>
      <c r="AY224" s="65"/>
      <c r="AZ224" s="65"/>
      <c r="BA224" s="65"/>
      <c r="BB224" s="65"/>
      <c r="BC224" s="65"/>
      <c r="BD224" s="65"/>
      <c r="BE224" s="65"/>
      <c r="BF224" s="65"/>
      <c r="BG224" s="65"/>
      <c r="BH224" s="65"/>
      <c r="BI224" s="65"/>
      <c r="BJ224" s="65"/>
      <c r="BK224" s="65"/>
      <c r="BL224" s="65"/>
      <c r="BM224" s="65"/>
      <c r="BN224" s="65"/>
      <c r="BO224" s="64"/>
      <c r="BP224" s="64"/>
    </row>
    <row r="225" spans="11:68" x14ac:dyDescent="0.3"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4"/>
      <c r="BP225" s="64"/>
    </row>
    <row r="226" spans="11:68" x14ac:dyDescent="0.3"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  <c r="AT226" s="65"/>
      <c r="AU226" s="65"/>
      <c r="AV226" s="65"/>
      <c r="AW226" s="65"/>
      <c r="AX226" s="65"/>
      <c r="AY226" s="65"/>
      <c r="AZ226" s="65"/>
      <c r="BA226" s="65"/>
      <c r="BB226" s="65"/>
      <c r="BC226" s="65"/>
      <c r="BD226" s="65"/>
      <c r="BE226" s="65"/>
      <c r="BF226" s="65"/>
      <c r="BG226" s="65"/>
      <c r="BH226" s="65"/>
      <c r="BI226" s="65"/>
      <c r="BJ226" s="65"/>
      <c r="BK226" s="65"/>
      <c r="BL226" s="65"/>
      <c r="BM226" s="65"/>
      <c r="BN226" s="65"/>
      <c r="BO226" s="64"/>
      <c r="BP226" s="64"/>
    </row>
    <row r="227" spans="11:68" x14ac:dyDescent="0.3"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65"/>
      <c r="AS227" s="65"/>
      <c r="AT227" s="65"/>
      <c r="AU227" s="65"/>
      <c r="AV227" s="65"/>
      <c r="AW227" s="65"/>
      <c r="AX227" s="65"/>
      <c r="AY227" s="65"/>
      <c r="AZ227" s="65"/>
      <c r="BA227" s="65"/>
      <c r="BB227" s="65"/>
      <c r="BC227" s="65"/>
      <c r="BD227" s="65"/>
      <c r="BE227" s="65"/>
      <c r="BF227" s="65"/>
      <c r="BG227" s="65"/>
      <c r="BH227" s="65"/>
      <c r="BI227" s="65"/>
      <c r="BJ227" s="65"/>
      <c r="BK227" s="65"/>
      <c r="BL227" s="65"/>
      <c r="BM227" s="65"/>
      <c r="BN227" s="65"/>
      <c r="BO227" s="64"/>
      <c r="BP227" s="64"/>
    </row>
    <row r="228" spans="11:68" x14ac:dyDescent="0.3"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65"/>
      <c r="AS228" s="65"/>
      <c r="AT228" s="65"/>
      <c r="AU228" s="65"/>
      <c r="AV228" s="65"/>
      <c r="AW228" s="65"/>
      <c r="AX228" s="65"/>
      <c r="AY228" s="65"/>
      <c r="AZ228" s="65"/>
      <c r="BA228" s="65"/>
      <c r="BB228" s="65"/>
      <c r="BC228" s="65"/>
      <c r="BD228" s="65"/>
      <c r="BE228" s="65"/>
      <c r="BF228" s="65"/>
      <c r="BG228" s="65"/>
      <c r="BH228" s="65"/>
      <c r="BI228" s="65"/>
      <c r="BJ228" s="65"/>
      <c r="BK228" s="65"/>
      <c r="BL228" s="65"/>
      <c r="BM228" s="65"/>
      <c r="BN228" s="65"/>
      <c r="BO228" s="64"/>
      <c r="BP228" s="64"/>
    </row>
    <row r="229" spans="11:68" x14ac:dyDescent="0.3"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4"/>
      <c r="BP229" s="64"/>
    </row>
    <row r="230" spans="11:68" x14ac:dyDescent="0.3"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5"/>
      <c r="AR230" s="65"/>
      <c r="AS230" s="65"/>
      <c r="AT230" s="65"/>
      <c r="AU230" s="65"/>
      <c r="AV230" s="65"/>
      <c r="AW230" s="65"/>
      <c r="AX230" s="65"/>
      <c r="AY230" s="65"/>
      <c r="AZ230" s="65"/>
      <c r="BA230" s="65"/>
      <c r="BB230" s="65"/>
      <c r="BC230" s="65"/>
      <c r="BD230" s="65"/>
      <c r="BE230" s="65"/>
      <c r="BF230" s="65"/>
      <c r="BG230" s="65"/>
      <c r="BH230" s="65"/>
      <c r="BI230" s="65"/>
      <c r="BJ230" s="65"/>
      <c r="BK230" s="65"/>
      <c r="BL230" s="65"/>
      <c r="BM230" s="65"/>
      <c r="BN230" s="65"/>
      <c r="BO230" s="64"/>
      <c r="BP230" s="64"/>
    </row>
    <row r="231" spans="11:68" x14ac:dyDescent="0.3"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4"/>
      <c r="BP231" s="64"/>
    </row>
    <row r="232" spans="11:68" x14ac:dyDescent="0.3"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4"/>
      <c r="BP232" s="64"/>
    </row>
    <row r="233" spans="11:68" x14ac:dyDescent="0.3"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4"/>
      <c r="BP233" s="64"/>
    </row>
    <row r="234" spans="11:68" x14ac:dyDescent="0.3"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4"/>
      <c r="BP234" s="64"/>
    </row>
    <row r="235" spans="11:68" x14ac:dyDescent="0.3"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4"/>
      <c r="BP235" s="64"/>
    </row>
    <row r="236" spans="11:68" x14ac:dyDescent="0.3"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4"/>
      <c r="BP236" s="64"/>
    </row>
    <row r="237" spans="11:68" x14ac:dyDescent="0.3"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  <c r="AT237" s="65"/>
      <c r="AU237" s="65"/>
      <c r="AV237" s="65"/>
      <c r="AW237" s="65"/>
      <c r="AX237" s="65"/>
      <c r="AY237" s="65"/>
      <c r="AZ237" s="65"/>
      <c r="BA237" s="65"/>
      <c r="BB237" s="65"/>
      <c r="BC237" s="65"/>
      <c r="BD237" s="65"/>
      <c r="BE237" s="65"/>
      <c r="BF237" s="65"/>
      <c r="BG237" s="65"/>
      <c r="BH237" s="65"/>
      <c r="BI237" s="65"/>
      <c r="BJ237" s="65"/>
      <c r="BK237" s="65"/>
      <c r="BL237" s="65"/>
      <c r="BM237" s="65"/>
      <c r="BN237" s="65"/>
      <c r="BO237" s="64"/>
      <c r="BP237" s="64"/>
    </row>
    <row r="238" spans="11:68" x14ac:dyDescent="0.3"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  <c r="AT238" s="65"/>
      <c r="AU238" s="65"/>
      <c r="AV238" s="65"/>
      <c r="AW238" s="65"/>
      <c r="AX238" s="65"/>
      <c r="AY238" s="65"/>
      <c r="AZ238" s="65"/>
      <c r="BA238" s="65"/>
      <c r="BB238" s="65"/>
      <c r="BC238" s="65"/>
      <c r="BD238" s="65"/>
      <c r="BE238" s="65"/>
      <c r="BF238" s="65"/>
      <c r="BG238" s="65"/>
      <c r="BH238" s="65"/>
      <c r="BI238" s="65"/>
      <c r="BJ238" s="65"/>
      <c r="BK238" s="65"/>
      <c r="BL238" s="65"/>
      <c r="BM238" s="65"/>
      <c r="BN238" s="65"/>
      <c r="BO238" s="64"/>
      <c r="BP238" s="64"/>
    </row>
    <row r="239" spans="11:68" x14ac:dyDescent="0.3"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4"/>
      <c r="BP239" s="64"/>
    </row>
    <row r="240" spans="11:68" x14ac:dyDescent="0.3"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5"/>
      <c r="AR240" s="65"/>
      <c r="AS240" s="65"/>
      <c r="AT240" s="65"/>
      <c r="AU240" s="65"/>
      <c r="AV240" s="65"/>
      <c r="AW240" s="65"/>
      <c r="AX240" s="65"/>
      <c r="AY240" s="65"/>
      <c r="AZ240" s="65"/>
      <c r="BA240" s="65"/>
      <c r="BB240" s="65"/>
      <c r="BC240" s="65"/>
      <c r="BD240" s="65"/>
      <c r="BE240" s="65"/>
      <c r="BF240" s="65"/>
      <c r="BG240" s="65"/>
      <c r="BH240" s="65"/>
      <c r="BI240" s="65"/>
      <c r="BJ240" s="65"/>
      <c r="BK240" s="65"/>
      <c r="BL240" s="65"/>
      <c r="BM240" s="65"/>
      <c r="BN240" s="65"/>
      <c r="BO240" s="64"/>
      <c r="BP240" s="64"/>
    </row>
    <row r="241" spans="11:68" x14ac:dyDescent="0.3"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5"/>
      <c r="AR241" s="65"/>
      <c r="AS241" s="65"/>
      <c r="AT241" s="65"/>
      <c r="AU241" s="65"/>
      <c r="AV241" s="65"/>
      <c r="AW241" s="65"/>
      <c r="AX241" s="65"/>
      <c r="AY241" s="65"/>
      <c r="AZ241" s="65"/>
      <c r="BA241" s="65"/>
      <c r="BB241" s="65"/>
      <c r="BC241" s="65"/>
      <c r="BD241" s="65"/>
      <c r="BE241" s="65"/>
      <c r="BF241" s="65"/>
      <c r="BG241" s="65"/>
      <c r="BH241" s="65"/>
      <c r="BI241" s="65"/>
      <c r="BJ241" s="65"/>
      <c r="BK241" s="65"/>
      <c r="BL241" s="65"/>
      <c r="BM241" s="65"/>
      <c r="BN241" s="65"/>
      <c r="BO241" s="64"/>
      <c r="BP241" s="64"/>
    </row>
    <row r="242" spans="11:68" x14ac:dyDescent="0.3"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5"/>
      <c r="AR242" s="65"/>
      <c r="AS242" s="65"/>
      <c r="AT242" s="65"/>
      <c r="AU242" s="65"/>
      <c r="AV242" s="65"/>
      <c r="AW242" s="65"/>
      <c r="AX242" s="65"/>
      <c r="AY242" s="65"/>
      <c r="AZ242" s="65"/>
      <c r="BA242" s="65"/>
      <c r="BB242" s="65"/>
      <c r="BC242" s="65"/>
      <c r="BD242" s="65"/>
      <c r="BE242" s="65"/>
      <c r="BF242" s="65"/>
      <c r="BG242" s="65"/>
      <c r="BH242" s="65"/>
      <c r="BI242" s="65"/>
      <c r="BJ242" s="65"/>
      <c r="BK242" s="65"/>
      <c r="BL242" s="65"/>
      <c r="BM242" s="65"/>
      <c r="BN242" s="65"/>
      <c r="BO242" s="64"/>
      <c r="BP242" s="64"/>
    </row>
    <row r="243" spans="11:68" x14ac:dyDescent="0.3"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5"/>
      <c r="AR243" s="65"/>
      <c r="AS243" s="65"/>
      <c r="AT243" s="65"/>
      <c r="AU243" s="65"/>
      <c r="AV243" s="65"/>
      <c r="AW243" s="65"/>
      <c r="AX243" s="65"/>
      <c r="AY243" s="65"/>
      <c r="AZ243" s="65"/>
      <c r="BA243" s="65"/>
      <c r="BB243" s="65"/>
      <c r="BC243" s="65"/>
      <c r="BD243" s="65"/>
      <c r="BE243" s="65"/>
      <c r="BF243" s="65"/>
      <c r="BG243" s="65"/>
      <c r="BH243" s="65"/>
      <c r="BI243" s="65"/>
      <c r="BJ243" s="65"/>
      <c r="BK243" s="65"/>
      <c r="BL243" s="65"/>
      <c r="BM243" s="65"/>
      <c r="BN243" s="65"/>
      <c r="BO243" s="64"/>
      <c r="BP243" s="64"/>
    </row>
    <row r="244" spans="11:68" x14ac:dyDescent="0.3"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5"/>
      <c r="AR244" s="65"/>
      <c r="AS244" s="65"/>
      <c r="AT244" s="65"/>
      <c r="AU244" s="65"/>
      <c r="AV244" s="65"/>
      <c r="AW244" s="65"/>
      <c r="AX244" s="65"/>
      <c r="AY244" s="65"/>
      <c r="AZ244" s="65"/>
      <c r="BA244" s="65"/>
      <c r="BB244" s="65"/>
      <c r="BC244" s="65"/>
      <c r="BD244" s="65"/>
      <c r="BE244" s="65"/>
      <c r="BF244" s="65"/>
      <c r="BG244" s="65"/>
      <c r="BH244" s="65"/>
      <c r="BI244" s="65"/>
      <c r="BJ244" s="65"/>
      <c r="BK244" s="65"/>
      <c r="BL244" s="65"/>
      <c r="BM244" s="65"/>
      <c r="BN244" s="65"/>
      <c r="BO244" s="64"/>
      <c r="BP244" s="64"/>
    </row>
    <row r="245" spans="11:68" x14ac:dyDescent="0.3"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BD245" s="65"/>
      <c r="BE245" s="65"/>
      <c r="BF245" s="65"/>
      <c r="BG245" s="65"/>
      <c r="BH245" s="65"/>
      <c r="BI245" s="65"/>
      <c r="BJ245" s="65"/>
      <c r="BK245" s="65"/>
      <c r="BL245" s="65"/>
      <c r="BM245" s="65"/>
      <c r="BN245" s="65"/>
      <c r="BO245" s="64"/>
      <c r="BP245" s="64"/>
    </row>
    <row r="246" spans="11:68" x14ac:dyDescent="0.3"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5"/>
      <c r="AR246" s="65"/>
      <c r="AS246" s="65"/>
      <c r="AT246" s="65"/>
      <c r="AU246" s="65"/>
      <c r="AV246" s="65"/>
      <c r="AW246" s="65"/>
      <c r="AX246" s="65"/>
      <c r="AY246" s="65"/>
      <c r="AZ246" s="65"/>
      <c r="BA246" s="65"/>
      <c r="BB246" s="65"/>
      <c r="BC246" s="65"/>
      <c r="BD246" s="65"/>
      <c r="BE246" s="65"/>
      <c r="BF246" s="65"/>
      <c r="BG246" s="65"/>
      <c r="BH246" s="65"/>
      <c r="BI246" s="65"/>
      <c r="BJ246" s="65"/>
      <c r="BK246" s="65"/>
      <c r="BL246" s="65"/>
      <c r="BM246" s="65"/>
      <c r="BN246" s="65"/>
      <c r="BO246" s="64"/>
      <c r="BP246" s="64"/>
    </row>
    <row r="247" spans="11:68" x14ac:dyDescent="0.3"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  <c r="AX247" s="65"/>
      <c r="AY247" s="65"/>
      <c r="AZ247" s="65"/>
      <c r="BA247" s="65"/>
      <c r="BB247" s="65"/>
      <c r="BC247" s="65"/>
      <c r="BD247" s="65"/>
      <c r="BE247" s="65"/>
      <c r="BF247" s="65"/>
      <c r="BG247" s="65"/>
      <c r="BH247" s="65"/>
      <c r="BI247" s="65"/>
      <c r="BJ247" s="65"/>
      <c r="BK247" s="65"/>
      <c r="BL247" s="65"/>
      <c r="BM247" s="65"/>
      <c r="BN247" s="65"/>
      <c r="BO247" s="64"/>
      <c r="BP247" s="64"/>
    </row>
    <row r="248" spans="11:68" x14ac:dyDescent="0.3"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5"/>
      <c r="AR248" s="65"/>
      <c r="AS248" s="65"/>
      <c r="AT248" s="65"/>
      <c r="AU248" s="65"/>
      <c r="AV248" s="65"/>
      <c r="AW248" s="65"/>
      <c r="AX248" s="65"/>
      <c r="AY248" s="65"/>
      <c r="AZ248" s="65"/>
      <c r="BA248" s="65"/>
      <c r="BB248" s="65"/>
      <c r="BC248" s="65"/>
      <c r="BD248" s="65"/>
      <c r="BE248" s="65"/>
      <c r="BF248" s="65"/>
      <c r="BG248" s="65"/>
      <c r="BH248" s="65"/>
      <c r="BI248" s="65"/>
      <c r="BJ248" s="65"/>
      <c r="BK248" s="65"/>
      <c r="BL248" s="65"/>
      <c r="BM248" s="65"/>
      <c r="BN248" s="65"/>
      <c r="BO248" s="64"/>
      <c r="BP248" s="64"/>
    </row>
    <row r="249" spans="11:68" x14ac:dyDescent="0.3"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5"/>
      <c r="AV249" s="65"/>
      <c r="AW249" s="65"/>
      <c r="AX249" s="65"/>
      <c r="AY249" s="65"/>
      <c r="AZ249" s="65"/>
      <c r="BA249" s="65"/>
      <c r="BB249" s="65"/>
      <c r="BC249" s="65"/>
      <c r="BD249" s="65"/>
      <c r="BE249" s="65"/>
      <c r="BF249" s="65"/>
      <c r="BG249" s="65"/>
      <c r="BH249" s="65"/>
      <c r="BI249" s="65"/>
      <c r="BJ249" s="65"/>
      <c r="BK249" s="65"/>
      <c r="BL249" s="65"/>
      <c r="BM249" s="65"/>
      <c r="BN249" s="65"/>
      <c r="BO249" s="64"/>
      <c r="BP249" s="64"/>
    </row>
    <row r="250" spans="11:68" x14ac:dyDescent="0.3"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5"/>
      <c r="AR250" s="65"/>
      <c r="AS250" s="65"/>
      <c r="AT250" s="65"/>
      <c r="AU250" s="65"/>
      <c r="AV250" s="65"/>
      <c r="AW250" s="65"/>
      <c r="AX250" s="65"/>
      <c r="AY250" s="65"/>
      <c r="AZ250" s="65"/>
      <c r="BA250" s="65"/>
      <c r="BB250" s="65"/>
      <c r="BC250" s="65"/>
      <c r="BD250" s="65"/>
      <c r="BE250" s="65"/>
      <c r="BF250" s="65"/>
      <c r="BG250" s="65"/>
      <c r="BH250" s="65"/>
      <c r="BI250" s="65"/>
      <c r="BJ250" s="65"/>
      <c r="BK250" s="65"/>
      <c r="BL250" s="65"/>
      <c r="BM250" s="65"/>
      <c r="BN250" s="65"/>
      <c r="BO250" s="64"/>
      <c r="BP250" s="64"/>
    </row>
    <row r="251" spans="11:68" x14ac:dyDescent="0.3"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  <c r="AX251" s="65"/>
      <c r="AY251" s="65"/>
      <c r="AZ251" s="65"/>
      <c r="BA251" s="65"/>
      <c r="BB251" s="65"/>
      <c r="BC251" s="65"/>
      <c r="BD251" s="65"/>
      <c r="BE251" s="65"/>
      <c r="BF251" s="65"/>
      <c r="BG251" s="65"/>
      <c r="BH251" s="65"/>
      <c r="BI251" s="65"/>
      <c r="BJ251" s="65"/>
      <c r="BK251" s="65"/>
      <c r="BL251" s="65"/>
      <c r="BM251" s="65"/>
      <c r="BN251" s="65"/>
      <c r="BO251" s="64"/>
      <c r="BP251" s="64"/>
    </row>
    <row r="252" spans="11:68" x14ac:dyDescent="0.3"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5"/>
      <c r="AR252" s="65"/>
      <c r="AS252" s="65"/>
      <c r="AT252" s="65"/>
      <c r="AU252" s="65"/>
      <c r="AV252" s="65"/>
      <c r="AW252" s="65"/>
      <c r="AX252" s="65"/>
      <c r="AY252" s="65"/>
      <c r="AZ252" s="65"/>
      <c r="BA252" s="65"/>
      <c r="BB252" s="65"/>
      <c r="BC252" s="65"/>
      <c r="BD252" s="65"/>
      <c r="BE252" s="65"/>
      <c r="BF252" s="65"/>
      <c r="BG252" s="65"/>
      <c r="BH252" s="65"/>
      <c r="BI252" s="65"/>
      <c r="BJ252" s="65"/>
      <c r="BK252" s="65"/>
      <c r="BL252" s="65"/>
      <c r="BM252" s="65"/>
      <c r="BN252" s="65"/>
      <c r="BO252" s="64"/>
      <c r="BP252" s="64"/>
    </row>
    <row r="253" spans="11:68" x14ac:dyDescent="0.3"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5"/>
      <c r="AR253" s="65"/>
      <c r="AS253" s="65"/>
      <c r="AT253" s="65"/>
      <c r="AU253" s="65"/>
      <c r="AV253" s="65"/>
      <c r="AW253" s="65"/>
      <c r="AX253" s="65"/>
      <c r="AY253" s="65"/>
      <c r="AZ253" s="65"/>
      <c r="BA253" s="65"/>
      <c r="BB253" s="65"/>
      <c r="BC253" s="65"/>
      <c r="BD253" s="65"/>
      <c r="BE253" s="65"/>
      <c r="BF253" s="65"/>
      <c r="BG253" s="65"/>
      <c r="BH253" s="65"/>
      <c r="BI253" s="65"/>
      <c r="BJ253" s="65"/>
      <c r="BK253" s="65"/>
      <c r="BL253" s="65"/>
      <c r="BM253" s="65"/>
      <c r="BN253" s="65"/>
      <c r="BO253" s="64"/>
      <c r="BP253" s="64"/>
    </row>
    <row r="254" spans="11:68" x14ac:dyDescent="0.3"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5"/>
      <c r="AR254" s="65"/>
      <c r="AS254" s="65"/>
      <c r="AT254" s="65"/>
      <c r="AU254" s="65"/>
      <c r="AV254" s="65"/>
      <c r="AW254" s="65"/>
      <c r="AX254" s="65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65"/>
      <c r="BM254" s="65"/>
      <c r="BN254" s="65"/>
      <c r="BO254" s="64"/>
      <c r="BP254" s="64"/>
    </row>
    <row r="255" spans="11:68" x14ac:dyDescent="0.3"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5"/>
      <c r="AR255" s="65"/>
      <c r="AS255" s="65"/>
      <c r="AT255" s="65"/>
      <c r="AU255" s="65"/>
      <c r="AV255" s="65"/>
      <c r="AW255" s="65"/>
      <c r="AX255" s="65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65"/>
      <c r="BM255" s="65"/>
      <c r="BN255" s="65"/>
      <c r="BO255" s="64"/>
      <c r="BP255" s="64"/>
    </row>
    <row r="256" spans="11:68" x14ac:dyDescent="0.3"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4"/>
      <c r="BP256" s="64"/>
    </row>
    <row r="257" spans="11:68" x14ac:dyDescent="0.3"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5"/>
      <c r="AR257" s="65"/>
      <c r="AS257" s="65"/>
      <c r="AT257" s="65"/>
      <c r="AU257" s="65"/>
      <c r="AV257" s="65"/>
      <c r="AW257" s="65"/>
      <c r="AX257" s="65"/>
      <c r="AY257" s="65"/>
      <c r="AZ257" s="65"/>
      <c r="BA257" s="65"/>
      <c r="BB257" s="65"/>
      <c r="BC257" s="65"/>
      <c r="BD257" s="65"/>
      <c r="BE257" s="65"/>
      <c r="BF257" s="65"/>
      <c r="BG257" s="65"/>
      <c r="BH257" s="65"/>
      <c r="BI257" s="65"/>
      <c r="BJ257" s="65"/>
      <c r="BK257" s="65"/>
      <c r="BL257" s="65"/>
      <c r="BM257" s="65"/>
      <c r="BN257" s="65"/>
      <c r="BO257" s="64"/>
      <c r="BP257" s="64"/>
    </row>
    <row r="258" spans="11:68" x14ac:dyDescent="0.3"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5"/>
      <c r="AR258" s="65"/>
      <c r="AS258" s="65"/>
      <c r="AT258" s="65"/>
      <c r="AU258" s="65"/>
      <c r="AV258" s="65"/>
      <c r="AW258" s="65"/>
      <c r="AX258" s="65"/>
      <c r="AY258" s="65"/>
      <c r="AZ258" s="65"/>
      <c r="BA258" s="65"/>
      <c r="BB258" s="65"/>
      <c r="BC258" s="65"/>
      <c r="BD258" s="65"/>
      <c r="BE258" s="65"/>
      <c r="BF258" s="65"/>
      <c r="BG258" s="65"/>
      <c r="BH258" s="65"/>
      <c r="BI258" s="65"/>
      <c r="BJ258" s="65"/>
      <c r="BK258" s="65"/>
      <c r="BL258" s="65"/>
      <c r="BM258" s="65"/>
      <c r="BN258" s="65"/>
      <c r="BO258" s="64"/>
      <c r="BP258" s="64"/>
    </row>
    <row r="259" spans="11:68" x14ac:dyDescent="0.3"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  <c r="AX259" s="65"/>
      <c r="AY259" s="65"/>
      <c r="AZ259" s="65"/>
      <c r="BA259" s="65"/>
      <c r="BB259" s="65"/>
      <c r="BC259" s="65"/>
      <c r="BD259" s="65"/>
      <c r="BE259" s="65"/>
      <c r="BF259" s="65"/>
      <c r="BG259" s="65"/>
      <c r="BH259" s="65"/>
      <c r="BI259" s="65"/>
      <c r="BJ259" s="65"/>
      <c r="BK259" s="65"/>
      <c r="BL259" s="65"/>
      <c r="BM259" s="65"/>
      <c r="BN259" s="65"/>
      <c r="BO259" s="64"/>
      <c r="BP259" s="64"/>
    </row>
    <row r="260" spans="11:68" x14ac:dyDescent="0.3"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4"/>
      <c r="BP260" s="64"/>
    </row>
    <row r="261" spans="11:68" x14ac:dyDescent="0.3"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5"/>
      <c r="AR261" s="65"/>
      <c r="AS261" s="65"/>
      <c r="AT261" s="65"/>
      <c r="AU261" s="65"/>
      <c r="AV261" s="65"/>
      <c r="AW261" s="65"/>
      <c r="AX261" s="65"/>
      <c r="AY261" s="65"/>
      <c r="AZ261" s="65"/>
      <c r="BA261" s="65"/>
      <c r="BB261" s="65"/>
      <c r="BC261" s="65"/>
      <c r="BD261" s="65"/>
      <c r="BE261" s="65"/>
      <c r="BF261" s="65"/>
      <c r="BG261" s="65"/>
      <c r="BH261" s="65"/>
      <c r="BI261" s="65"/>
      <c r="BJ261" s="65"/>
      <c r="BK261" s="65"/>
      <c r="BL261" s="65"/>
      <c r="BM261" s="65"/>
      <c r="BN261" s="65"/>
      <c r="BO261" s="64"/>
      <c r="BP261" s="64"/>
    </row>
    <row r="262" spans="11:68" x14ac:dyDescent="0.3"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5"/>
      <c r="AR262" s="65"/>
      <c r="AS262" s="65"/>
      <c r="AT262" s="65"/>
      <c r="AU262" s="65"/>
      <c r="AV262" s="65"/>
      <c r="AW262" s="65"/>
      <c r="AX262" s="65"/>
      <c r="AY262" s="65"/>
      <c r="AZ262" s="65"/>
      <c r="BA262" s="65"/>
      <c r="BB262" s="65"/>
      <c r="BC262" s="65"/>
      <c r="BD262" s="65"/>
      <c r="BE262" s="65"/>
      <c r="BF262" s="65"/>
      <c r="BG262" s="65"/>
      <c r="BH262" s="65"/>
      <c r="BI262" s="65"/>
      <c r="BJ262" s="65"/>
      <c r="BK262" s="65"/>
      <c r="BL262" s="65"/>
      <c r="BM262" s="65"/>
      <c r="BN262" s="65"/>
      <c r="BO262" s="64"/>
      <c r="BP262" s="64"/>
    </row>
    <row r="263" spans="11:68" x14ac:dyDescent="0.3"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4"/>
      <c r="BP263" s="64"/>
    </row>
    <row r="264" spans="11:68" x14ac:dyDescent="0.3"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4"/>
      <c r="BP264" s="64"/>
    </row>
    <row r="265" spans="11:68" x14ac:dyDescent="0.3"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4"/>
      <c r="BP265" s="64"/>
    </row>
    <row r="266" spans="11:68" x14ac:dyDescent="0.3"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4"/>
      <c r="BP266" s="64"/>
    </row>
    <row r="267" spans="11:68" x14ac:dyDescent="0.3"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4"/>
      <c r="BP267" s="64"/>
    </row>
    <row r="268" spans="11:68" x14ac:dyDescent="0.3"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4"/>
      <c r="BP268" s="64"/>
    </row>
    <row r="269" spans="11:68" x14ac:dyDescent="0.3"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4"/>
      <c r="BP269" s="64"/>
    </row>
    <row r="270" spans="11:68" x14ac:dyDescent="0.3"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4"/>
      <c r="BP270" s="64"/>
    </row>
    <row r="271" spans="11:68" x14ac:dyDescent="0.3"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5"/>
      <c r="AR271" s="65"/>
      <c r="AS271" s="65"/>
      <c r="AT271" s="65"/>
      <c r="AU271" s="65"/>
      <c r="AV271" s="65"/>
      <c r="AW271" s="65"/>
      <c r="AX271" s="65"/>
      <c r="AY271" s="65"/>
      <c r="AZ271" s="65"/>
      <c r="BA271" s="65"/>
      <c r="BB271" s="65"/>
      <c r="BC271" s="65"/>
      <c r="BD271" s="65"/>
      <c r="BE271" s="65"/>
      <c r="BF271" s="65"/>
      <c r="BG271" s="65"/>
      <c r="BH271" s="65"/>
      <c r="BI271" s="65"/>
      <c r="BJ271" s="65"/>
      <c r="BK271" s="65"/>
      <c r="BL271" s="65"/>
      <c r="BM271" s="65"/>
      <c r="BN271" s="65"/>
      <c r="BO271" s="64"/>
      <c r="BP271" s="64"/>
    </row>
    <row r="272" spans="11:68" x14ac:dyDescent="0.3"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5"/>
      <c r="AR272" s="65"/>
      <c r="AS272" s="65"/>
      <c r="AT272" s="65"/>
      <c r="AU272" s="65"/>
      <c r="AV272" s="65"/>
      <c r="AW272" s="65"/>
      <c r="AX272" s="65"/>
      <c r="AY272" s="65"/>
      <c r="AZ272" s="65"/>
      <c r="BA272" s="65"/>
      <c r="BB272" s="65"/>
      <c r="BC272" s="65"/>
      <c r="BD272" s="65"/>
      <c r="BE272" s="65"/>
      <c r="BF272" s="65"/>
      <c r="BG272" s="65"/>
      <c r="BH272" s="65"/>
      <c r="BI272" s="65"/>
      <c r="BJ272" s="65"/>
      <c r="BK272" s="65"/>
      <c r="BL272" s="65"/>
      <c r="BM272" s="65"/>
      <c r="BN272" s="65"/>
      <c r="BO272" s="64"/>
      <c r="BP272" s="64"/>
    </row>
    <row r="273" spans="11:68" x14ac:dyDescent="0.3"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4"/>
      <c r="BP273" s="64"/>
    </row>
    <row r="274" spans="11:68" x14ac:dyDescent="0.3"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5"/>
      <c r="AR274" s="65"/>
      <c r="AS274" s="65"/>
      <c r="AT274" s="65"/>
      <c r="AU274" s="65"/>
      <c r="AV274" s="65"/>
      <c r="AW274" s="65"/>
      <c r="AX274" s="65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65"/>
      <c r="BM274" s="65"/>
      <c r="BN274" s="65"/>
      <c r="BO274" s="64"/>
      <c r="BP274" s="64"/>
    </row>
    <row r="275" spans="11:68" x14ac:dyDescent="0.3"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5"/>
      <c r="AR275" s="65"/>
      <c r="AS275" s="65"/>
      <c r="AT275" s="65"/>
      <c r="AU275" s="65"/>
      <c r="AV275" s="65"/>
      <c r="AW275" s="65"/>
      <c r="AX275" s="65"/>
      <c r="AY275" s="65"/>
      <c r="AZ275" s="65"/>
      <c r="BA275" s="65"/>
      <c r="BB275" s="65"/>
      <c r="BC275" s="65"/>
      <c r="BD275" s="65"/>
      <c r="BE275" s="65"/>
      <c r="BF275" s="65"/>
      <c r="BG275" s="65"/>
      <c r="BH275" s="65"/>
      <c r="BI275" s="65"/>
      <c r="BJ275" s="65"/>
      <c r="BK275" s="65"/>
      <c r="BL275" s="65"/>
      <c r="BM275" s="65"/>
      <c r="BN275" s="65"/>
      <c r="BO275" s="64"/>
      <c r="BP275" s="64"/>
    </row>
    <row r="276" spans="11:68" x14ac:dyDescent="0.3"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5"/>
      <c r="AR276" s="65"/>
      <c r="AS276" s="65"/>
      <c r="AT276" s="65"/>
      <c r="AU276" s="65"/>
      <c r="AV276" s="65"/>
      <c r="AW276" s="65"/>
      <c r="AX276" s="65"/>
      <c r="AY276" s="65"/>
      <c r="AZ276" s="65"/>
      <c r="BA276" s="65"/>
      <c r="BB276" s="65"/>
      <c r="BC276" s="65"/>
      <c r="BD276" s="65"/>
      <c r="BE276" s="65"/>
      <c r="BF276" s="65"/>
      <c r="BG276" s="65"/>
      <c r="BH276" s="65"/>
      <c r="BI276" s="65"/>
      <c r="BJ276" s="65"/>
      <c r="BK276" s="65"/>
      <c r="BL276" s="65"/>
      <c r="BM276" s="65"/>
      <c r="BN276" s="65"/>
      <c r="BO276" s="64"/>
      <c r="BP276" s="64"/>
    </row>
    <row r="277" spans="11:68" x14ac:dyDescent="0.3"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5"/>
      <c r="AR277" s="65"/>
      <c r="AS277" s="65"/>
      <c r="AT277" s="65"/>
      <c r="AU277" s="65"/>
      <c r="AV277" s="65"/>
      <c r="AW277" s="65"/>
      <c r="AX277" s="65"/>
      <c r="AY277" s="65"/>
      <c r="AZ277" s="65"/>
      <c r="BA277" s="65"/>
      <c r="BB277" s="65"/>
      <c r="BC277" s="65"/>
      <c r="BD277" s="65"/>
      <c r="BE277" s="65"/>
      <c r="BF277" s="65"/>
      <c r="BG277" s="65"/>
      <c r="BH277" s="65"/>
      <c r="BI277" s="65"/>
      <c r="BJ277" s="65"/>
      <c r="BK277" s="65"/>
      <c r="BL277" s="65"/>
      <c r="BM277" s="65"/>
      <c r="BN277" s="65"/>
      <c r="BO277" s="64"/>
      <c r="BP277" s="64"/>
    </row>
    <row r="278" spans="11:68" x14ac:dyDescent="0.3"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5"/>
      <c r="AC278" s="65"/>
      <c r="AD278" s="65"/>
      <c r="AE278" s="65"/>
      <c r="AF278" s="65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5"/>
      <c r="AR278" s="65"/>
      <c r="AS278" s="65"/>
      <c r="AT278" s="65"/>
      <c r="AU278" s="65"/>
      <c r="AV278" s="65"/>
      <c r="AW278" s="65"/>
      <c r="AX278" s="65"/>
      <c r="AY278" s="65"/>
      <c r="AZ278" s="65"/>
      <c r="BA278" s="65"/>
      <c r="BB278" s="65"/>
      <c r="BC278" s="65"/>
      <c r="BD278" s="65"/>
      <c r="BE278" s="65"/>
      <c r="BF278" s="65"/>
      <c r="BG278" s="65"/>
      <c r="BH278" s="65"/>
      <c r="BI278" s="65"/>
      <c r="BJ278" s="65"/>
      <c r="BK278" s="65"/>
      <c r="BL278" s="65"/>
      <c r="BM278" s="65"/>
      <c r="BN278" s="65"/>
      <c r="BO278" s="64"/>
      <c r="BP278" s="64"/>
    </row>
    <row r="279" spans="11:68" x14ac:dyDescent="0.3"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5"/>
      <c r="AC279" s="65"/>
      <c r="AD279" s="65"/>
      <c r="AE279" s="65"/>
      <c r="AF279" s="65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5"/>
      <c r="AR279" s="65"/>
      <c r="AS279" s="65"/>
      <c r="AT279" s="65"/>
      <c r="AU279" s="65"/>
      <c r="AV279" s="65"/>
      <c r="AW279" s="65"/>
      <c r="AX279" s="65"/>
      <c r="AY279" s="65"/>
      <c r="AZ279" s="65"/>
      <c r="BA279" s="65"/>
      <c r="BB279" s="65"/>
      <c r="BC279" s="65"/>
      <c r="BD279" s="65"/>
      <c r="BE279" s="65"/>
      <c r="BF279" s="65"/>
      <c r="BG279" s="65"/>
      <c r="BH279" s="65"/>
      <c r="BI279" s="65"/>
      <c r="BJ279" s="65"/>
      <c r="BK279" s="65"/>
      <c r="BL279" s="65"/>
      <c r="BM279" s="65"/>
      <c r="BN279" s="65"/>
      <c r="BO279" s="64"/>
      <c r="BP279" s="64"/>
    </row>
    <row r="280" spans="11:68" x14ac:dyDescent="0.3"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5"/>
      <c r="AC280" s="65"/>
      <c r="AD280" s="65"/>
      <c r="AE280" s="65"/>
      <c r="AF280" s="65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5"/>
      <c r="AR280" s="65"/>
      <c r="AS280" s="65"/>
      <c r="AT280" s="65"/>
      <c r="AU280" s="65"/>
      <c r="AV280" s="65"/>
      <c r="AW280" s="65"/>
      <c r="AX280" s="65"/>
      <c r="AY280" s="65"/>
      <c r="AZ280" s="65"/>
      <c r="BA280" s="65"/>
      <c r="BB280" s="65"/>
      <c r="BC280" s="65"/>
      <c r="BD280" s="65"/>
      <c r="BE280" s="65"/>
      <c r="BF280" s="65"/>
      <c r="BG280" s="65"/>
      <c r="BH280" s="65"/>
      <c r="BI280" s="65"/>
      <c r="BJ280" s="65"/>
      <c r="BK280" s="65"/>
      <c r="BL280" s="65"/>
      <c r="BM280" s="65"/>
      <c r="BN280" s="65"/>
      <c r="BO280" s="64"/>
      <c r="BP280" s="64"/>
    </row>
    <row r="281" spans="11:68" x14ac:dyDescent="0.3"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5"/>
      <c r="AC281" s="65"/>
      <c r="AD281" s="65"/>
      <c r="AE281" s="65"/>
      <c r="AF281" s="65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5"/>
      <c r="AR281" s="65"/>
      <c r="AS281" s="65"/>
      <c r="AT281" s="65"/>
      <c r="AU281" s="65"/>
      <c r="AV281" s="65"/>
      <c r="AW281" s="65"/>
      <c r="AX281" s="65"/>
      <c r="AY281" s="65"/>
      <c r="AZ281" s="65"/>
      <c r="BA281" s="65"/>
      <c r="BB281" s="65"/>
      <c r="BC281" s="65"/>
      <c r="BD281" s="65"/>
      <c r="BE281" s="65"/>
      <c r="BF281" s="65"/>
      <c r="BG281" s="65"/>
      <c r="BH281" s="65"/>
      <c r="BI281" s="65"/>
      <c r="BJ281" s="65"/>
      <c r="BK281" s="65"/>
      <c r="BL281" s="65"/>
      <c r="BM281" s="65"/>
      <c r="BN281" s="65"/>
      <c r="BO281" s="64"/>
      <c r="BP281" s="64"/>
    </row>
    <row r="282" spans="11:68" x14ac:dyDescent="0.3"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/>
      <c r="BI282" s="65"/>
      <c r="BJ282" s="65"/>
      <c r="BK282" s="65"/>
      <c r="BL282" s="65"/>
      <c r="BM282" s="65"/>
      <c r="BN282" s="65"/>
      <c r="BO282" s="64"/>
      <c r="BP282" s="64"/>
    </row>
    <row r="283" spans="11:68" x14ac:dyDescent="0.3"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/>
      <c r="BH283" s="65"/>
      <c r="BI283" s="65"/>
      <c r="BJ283" s="65"/>
      <c r="BK283" s="65"/>
      <c r="BL283" s="65"/>
      <c r="BM283" s="65"/>
      <c r="BN283" s="65"/>
      <c r="BO283" s="64"/>
      <c r="BP283" s="64"/>
    </row>
    <row r="284" spans="11:68" x14ac:dyDescent="0.3"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  <c r="AF284" s="65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/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4"/>
      <c r="BP284" s="64"/>
    </row>
    <row r="285" spans="11:68" x14ac:dyDescent="0.3"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/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4"/>
      <c r="BP285" s="64"/>
    </row>
    <row r="286" spans="11:68" x14ac:dyDescent="0.3"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/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4"/>
      <c r="BP286" s="64"/>
    </row>
    <row r="287" spans="11:68" x14ac:dyDescent="0.3"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4"/>
      <c r="BP287" s="64"/>
    </row>
    <row r="288" spans="11:68" x14ac:dyDescent="0.3"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5"/>
      <c r="AC288" s="65"/>
      <c r="AD288" s="65"/>
      <c r="AE288" s="65"/>
      <c r="AF288" s="65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5"/>
      <c r="AR288" s="65"/>
      <c r="AS288" s="65"/>
      <c r="AT288" s="65"/>
      <c r="AU288" s="65"/>
      <c r="AV288" s="65"/>
      <c r="AW288" s="65"/>
      <c r="AX288" s="65"/>
      <c r="AY288" s="65"/>
      <c r="AZ288" s="65"/>
      <c r="BA288" s="65"/>
      <c r="BB288" s="65"/>
      <c r="BC288" s="65"/>
      <c r="BD288" s="65"/>
      <c r="BE288" s="65"/>
      <c r="BF288" s="65"/>
      <c r="BG288" s="65"/>
      <c r="BH288" s="65"/>
      <c r="BI288" s="65"/>
      <c r="BJ288" s="65"/>
      <c r="BK288" s="65"/>
      <c r="BL288" s="65"/>
      <c r="BM288" s="65"/>
      <c r="BN288" s="65"/>
      <c r="BO288" s="64"/>
      <c r="BP288" s="64"/>
    </row>
    <row r="289" spans="11:68" x14ac:dyDescent="0.3"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5"/>
      <c r="AC289" s="65"/>
      <c r="AD289" s="65"/>
      <c r="AE289" s="65"/>
      <c r="AF289" s="65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5"/>
      <c r="AR289" s="65"/>
      <c r="AS289" s="65"/>
      <c r="AT289" s="65"/>
      <c r="AU289" s="65"/>
      <c r="AV289" s="65"/>
      <c r="AW289" s="65"/>
      <c r="AX289" s="65"/>
      <c r="AY289" s="65"/>
      <c r="AZ289" s="65"/>
      <c r="BA289" s="65"/>
      <c r="BB289" s="65"/>
      <c r="BC289" s="65"/>
      <c r="BD289" s="65"/>
      <c r="BE289" s="65"/>
      <c r="BF289" s="65"/>
      <c r="BG289" s="65"/>
      <c r="BH289" s="65"/>
      <c r="BI289" s="65"/>
      <c r="BJ289" s="65"/>
      <c r="BK289" s="65"/>
      <c r="BL289" s="65"/>
      <c r="BM289" s="65"/>
      <c r="BN289" s="65"/>
      <c r="BO289" s="64"/>
      <c r="BP289" s="64"/>
    </row>
    <row r="290" spans="11:68" x14ac:dyDescent="0.3"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5"/>
      <c r="AC290" s="65"/>
      <c r="AD290" s="65"/>
      <c r="AE290" s="65"/>
      <c r="AF290" s="65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5"/>
      <c r="AR290" s="65"/>
      <c r="AS290" s="65"/>
      <c r="AT290" s="65"/>
      <c r="AU290" s="65"/>
      <c r="AV290" s="65"/>
      <c r="AW290" s="65"/>
      <c r="AX290" s="65"/>
      <c r="AY290" s="65"/>
      <c r="AZ290" s="65"/>
      <c r="BA290" s="65"/>
      <c r="BB290" s="65"/>
      <c r="BC290" s="65"/>
      <c r="BD290" s="65"/>
      <c r="BE290" s="65"/>
      <c r="BF290" s="65"/>
      <c r="BG290" s="65"/>
      <c r="BH290" s="65"/>
      <c r="BI290" s="65"/>
      <c r="BJ290" s="65"/>
      <c r="BK290" s="65"/>
      <c r="BL290" s="65"/>
      <c r="BM290" s="65"/>
      <c r="BN290" s="65"/>
      <c r="BO290" s="64"/>
      <c r="BP290" s="64"/>
    </row>
    <row r="291" spans="11:68" x14ac:dyDescent="0.3"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4"/>
      <c r="BP291" s="64"/>
    </row>
    <row r="292" spans="11:68" x14ac:dyDescent="0.3"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5"/>
      <c r="AC292" s="65"/>
      <c r="AD292" s="65"/>
      <c r="AE292" s="65"/>
      <c r="AF292" s="65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5"/>
      <c r="AR292" s="65"/>
      <c r="AS292" s="65"/>
      <c r="AT292" s="65"/>
      <c r="AU292" s="65"/>
      <c r="AV292" s="65"/>
      <c r="AW292" s="65"/>
      <c r="AX292" s="65"/>
      <c r="AY292" s="65"/>
      <c r="AZ292" s="65"/>
      <c r="BA292" s="65"/>
      <c r="BB292" s="65"/>
      <c r="BC292" s="65"/>
      <c r="BD292" s="65"/>
      <c r="BE292" s="65"/>
      <c r="BF292" s="65"/>
      <c r="BG292" s="65"/>
      <c r="BH292" s="65"/>
      <c r="BI292" s="65"/>
      <c r="BJ292" s="65"/>
      <c r="BK292" s="65"/>
      <c r="BL292" s="65"/>
      <c r="BM292" s="65"/>
      <c r="BN292" s="65"/>
      <c r="BO292" s="64"/>
      <c r="BP292" s="64"/>
    </row>
    <row r="293" spans="11:68" x14ac:dyDescent="0.3"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4"/>
      <c r="BP293" s="64"/>
    </row>
    <row r="294" spans="11:68" x14ac:dyDescent="0.3"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4"/>
      <c r="BP294" s="64"/>
    </row>
    <row r="295" spans="11:68" x14ac:dyDescent="0.3"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4"/>
      <c r="BP295" s="64"/>
    </row>
    <row r="296" spans="11:68" x14ac:dyDescent="0.3"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5"/>
      <c r="AC296" s="65"/>
      <c r="AD296" s="65"/>
      <c r="AE296" s="65"/>
      <c r="AF296" s="65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5"/>
      <c r="AR296" s="65"/>
      <c r="AS296" s="65"/>
      <c r="AT296" s="65"/>
      <c r="AU296" s="65"/>
      <c r="AV296" s="65"/>
      <c r="AW296" s="65"/>
      <c r="AX296" s="65"/>
      <c r="AY296" s="65"/>
      <c r="AZ296" s="65"/>
      <c r="BA296" s="65"/>
      <c r="BB296" s="65"/>
      <c r="BC296" s="65"/>
      <c r="BD296" s="65"/>
      <c r="BE296" s="65"/>
      <c r="BF296" s="65"/>
      <c r="BG296" s="65"/>
      <c r="BH296" s="65"/>
      <c r="BI296" s="65"/>
      <c r="BJ296" s="65"/>
      <c r="BK296" s="65"/>
      <c r="BL296" s="65"/>
      <c r="BM296" s="65"/>
      <c r="BN296" s="65"/>
      <c r="BO296" s="64"/>
      <c r="BP296" s="64"/>
    </row>
    <row r="297" spans="11:68" x14ac:dyDescent="0.3"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5"/>
      <c r="AC297" s="65"/>
      <c r="AD297" s="65"/>
      <c r="AE297" s="65"/>
      <c r="AF297" s="65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5"/>
      <c r="AR297" s="65"/>
      <c r="AS297" s="65"/>
      <c r="AT297" s="65"/>
      <c r="AU297" s="65"/>
      <c r="AV297" s="65"/>
      <c r="AW297" s="65"/>
      <c r="AX297" s="65"/>
      <c r="AY297" s="65"/>
      <c r="AZ297" s="65"/>
      <c r="BA297" s="65"/>
      <c r="BB297" s="65"/>
      <c r="BC297" s="65"/>
      <c r="BD297" s="65"/>
      <c r="BE297" s="65"/>
      <c r="BF297" s="65"/>
      <c r="BG297" s="65"/>
      <c r="BH297" s="65"/>
      <c r="BI297" s="65"/>
      <c r="BJ297" s="65"/>
      <c r="BK297" s="65"/>
      <c r="BL297" s="65"/>
      <c r="BM297" s="65"/>
      <c r="BN297" s="65"/>
      <c r="BO297" s="64"/>
      <c r="BP297" s="64"/>
    </row>
    <row r="298" spans="11:68" x14ac:dyDescent="0.3"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5"/>
      <c r="AC298" s="65"/>
      <c r="AD298" s="65"/>
      <c r="AE298" s="65"/>
      <c r="AF298" s="65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5"/>
      <c r="AR298" s="65"/>
      <c r="AS298" s="65"/>
      <c r="AT298" s="65"/>
      <c r="AU298" s="65"/>
      <c r="AV298" s="65"/>
      <c r="AW298" s="65"/>
      <c r="AX298" s="65"/>
      <c r="AY298" s="65"/>
      <c r="AZ298" s="65"/>
      <c r="BA298" s="65"/>
      <c r="BB298" s="65"/>
      <c r="BC298" s="65"/>
      <c r="BD298" s="65"/>
      <c r="BE298" s="65"/>
      <c r="BF298" s="65"/>
      <c r="BG298" s="65"/>
      <c r="BH298" s="65"/>
      <c r="BI298" s="65"/>
      <c r="BJ298" s="65"/>
      <c r="BK298" s="65"/>
      <c r="BL298" s="65"/>
      <c r="BM298" s="65"/>
      <c r="BN298" s="65"/>
      <c r="BO298" s="64"/>
      <c r="BP298" s="64"/>
    </row>
    <row r="299" spans="11:68" x14ac:dyDescent="0.3"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5"/>
      <c r="AC299" s="65"/>
      <c r="AD299" s="65"/>
      <c r="AE299" s="65"/>
      <c r="AF299" s="65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5"/>
      <c r="AR299" s="65"/>
      <c r="AS299" s="65"/>
      <c r="AT299" s="65"/>
      <c r="AU299" s="65"/>
      <c r="AV299" s="65"/>
      <c r="AW299" s="65"/>
      <c r="AX299" s="65"/>
      <c r="AY299" s="65"/>
      <c r="AZ299" s="65"/>
      <c r="BA299" s="65"/>
      <c r="BB299" s="65"/>
      <c r="BC299" s="65"/>
      <c r="BD299" s="65"/>
      <c r="BE299" s="65"/>
      <c r="BF299" s="65"/>
      <c r="BG299" s="65"/>
      <c r="BH299" s="65"/>
      <c r="BI299" s="65"/>
      <c r="BJ299" s="65"/>
      <c r="BK299" s="65"/>
      <c r="BL299" s="65"/>
      <c r="BM299" s="65"/>
      <c r="BN299" s="65"/>
      <c r="BO299" s="64"/>
      <c r="BP299" s="64"/>
    </row>
    <row r="300" spans="11:68" x14ac:dyDescent="0.3"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5"/>
      <c r="AC300" s="65"/>
      <c r="AD300" s="65"/>
      <c r="AE300" s="65"/>
      <c r="AF300" s="65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5"/>
      <c r="AR300" s="65"/>
      <c r="AS300" s="65"/>
      <c r="AT300" s="65"/>
      <c r="AU300" s="65"/>
      <c r="AV300" s="65"/>
      <c r="AW300" s="65"/>
      <c r="AX300" s="65"/>
      <c r="AY300" s="65"/>
      <c r="AZ300" s="65"/>
      <c r="BA300" s="65"/>
      <c r="BB300" s="65"/>
      <c r="BC300" s="65"/>
      <c r="BD300" s="65"/>
      <c r="BE300" s="65"/>
      <c r="BF300" s="65"/>
      <c r="BG300" s="65"/>
      <c r="BH300" s="65"/>
      <c r="BI300" s="65"/>
      <c r="BJ300" s="65"/>
      <c r="BK300" s="65"/>
      <c r="BL300" s="65"/>
      <c r="BM300" s="65"/>
      <c r="BN300" s="65"/>
      <c r="BO300" s="64"/>
      <c r="BP300" s="64"/>
    </row>
    <row r="301" spans="11:68" x14ac:dyDescent="0.3"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5"/>
      <c r="AC301" s="65"/>
      <c r="AD301" s="65"/>
      <c r="AE301" s="65"/>
      <c r="AF301" s="65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5"/>
      <c r="AR301" s="65"/>
      <c r="AS301" s="65"/>
      <c r="AT301" s="65"/>
      <c r="AU301" s="65"/>
      <c r="AV301" s="65"/>
      <c r="AW301" s="65"/>
      <c r="AX301" s="65"/>
      <c r="AY301" s="65"/>
      <c r="AZ301" s="65"/>
      <c r="BA301" s="65"/>
      <c r="BB301" s="65"/>
      <c r="BC301" s="65"/>
      <c r="BD301" s="65"/>
      <c r="BE301" s="65"/>
      <c r="BF301" s="65"/>
      <c r="BG301" s="65"/>
      <c r="BH301" s="65"/>
      <c r="BI301" s="65"/>
      <c r="BJ301" s="65"/>
      <c r="BK301" s="65"/>
      <c r="BL301" s="65"/>
      <c r="BM301" s="65"/>
      <c r="BN301" s="65"/>
      <c r="BO301" s="64"/>
      <c r="BP301" s="64"/>
    </row>
    <row r="302" spans="11:68" x14ac:dyDescent="0.3"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5"/>
      <c r="AC302" s="65"/>
      <c r="AD302" s="65"/>
      <c r="AE302" s="65"/>
      <c r="AF302" s="65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5"/>
      <c r="AR302" s="65"/>
      <c r="AS302" s="65"/>
      <c r="AT302" s="65"/>
      <c r="AU302" s="65"/>
      <c r="AV302" s="65"/>
      <c r="AW302" s="65"/>
      <c r="AX302" s="65"/>
      <c r="AY302" s="65"/>
      <c r="AZ302" s="65"/>
      <c r="BA302" s="65"/>
      <c r="BB302" s="65"/>
      <c r="BC302" s="65"/>
      <c r="BD302" s="65"/>
      <c r="BE302" s="65"/>
      <c r="BF302" s="65"/>
      <c r="BG302" s="65"/>
      <c r="BH302" s="65"/>
      <c r="BI302" s="65"/>
      <c r="BJ302" s="65"/>
      <c r="BK302" s="65"/>
      <c r="BL302" s="65"/>
      <c r="BM302" s="65"/>
      <c r="BN302" s="65"/>
      <c r="BO302" s="64"/>
      <c r="BP302" s="64"/>
    </row>
    <row r="303" spans="11:68" x14ac:dyDescent="0.3"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5"/>
      <c r="AC303" s="65"/>
      <c r="AD303" s="65"/>
      <c r="AE303" s="65"/>
      <c r="AF303" s="65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5"/>
      <c r="AR303" s="65"/>
      <c r="AS303" s="65"/>
      <c r="AT303" s="65"/>
      <c r="AU303" s="65"/>
      <c r="AV303" s="65"/>
      <c r="AW303" s="65"/>
      <c r="AX303" s="65"/>
      <c r="AY303" s="65"/>
      <c r="AZ303" s="65"/>
      <c r="BA303" s="65"/>
      <c r="BB303" s="65"/>
      <c r="BC303" s="65"/>
      <c r="BD303" s="65"/>
      <c r="BE303" s="65"/>
      <c r="BF303" s="65"/>
      <c r="BG303" s="65"/>
      <c r="BH303" s="65"/>
      <c r="BI303" s="65"/>
      <c r="BJ303" s="65"/>
      <c r="BK303" s="65"/>
      <c r="BL303" s="65"/>
      <c r="BM303" s="65"/>
      <c r="BN303" s="65"/>
      <c r="BO303" s="64"/>
      <c r="BP303" s="64"/>
    </row>
    <row r="304" spans="11:68" x14ac:dyDescent="0.3"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5"/>
      <c r="AC304" s="65"/>
      <c r="AD304" s="65"/>
      <c r="AE304" s="65"/>
      <c r="AF304" s="65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5"/>
      <c r="AR304" s="65"/>
      <c r="AS304" s="65"/>
      <c r="AT304" s="65"/>
      <c r="AU304" s="65"/>
      <c r="AV304" s="65"/>
      <c r="AW304" s="65"/>
      <c r="AX304" s="65"/>
      <c r="AY304" s="65"/>
      <c r="AZ304" s="65"/>
      <c r="BA304" s="65"/>
      <c r="BB304" s="65"/>
      <c r="BC304" s="65"/>
      <c r="BD304" s="65"/>
      <c r="BE304" s="65"/>
      <c r="BF304" s="65"/>
      <c r="BG304" s="65"/>
      <c r="BH304" s="65"/>
      <c r="BI304" s="65"/>
      <c r="BJ304" s="65"/>
      <c r="BK304" s="65"/>
      <c r="BL304" s="65"/>
      <c r="BM304" s="65"/>
      <c r="BN304" s="65"/>
      <c r="BO304" s="64"/>
      <c r="BP304" s="64"/>
    </row>
    <row r="305" spans="11:68" x14ac:dyDescent="0.3"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5"/>
      <c r="AC305" s="65"/>
      <c r="AD305" s="65"/>
      <c r="AE305" s="65"/>
      <c r="AF305" s="65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5"/>
      <c r="AR305" s="65"/>
      <c r="AS305" s="65"/>
      <c r="AT305" s="65"/>
      <c r="AU305" s="65"/>
      <c r="AV305" s="65"/>
      <c r="AW305" s="65"/>
      <c r="AX305" s="65"/>
      <c r="AY305" s="65"/>
      <c r="AZ305" s="65"/>
      <c r="BA305" s="65"/>
      <c r="BB305" s="65"/>
      <c r="BC305" s="65"/>
      <c r="BD305" s="65"/>
      <c r="BE305" s="65"/>
      <c r="BF305" s="65"/>
      <c r="BG305" s="65"/>
      <c r="BH305" s="65"/>
      <c r="BI305" s="65"/>
      <c r="BJ305" s="65"/>
      <c r="BK305" s="65"/>
      <c r="BL305" s="65"/>
      <c r="BM305" s="65"/>
      <c r="BN305" s="65"/>
      <c r="BO305" s="64"/>
      <c r="BP305" s="64"/>
    </row>
    <row r="306" spans="11:68" x14ac:dyDescent="0.3"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5"/>
      <c r="AC306" s="65"/>
      <c r="AD306" s="65"/>
      <c r="AE306" s="65"/>
      <c r="AF306" s="65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5"/>
      <c r="AR306" s="65"/>
      <c r="AS306" s="65"/>
      <c r="AT306" s="65"/>
      <c r="AU306" s="65"/>
      <c r="AV306" s="65"/>
      <c r="AW306" s="65"/>
      <c r="AX306" s="65"/>
      <c r="AY306" s="65"/>
      <c r="AZ306" s="65"/>
      <c r="BA306" s="65"/>
      <c r="BB306" s="65"/>
      <c r="BC306" s="65"/>
      <c r="BD306" s="65"/>
      <c r="BE306" s="65"/>
      <c r="BF306" s="65"/>
      <c r="BG306" s="65"/>
      <c r="BH306" s="65"/>
      <c r="BI306" s="65"/>
      <c r="BJ306" s="65"/>
      <c r="BK306" s="65"/>
      <c r="BL306" s="65"/>
      <c r="BM306" s="65"/>
      <c r="BN306" s="65"/>
      <c r="BO306" s="64"/>
      <c r="BP306" s="64"/>
    </row>
    <row r="307" spans="11:68" x14ac:dyDescent="0.3"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  <c r="AF307" s="65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5"/>
      <c r="AR307" s="65"/>
      <c r="AS307" s="65"/>
      <c r="AT307" s="65"/>
      <c r="AU307" s="65"/>
      <c r="AV307" s="65"/>
      <c r="AW307" s="65"/>
      <c r="AX307" s="65"/>
      <c r="AY307" s="65"/>
      <c r="AZ307" s="65"/>
      <c r="BA307" s="65"/>
      <c r="BB307" s="65"/>
      <c r="BC307" s="65"/>
      <c r="BD307" s="65"/>
      <c r="BE307" s="65"/>
      <c r="BF307" s="65"/>
      <c r="BG307" s="65"/>
      <c r="BH307" s="65"/>
      <c r="BI307" s="65"/>
      <c r="BJ307" s="65"/>
      <c r="BK307" s="65"/>
      <c r="BL307" s="65"/>
      <c r="BM307" s="65"/>
      <c r="BN307" s="65"/>
      <c r="BO307" s="64"/>
      <c r="BP307" s="64"/>
    </row>
    <row r="308" spans="11:68" x14ac:dyDescent="0.3"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5"/>
      <c r="AC308" s="65"/>
      <c r="AD308" s="65"/>
      <c r="AE308" s="65"/>
      <c r="AF308" s="65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5"/>
      <c r="AR308" s="65"/>
      <c r="AS308" s="65"/>
      <c r="AT308" s="65"/>
      <c r="AU308" s="65"/>
      <c r="AV308" s="65"/>
      <c r="AW308" s="65"/>
      <c r="AX308" s="65"/>
      <c r="AY308" s="65"/>
      <c r="AZ308" s="65"/>
      <c r="BA308" s="65"/>
      <c r="BB308" s="65"/>
      <c r="BC308" s="65"/>
      <c r="BD308" s="65"/>
      <c r="BE308" s="65"/>
      <c r="BF308" s="65"/>
      <c r="BG308" s="65"/>
      <c r="BH308" s="65"/>
      <c r="BI308" s="65"/>
      <c r="BJ308" s="65"/>
      <c r="BK308" s="65"/>
      <c r="BL308" s="65"/>
      <c r="BM308" s="65"/>
      <c r="BN308" s="65"/>
      <c r="BO308" s="64"/>
      <c r="BP308" s="64"/>
    </row>
    <row r="309" spans="11:68" x14ac:dyDescent="0.3"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5"/>
      <c r="AC309" s="65"/>
      <c r="AD309" s="65"/>
      <c r="AE309" s="65"/>
      <c r="AF309" s="65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5"/>
      <c r="AR309" s="65"/>
      <c r="AS309" s="65"/>
      <c r="AT309" s="65"/>
      <c r="AU309" s="65"/>
      <c r="AV309" s="65"/>
      <c r="AW309" s="65"/>
      <c r="AX309" s="65"/>
      <c r="AY309" s="65"/>
      <c r="AZ309" s="65"/>
      <c r="BA309" s="65"/>
      <c r="BB309" s="65"/>
      <c r="BC309" s="65"/>
      <c r="BD309" s="65"/>
      <c r="BE309" s="65"/>
      <c r="BF309" s="65"/>
      <c r="BG309" s="65"/>
      <c r="BH309" s="65"/>
      <c r="BI309" s="65"/>
      <c r="BJ309" s="65"/>
      <c r="BK309" s="65"/>
      <c r="BL309" s="65"/>
      <c r="BM309" s="65"/>
      <c r="BN309" s="65"/>
      <c r="BO309" s="64"/>
      <c r="BP309" s="64"/>
    </row>
    <row r="310" spans="11:68" x14ac:dyDescent="0.3"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5"/>
      <c r="AC310" s="65"/>
      <c r="AD310" s="65"/>
      <c r="AE310" s="65"/>
      <c r="AF310" s="65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5"/>
      <c r="AR310" s="65"/>
      <c r="AS310" s="65"/>
      <c r="AT310" s="65"/>
      <c r="AU310" s="65"/>
      <c r="AV310" s="65"/>
      <c r="AW310" s="65"/>
      <c r="AX310" s="65"/>
      <c r="AY310" s="65"/>
      <c r="AZ310" s="65"/>
      <c r="BA310" s="65"/>
      <c r="BB310" s="65"/>
      <c r="BC310" s="65"/>
      <c r="BD310" s="65"/>
      <c r="BE310" s="65"/>
      <c r="BF310" s="65"/>
      <c r="BG310" s="65"/>
      <c r="BH310" s="65"/>
      <c r="BI310" s="65"/>
      <c r="BJ310" s="65"/>
      <c r="BK310" s="65"/>
      <c r="BL310" s="65"/>
      <c r="BM310" s="65"/>
      <c r="BN310" s="65"/>
      <c r="BO310" s="64"/>
      <c r="BP310" s="64"/>
    </row>
    <row r="311" spans="11:68" x14ac:dyDescent="0.3"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5"/>
      <c r="AC311" s="65"/>
      <c r="AD311" s="65"/>
      <c r="AE311" s="65"/>
      <c r="AF311" s="65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5"/>
      <c r="AR311" s="65"/>
      <c r="AS311" s="65"/>
      <c r="AT311" s="65"/>
      <c r="AU311" s="65"/>
      <c r="AV311" s="65"/>
      <c r="AW311" s="65"/>
      <c r="AX311" s="65"/>
      <c r="AY311" s="65"/>
      <c r="AZ311" s="65"/>
      <c r="BA311" s="65"/>
      <c r="BB311" s="65"/>
      <c r="BC311" s="65"/>
      <c r="BD311" s="65"/>
      <c r="BE311" s="65"/>
      <c r="BF311" s="65"/>
      <c r="BG311" s="65"/>
      <c r="BH311" s="65"/>
      <c r="BI311" s="65"/>
      <c r="BJ311" s="65"/>
      <c r="BK311" s="65"/>
      <c r="BL311" s="65"/>
      <c r="BM311" s="65"/>
      <c r="BN311" s="65"/>
      <c r="BO311" s="64"/>
      <c r="BP311" s="64"/>
    </row>
    <row r="312" spans="11:68" x14ac:dyDescent="0.3"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5"/>
      <c r="AC312" s="65"/>
      <c r="AD312" s="65"/>
      <c r="AE312" s="65"/>
      <c r="AF312" s="65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5"/>
      <c r="AR312" s="65"/>
      <c r="AS312" s="65"/>
      <c r="AT312" s="65"/>
      <c r="AU312" s="65"/>
      <c r="AV312" s="65"/>
      <c r="AW312" s="65"/>
      <c r="AX312" s="65"/>
      <c r="AY312" s="65"/>
      <c r="AZ312" s="65"/>
      <c r="BA312" s="65"/>
      <c r="BB312" s="65"/>
      <c r="BC312" s="65"/>
      <c r="BD312" s="65"/>
      <c r="BE312" s="65"/>
      <c r="BF312" s="65"/>
      <c r="BG312" s="65"/>
      <c r="BH312" s="65"/>
      <c r="BI312" s="65"/>
      <c r="BJ312" s="65"/>
      <c r="BK312" s="65"/>
      <c r="BL312" s="65"/>
      <c r="BM312" s="65"/>
      <c r="BN312" s="65"/>
      <c r="BO312" s="64"/>
      <c r="BP312" s="64"/>
    </row>
    <row r="313" spans="11:68" x14ac:dyDescent="0.3"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5"/>
      <c r="AC313" s="65"/>
      <c r="AD313" s="65"/>
      <c r="AE313" s="65"/>
      <c r="AF313" s="65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5"/>
      <c r="AR313" s="65"/>
      <c r="AS313" s="65"/>
      <c r="AT313" s="65"/>
      <c r="AU313" s="65"/>
      <c r="AV313" s="65"/>
      <c r="AW313" s="65"/>
      <c r="AX313" s="65"/>
      <c r="AY313" s="65"/>
      <c r="AZ313" s="65"/>
      <c r="BA313" s="65"/>
      <c r="BB313" s="65"/>
      <c r="BC313" s="65"/>
      <c r="BD313" s="65"/>
      <c r="BE313" s="65"/>
      <c r="BF313" s="65"/>
      <c r="BG313" s="65"/>
      <c r="BH313" s="65"/>
      <c r="BI313" s="65"/>
      <c r="BJ313" s="65"/>
      <c r="BK313" s="65"/>
      <c r="BL313" s="65"/>
      <c r="BM313" s="65"/>
      <c r="BN313" s="65"/>
      <c r="BO313" s="64"/>
      <c r="BP313" s="64"/>
    </row>
    <row r="314" spans="11:68" x14ac:dyDescent="0.3"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5"/>
      <c r="AC314" s="65"/>
      <c r="AD314" s="65"/>
      <c r="AE314" s="65"/>
      <c r="AF314" s="65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5"/>
      <c r="AR314" s="65"/>
      <c r="AS314" s="65"/>
      <c r="AT314" s="65"/>
      <c r="AU314" s="65"/>
      <c r="AV314" s="65"/>
      <c r="AW314" s="65"/>
      <c r="AX314" s="65"/>
      <c r="AY314" s="65"/>
      <c r="AZ314" s="65"/>
      <c r="BA314" s="65"/>
      <c r="BB314" s="65"/>
      <c r="BC314" s="65"/>
      <c r="BD314" s="65"/>
      <c r="BE314" s="65"/>
      <c r="BF314" s="65"/>
      <c r="BG314" s="65"/>
      <c r="BH314" s="65"/>
      <c r="BI314" s="65"/>
      <c r="BJ314" s="65"/>
      <c r="BK314" s="65"/>
      <c r="BL314" s="65"/>
      <c r="BM314" s="65"/>
      <c r="BN314" s="65"/>
      <c r="BO314" s="64"/>
      <c r="BP314" s="64"/>
    </row>
    <row r="315" spans="11:68" x14ac:dyDescent="0.3"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5"/>
      <c r="AC315" s="65"/>
      <c r="AD315" s="65"/>
      <c r="AE315" s="65"/>
      <c r="AF315" s="65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5"/>
      <c r="AR315" s="65"/>
      <c r="AS315" s="65"/>
      <c r="AT315" s="65"/>
      <c r="AU315" s="65"/>
      <c r="AV315" s="65"/>
      <c r="AW315" s="65"/>
      <c r="AX315" s="65"/>
      <c r="AY315" s="65"/>
      <c r="AZ315" s="65"/>
      <c r="BA315" s="65"/>
      <c r="BB315" s="65"/>
      <c r="BC315" s="65"/>
      <c r="BD315" s="65"/>
      <c r="BE315" s="65"/>
      <c r="BF315" s="65"/>
      <c r="BG315" s="65"/>
      <c r="BH315" s="65"/>
      <c r="BI315" s="65"/>
      <c r="BJ315" s="65"/>
      <c r="BK315" s="65"/>
      <c r="BL315" s="65"/>
      <c r="BM315" s="65"/>
      <c r="BN315" s="65"/>
      <c r="BO315" s="64"/>
      <c r="BP315" s="64"/>
    </row>
    <row r="316" spans="11:68" x14ac:dyDescent="0.3"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5"/>
      <c r="AC316" s="65"/>
      <c r="AD316" s="65"/>
      <c r="AE316" s="65"/>
      <c r="AF316" s="65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5"/>
      <c r="AR316" s="65"/>
      <c r="AS316" s="65"/>
      <c r="AT316" s="65"/>
      <c r="AU316" s="65"/>
      <c r="AV316" s="65"/>
      <c r="AW316" s="65"/>
      <c r="AX316" s="65"/>
      <c r="AY316" s="65"/>
      <c r="AZ316" s="65"/>
      <c r="BA316" s="65"/>
      <c r="BB316" s="65"/>
      <c r="BC316" s="65"/>
      <c r="BD316" s="65"/>
      <c r="BE316" s="65"/>
      <c r="BF316" s="65"/>
      <c r="BG316" s="65"/>
      <c r="BH316" s="65"/>
      <c r="BI316" s="65"/>
      <c r="BJ316" s="65"/>
      <c r="BK316" s="65"/>
      <c r="BL316" s="65"/>
      <c r="BM316" s="65"/>
      <c r="BN316" s="65"/>
      <c r="BO316" s="64"/>
      <c r="BP316" s="64"/>
    </row>
    <row r="317" spans="11:68" x14ac:dyDescent="0.3"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5"/>
      <c r="AC317" s="65"/>
      <c r="AD317" s="65"/>
      <c r="AE317" s="65"/>
      <c r="AF317" s="65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5"/>
      <c r="AR317" s="65"/>
      <c r="AS317" s="65"/>
      <c r="AT317" s="65"/>
      <c r="AU317" s="65"/>
      <c r="AV317" s="65"/>
      <c r="AW317" s="65"/>
      <c r="AX317" s="65"/>
      <c r="AY317" s="65"/>
      <c r="AZ317" s="65"/>
      <c r="BA317" s="65"/>
      <c r="BB317" s="65"/>
      <c r="BC317" s="65"/>
      <c r="BD317" s="65"/>
      <c r="BE317" s="65"/>
      <c r="BF317" s="65"/>
      <c r="BG317" s="65"/>
      <c r="BH317" s="65"/>
      <c r="BI317" s="65"/>
      <c r="BJ317" s="65"/>
      <c r="BK317" s="65"/>
      <c r="BL317" s="65"/>
      <c r="BM317" s="65"/>
      <c r="BN317" s="65"/>
      <c r="BO317" s="64"/>
      <c r="BP317" s="64"/>
    </row>
    <row r="318" spans="11:68" x14ac:dyDescent="0.3"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4"/>
      <c r="BP318" s="64"/>
    </row>
    <row r="319" spans="11:68" x14ac:dyDescent="0.3"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5"/>
      <c r="AC319" s="65"/>
      <c r="AD319" s="65"/>
      <c r="AE319" s="65"/>
      <c r="AF319" s="65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5"/>
      <c r="AV319" s="65"/>
      <c r="AW319" s="65"/>
      <c r="AX319" s="65"/>
      <c r="AY319" s="65"/>
      <c r="AZ319" s="65"/>
      <c r="BA319" s="65"/>
      <c r="BB319" s="65"/>
      <c r="BC319" s="65"/>
      <c r="BD319" s="65"/>
      <c r="BE319" s="65"/>
      <c r="BF319" s="65"/>
      <c r="BG319" s="65"/>
      <c r="BH319" s="65"/>
      <c r="BI319" s="65"/>
      <c r="BJ319" s="65"/>
      <c r="BK319" s="65"/>
      <c r="BL319" s="65"/>
      <c r="BM319" s="65"/>
      <c r="BN319" s="65"/>
      <c r="BO319" s="64"/>
      <c r="BP319" s="64"/>
    </row>
    <row r="320" spans="11:68" x14ac:dyDescent="0.3"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5"/>
      <c r="AC320" s="65"/>
      <c r="AD320" s="65"/>
      <c r="AE320" s="65"/>
      <c r="AF320" s="65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5"/>
      <c r="AR320" s="65"/>
      <c r="AS320" s="65"/>
      <c r="AT320" s="65"/>
      <c r="AU320" s="65"/>
      <c r="AV320" s="65"/>
      <c r="AW320" s="65"/>
      <c r="AX320" s="65"/>
      <c r="AY320" s="65"/>
      <c r="AZ320" s="65"/>
      <c r="BA320" s="65"/>
      <c r="BB320" s="65"/>
      <c r="BC320" s="65"/>
      <c r="BD320" s="65"/>
      <c r="BE320" s="65"/>
      <c r="BF320" s="65"/>
      <c r="BG320" s="65"/>
      <c r="BH320" s="65"/>
      <c r="BI320" s="65"/>
      <c r="BJ320" s="65"/>
      <c r="BK320" s="65"/>
      <c r="BL320" s="65"/>
      <c r="BM320" s="65"/>
      <c r="BN320" s="65"/>
      <c r="BO320" s="64"/>
      <c r="BP320" s="64"/>
    </row>
    <row r="321" spans="11:68" x14ac:dyDescent="0.3"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5"/>
      <c r="AC321" s="65"/>
      <c r="AD321" s="65"/>
      <c r="AE321" s="65"/>
      <c r="AF321" s="65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5"/>
      <c r="AR321" s="65"/>
      <c r="AS321" s="65"/>
      <c r="AT321" s="65"/>
      <c r="AU321" s="65"/>
      <c r="AV321" s="65"/>
      <c r="AW321" s="65"/>
      <c r="AX321" s="65"/>
      <c r="AY321" s="65"/>
      <c r="AZ321" s="65"/>
      <c r="BA321" s="65"/>
      <c r="BB321" s="65"/>
      <c r="BC321" s="65"/>
      <c r="BD321" s="65"/>
      <c r="BE321" s="65"/>
      <c r="BF321" s="65"/>
      <c r="BG321" s="65"/>
      <c r="BH321" s="65"/>
      <c r="BI321" s="65"/>
      <c r="BJ321" s="65"/>
      <c r="BK321" s="65"/>
      <c r="BL321" s="65"/>
      <c r="BM321" s="65"/>
      <c r="BN321" s="65"/>
      <c r="BO321" s="64"/>
      <c r="BP321" s="64"/>
    </row>
    <row r="322" spans="11:68" x14ac:dyDescent="0.3"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4"/>
      <c r="BP322" s="64"/>
    </row>
    <row r="323" spans="11:68" x14ac:dyDescent="0.3"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4"/>
      <c r="BP323" s="64"/>
    </row>
    <row r="324" spans="11:68" x14ac:dyDescent="0.3"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4"/>
      <c r="BP324" s="64"/>
    </row>
    <row r="325" spans="11:68" x14ac:dyDescent="0.3"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4"/>
      <c r="BP325" s="64"/>
    </row>
    <row r="326" spans="11:68" x14ac:dyDescent="0.3"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4"/>
      <c r="BP326" s="64"/>
    </row>
    <row r="327" spans="11:68" x14ac:dyDescent="0.3"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4"/>
      <c r="BP327" s="64"/>
    </row>
    <row r="328" spans="11:68" x14ac:dyDescent="0.3"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4"/>
      <c r="BP328" s="64"/>
    </row>
    <row r="329" spans="11:68" x14ac:dyDescent="0.3"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4"/>
      <c r="BP329" s="64"/>
    </row>
    <row r="330" spans="11:68" x14ac:dyDescent="0.3"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4"/>
      <c r="BP330" s="64"/>
    </row>
    <row r="331" spans="11:68" x14ac:dyDescent="0.3"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4"/>
      <c r="BP331" s="64"/>
    </row>
    <row r="332" spans="11:68" x14ac:dyDescent="0.3"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4"/>
      <c r="BP332" s="64"/>
    </row>
    <row r="333" spans="11:68" x14ac:dyDescent="0.3"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4"/>
      <c r="BP333" s="64"/>
    </row>
    <row r="334" spans="11:68" x14ac:dyDescent="0.3"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4"/>
      <c r="BP334" s="64"/>
    </row>
    <row r="335" spans="11:68" x14ac:dyDescent="0.3"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4"/>
      <c r="BP335" s="64"/>
    </row>
    <row r="336" spans="11:68" x14ac:dyDescent="0.3"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4"/>
      <c r="BP336" s="64"/>
    </row>
    <row r="337" spans="11:68" x14ac:dyDescent="0.3"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/>
      <c r="BO337" s="64"/>
      <c r="BP337" s="64"/>
    </row>
    <row r="338" spans="11:68" x14ac:dyDescent="0.3"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4"/>
      <c r="BP338" s="64"/>
    </row>
    <row r="339" spans="11:68" x14ac:dyDescent="0.3"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4"/>
      <c r="BP339" s="64"/>
    </row>
    <row r="340" spans="11:68" x14ac:dyDescent="0.3"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4"/>
      <c r="BP340" s="64"/>
    </row>
    <row r="341" spans="11:68" x14ac:dyDescent="0.3"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4"/>
      <c r="BP341" s="64"/>
    </row>
    <row r="342" spans="11:68" x14ac:dyDescent="0.3"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5"/>
      <c r="AC342" s="65"/>
      <c r="AD342" s="65"/>
      <c r="AE342" s="65"/>
      <c r="AF342" s="65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5"/>
      <c r="AR342" s="65"/>
      <c r="AS342" s="65"/>
      <c r="AT342" s="65"/>
      <c r="AU342" s="65"/>
      <c r="AV342" s="65"/>
      <c r="AW342" s="65"/>
      <c r="AX342" s="65"/>
      <c r="AY342" s="65"/>
      <c r="AZ342" s="65"/>
      <c r="BA342" s="65"/>
      <c r="BB342" s="65"/>
      <c r="BC342" s="65"/>
      <c r="BD342" s="65"/>
      <c r="BE342" s="65"/>
      <c r="BF342" s="65"/>
      <c r="BG342" s="65"/>
      <c r="BH342" s="65"/>
      <c r="BI342" s="65"/>
      <c r="BJ342" s="65"/>
      <c r="BK342" s="65"/>
      <c r="BL342" s="65"/>
      <c r="BM342" s="65"/>
      <c r="BN342" s="65"/>
      <c r="BO342" s="64"/>
      <c r="BP342" s="64"/>
    </row>
    <row r="343" spans="11:68" x14ac:dyDescent="0.3"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5"/>
      <c r="AC343" s="65"/>
      <c r="AD343" s="65"/>
      <c r="AE343" s="65"/>
      <c r="AF343" s="65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5"/>
      <c r="AR343" s="65"/>
      <c r="AS343" s="65"/>
      <c r="AT343" s="65"/>
      <c r="AU343" s="65"/>
      <c r="AV343" s="65"/>
      <c r="AW343" s="65"/>
      <c r="AX343" s="65"/>
      <c r="AY343" s="65"/>
      <c r="AZ343" s="65"/>
      <c r="BA343" s="65"/>
      <c r="BB343" s="65"/>
      <c r="BC343" s="65"/>
      <c r="BD343" s="65"/>
      <c r="BE343" s="65"/>
      <c r="BF343" s="65"/>
      <c r="BG343" s="65"/>
      <c r="BH343" s="65"/>
      <c r="BI343" s="65"/>
      <c r="BJ343" s="65"/>
      <c r="BK343" s="65"/>
      <c r="BL343" s="65"/>
      <c r="BM343" s="65"/>
      <c r="BN343" s="65"/>
      <c r="BO343" s="64"/>
      <c r="BP343" s="64"/>
    </row>
    <row r="344" spans="11:68" x14ac:dyDescent="0.3"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5"/>
      <c r="AC344" s="65"/>
      <c r="AD344" s="65"/>
      <c r="AE344" s="65"/>
      <c r="AF344" s="65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5"/>
      <c r="AR344" s="65"/>
      <c r="AS344" s="65"/>
      <c r="AT344" s="65"/>
      <c r="AU344" s="65"/>
      <c r="AV344" s="65"/>
      <c r="AW344" s="65"/>
      <c r="AX344" s="65"/>
      <c r="AY344" s="65"/>
      <c r="AZ344" s="65"/>
      <c r="BA344" s="65"/>
      <c r="BB344" s="65"/>
      <c r="BC344" s="65"/>
      <c r="BD344" s="65"/>
      <c r="BE344" s="65"/>
      <c r="BF344" s="65"/>
      <c r="BG344" s="65"/>
      <c r="BH344" s="65"/>
      <c r="BI344" s="65"/>
      <c r="BJ344" s="65"/>
      <c r="BK344" s="65"/>
      <c r="BL344" s="65"/>
      <c r="BM344" s="65"/>
      <c r="BN344" s="65"/>
      <c r="BO344" s="64"/>
      <c r="BP344" s="64"/>
    </row>
    <row r="345" spans="11:68" x14ac:dyDescent="0.3"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5"/>
      <c r="AC345" s="65"/>
      <c r="AD345" s="65"/>
      <c r="AE345" s="65"/>
      <c r="AF345" s="65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5"/>
      <c r="AR345" s="65"/>
      <c r="AS345" s="65"/>
      <c r="AT345" s="65"/>
      <c r="AU345" s="65"/>
      <c r="AV345" s="65"/>
      <c r="AW345" s="65"/>
      <c r="AX345" s="65"/>
      <c r="AY345" s="65"/>
      <c r="AZ345" s="65"/>
      <c r="BA345" s="65"/>
      <c r="BB345" s="65"/>
      <c r="BC345" s="65"/>
      <c r="BD345" s="65"/>
      <c r="BE345" s="65"/>
      <c r="BF345" s="65"/>
      <c r="BG345" s="65"/>
      <c r="BH345" s="65"/>
      <c r="BI345" s="65"/>
      <c r="BJ345" s="65"/>
      <c r="BK345" s="65"/>
      <c r="BL345" s="65"/>
      <c r="BM345" s="65"/>
      <c r="BN345" s="65"/>
      <c r="BO345" s="64"/>
      <c r="BP345" s="64"/>
    </row>
    <row r="346" spans="11:68" x14ac:dyDescent="0.3"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5"/>
      <c r="AC346" s="65"/>
      <c r="AD346" s="65"/>
      <c r="AE346" s="65"/>
      <c r="AF346" s="65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5"/>
      <c r="AR346" s="65"/>
      <c r="AS346" s="65"/>
      <c r="AT346" s="65"/>
      <c r="AU346" s="65"/>
      <c r="AV346" s="65"/>
      <c r="AW346" s="65"/>
      <c r="AX346" s="65"/>
      <c r="AY346" s="65"/>
      <c r="AZ346" s="65"/>
      <c r="BA346" s="65"/>
      <c r="BB346" s="65"/>
      <c r="BC346" s="65"/>
      <c r="BD346" s="65"/>
      <c r="BE346" s="65"/>
      <c r="BF346" s="65"/>
      <c r="BG346" s="65"/>
      <c r="BH346" s="65"/>
      <c r="BI346" s="65"/>
      <c r="BJ346" s="65"/>
      <c r="BK346" s="65"/>
      <c r="BL346" s="65"/>
      <c r="BM346" s="65"/>
      <c r="BN346" s="65"/>
      <c r="BO346" s="64"/>
      <c r="BP346" s="64"/>
    </row>
    <row r="347" spans="11:68" x14ac:dyDescent="0.3"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5"/>
      <c r="AC347" s="65"/>
      <c r="AD347" s="65"/>
      <c r="AE347" s="65"/>
      <c r="AF347" s="65"/>
      <c r="AG347" s="65"/>
      <c r="AH347" s="65"/>
      <c r="AI347" s="65"/>
      <c r="AJ347" s="65"/>
      <c r="AK347" s="65"/>
      <c r="AL347" s="65"/>
      <c r="AM347" s="65"/>
      <c r="AN347" s="65"/>
      <c r="AO347" s="65"/>
      <c r="AP347" s="65"/>
      <c r="AQ347" s="65"/>
      <c r="AR347" s="65"/>
      <c r="AS347" s="65"/>
      <c r="AT347" s="65"/>
      <c r="AU347" s="65"/>
      <c r="AV347" s="65"/>
      <c r="AW347" s="65"/>
      <c r="AX347" s="65"/>
      <c r="AY347" s="65"/>
      <c r="AZ347" s="65"/>
      <c r="BA347" s="65"/>
      <c r="BB347" s="65"/>
      <c r="BC347" s="65"/>
      <c r="BD347" s="65"/>
      <c r="BE347" s="65"/>
      <c r="BF347" s="65"/>
      <c r="BG347" s="65"/>
      <c r="BH347" s="65"/>
      <c r="BI347" s="65"/>
      <c r="BJ347" s="65"/>
      <c r="BK347" s="65"/>
      <c r="BL347" s="65"/>
      <c r="BM347" s="65"/>
      <c r="BN347" s="65"/>
      <c r="BO347" s="64"/>
      <c r="BP347" s="64"/>
    </row>
    <row r="348" spans="11:68" x14ac:dyDescent="0.3"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5"/>
      <c r="AC348" s="65"/>
      <c r="AD348" s="65"/>
      <c r="AE348" s="65"/>
      <c r="AF348" s="65"/>
      <c r="AG348" s="65"/>
      <c r="AH348" s="65"/>
      <c r="AI348" s="65"/>
      <c r="AJ348" s="65"/>
      <c r="AK348" s="65"/>
      <c r="AL348" s="65"/>
      <c r="AM348" s="65"/>
      <c r="AN348" s="65"/>
      <c r="AO348" s="65"/>
      <c r="AP348" s="65"/>
      <c r="AQ348" s="65"/>
      <c r="AR348" s="65"/>
      <c r="AS348" s="65"/>
      <c r="AT348" s="65"/>
      <c r="AU348" s="65"/>
      <c r="AV348" s="65"/>
      <c r="AW348" s="65"/>
      <c r="AX348" s="65"/>
      <c r="AY348" s="65"/>
      <c r="AZ348" s="65"/>
      <c r="BA348" s="65"/>
      <c r="BB348" s="65"/>
      <c r="BC348" s="65"/>
      <c r="BD348" s="65"/>
      <c r="BE348" s="65"/>
      <c r="BF348" s="65"/>
      <c r="BG348" s="65"/>
      <c r="BH348" s="65"/>
      <c r="BI348" s="65"/>
      <c r="BJ348" s="65"/>
      <c r="BK348" s="65"/>
      <c r="BL348" s="65"/>
      <c r="BM348" s="65"/>
      <c r="BN348" s="65"/>
      <c r="BO348" s="64"/>
      <c r="BP348" s="64"/>
    </row>
    <row r="349" spans="11:68" x14ac:dyDescent="0.3"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5"/>
      <c r="AC349" s="65"/>
      <c r="AD349" s="65"/>
      <c r="AE349" s="65"/>
      <c r="AF349" s="65"/>
      <c r="AG349" s="65"/>
      <c r="AH349" s="65"/>
      <c r="AI349" s="65"/>
      <c r="AJ349" s="65"/>
      <c r="AK349" s="65"/>
      <c r="AL349" s="65"/>
      <c r="AM349" s="65"/>
      <c r="AN349" s="65"/>
      <c r="AO349" s="65"/>
      <c r="AP349" s="65"/>
      <c r="AQ349" s="65"/>
      <c r="AR349" s="65"/>
      <c r="AS349" s="65"/>
      <c r="AT349" s="65"/>
      <c r="AU349" s="65"/>
      <c r="AV349" s="65"/>
      <c r="AW349" s="65"/>
      <c r="AX349" s="65"/>
      <c r="AY349" s="65"/>
      <c r="AZ349" s="65"/>
      <c r="BA349" s="65"/>
      <c r="BB349" s="65"/>
      <c r="BC349" s="65"/>
      <c r="BD349" s="65"/>
      <c r="BE349" s="65"/>
      <c r="BF349" s="65"/>
      <c r="BG349" s="65"/>
      <c r="BH349" s="65"/>
      <c r="BI349" s="65"/>
      <c r="BJ349" s="65"/>
      <c r="BK349" s="65"/>
      <c r="BL349" s="65"/>
      <c r="BM349" s="65"/>
      <c r="BN349" s="65"/>
      <c r="BO349" s="64"/>
      <c r="BP349" s="64"/>
    </row>
    <row r="350" spans="11:68" x14ac:dyDescent="0.3"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5"/>
      <c r="AC350" s="65"/>
      <c r="AD350" s="65"/>
      <c r="AE350" s="65"/>
      <c r="AF350" s="65"/>
      <c r="AG350" s="65"/>
      <c r="AH350" s="65"/>
      <c r="AI350" s="65"/>
      <c r="AJ350" s="65"/>
      <c r="AK350" s="65"/>
      <c r="AL350" s="65"/>
      <c r="AM350" s="65"/>
      <c r="AN350" s="65"/>
      <c r="AO350" s="65"/>
      <c r="AP350" s="65"/>
      <c r="AQ350" s="65"/>
      <c r="AR350" s="65"/>
      <c r="AS350" s="65"/>
      <c r="AT350" s="65"/>
      <c r="AU350" s="65"/>
      <c r="AV350" s="65"/>
      <c r="AW350" s="65"/>
      <c r="AX350" s="65"/>
      <c r="AY350" s="65"/>
      <c r="AZ350" s="65"/>
      <c r="BA350" s="65"/>
      <c r="BB350" s="65"/>
      <c r="BC350" s="65"/>
      <c r="BD350" s="65"/>
      <c r="BE350" s="65"/>
      <c r="BF350" s="65"/>
      <c r="BG350" s="65"/>
      <c r="BH350" s="65"/>
      <c r="BI350" s="65"/>
      <c r="BJ350" s="65"/>
      <c r="BK350" s="65"/>
      <c r="BL350" s="65"/>
      <c r="BM350" s="65"/>
      <c r="BN350" s="65"/>
      <c r="BO350" s="64"/>
      <c r="BP350" s="64"/>
    </row>
    <row r="351" spans="11:68" x14ac:dyDescent="0.3"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5"/>
      <c r="AC351" s="65"/>
      <c r="AD351" s="65"/>
      <c r="AE351" s="65"/>
      <c r="AF351" s="65"/>
      <c r="AG351" s="65"/>
      <c r="AH351" s="65"/>
      <c r="AI351" s="65"/>
      <c r="AJ351" s="65"/>
      <c r="AK351" s="65"/>
      <c r="AL351" s="65"/>
      <c r="AM351" s="65"/>
      <c r="AN351" s="65"/>
      <c r="AO351" s="65"/>
      <c r="AP351" s="65"/>
      <c r="AQ351" s="65"/>
      <c r="AR351" s="65"/>
      <c r="AS351" s="65"/>
      <c r="AT351" s="65"/>
      <c r="AU351" s="65"/>
      <c r="AV351" s="65"/>
      <c r="AW351" s="65"/>
      <c r="AX351" s="65"/>
      <c r="AY351" s="65"/>
      <c r="AZ351" s="65"/>
      <c r="BA351" s="65"/>
      <c r="BB351" s="65"/>
      <c r="BC351" s="65"/>
      <c r="BD351" s="65"/>
      <c r="BE351" s="65"/>
      <c r="BF351" s="65"/>
      <c r="BG351" s="65"/>
      <c r="BH351" s="65"/>
      <c r="BI351" s="65"/>
      <c r="BJ351" s="65"/>
      <c r="BK351" s="65"/>
      <c r="BL351" s="65"/>
      <c r="BM351" s="65"/>
      <c r="BN351" s="65"/>
      <c r="BO351" s="64"/>
      <c r="BP351" s="64"/>
    </row>
    <row r="352" spans="11:68" x14ac:dyDescent="0.3"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5"/>
      <c r="AC352" s="65"/>
      <c r="AD352" s="65"/>
      <c r="AE352" s="65"/>
      <c r="AF352" s="65"/>
      <c r="AG352" s="65"/>
      <c r="AH352" s="65"/>
      <c r="AI352" s="65"/>
      <c r="AJ352" s="65"/>
      <c r="AK352" s="65"/>
      <c r="AL352" s="65"/>
      <c r="AM352" s="65"/>
      <c r="AN352" s="65"/>
      <c r="AO352" s="65"/>
      <c r="AP352" s="65"/>
      <c r="AQ352" s="65"/>
      <c r="AR352" s="65"/>
      <c r="AS352" s="65"/>
      <c r="AT352" s="65"/>
      <c r="AU352" s="65"/>
      <c r="AV352" s="65"/>
      <c r="AW352" s="65"/>
      <c r="AX352" s="65"/>
      <c r="AY352" s="65"/>
      <c r="AZ352" s="65"/>
      <c r="BA352" s="65"/>
      <c r="BB352" s="65"/>
      <c r="BC352" s="65"/>
      <c r="BD352" s="65"/>
      <c r="BE352" s="65"/>
      <c r="BF352" s="65"/>
      <c r="BG352" s="65"/>
      <c r="BH352" s="65"/>
      <c r="BI352" s="65"/>
      <c r="BJ352" s="65"/>
      <c r="BK352" s="65"/>
      <c r="BL352" s="65"/>
      <c r="BM352" s="65"/>
      <c r="BN352" s="65"/>
      <c r="BO352" s="64"/>
      <c r="BP352" s="64"/>
    </row>
    <row r="353" spans="11:68" x14ac:dyDescent="0.3"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5"/>
      <c r="AC353" s="65"/>
      <c r="AD353" s="65"/>
      <c r="AE353" s="65"/>
      <c r="AF353" s="65"/>
      <c r="AG353" s="65"/>
      <c r="AH353" s="65"/>
      <c r="AI353" s="65"/>
      <c r="AJ353" s="65"/>
      <c r="AK353" s="65"/>
      <c r="AL353" s="65"/>
      <c r="AM353" s="65"/>
      <c r="AN353" s="65"/>
      <c r="AO353" s="65"/>
      <c r="AP353" s="65"/>
      <c r="AQ353" s="65"/>
      <c r="AR353" s="65"/>
      <c r="AS353" s="65"/>
      <c r="AT353" s="65"/>
      <c r="AU353" s="65"/>
      <c r="AV353" s="65"/>
      <c r="AW353" s="65"/>
      <c r="AX353" s="65"/>
      <c r="AY353" s="65"/>
      <c r="AZ353" s="65"/>
      <c r="BA353" s="65"/>
      <c r="BB353" s="65"/>
      <c r="BC353" s="65"/>
      <c r="BD353" s="65"/>
      <c r="BE353" s="65"/>
      <c r="BF353" s="65"/>
      <c r="BG353" s="65"/>
      <c r="BH353" s="65"/>
      <c r="BI353" s="65"/>
      <c r="BJ353" s="65"/>
      <c r="BK353" s="65"/>
      <c r="BL353" s="65"/>
      <c r="BM353" s="65"/>
      <c r="BN353" s="65"/>
      <c r="BO353" s="64"/>
      <c r="BP353" s="64"/>
    </row>
    <row r="354" spans="11:68" x14ac:dyDescent="0.3"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5"/>
      <c r="AC354" s="65"/>
      <c r="AD354" s="65"/>
      <c r="AE354" s="65"/>
      <c r="AF354" s="65"/>
      <c r="AG354" s="65"/>
      <c r="AH354" s="65"/>
      <c r="AI354" s="65"/>
      <c r="AJ354" s="65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5"/>
      <c r="AV354" s="65"/>
      <c r="AW354" s="65"/>
      <c r="AX354" s="65"/>
      <c r="AY354" s="65"/>
      <c r="AZ354" s="65"/>
      <c r="BA354" s="65"/>
      <c r="BB354" s="65"/>
      <c r="BC354" s="65"/>
      <c r="BD354" s="65"/>
      <c r="BE354" s="65"/>
      <c r="BF354" s="65"/>
      <c r="BG354" s="65"/>
      <c r="BH354" s="65"/>
      <c r="BI354" s="65"/>
      <c r="BJ354" s="65"/>
      <c r="BK354" s="65"/>
      <c r="BL354" s="65"/>
      <c r="BM354" s="65"/>
      <c r="BN354" s="65"/>
      <c r="BO354" s="64"/>
      <c r="BP354" s="64"/>
    </row>
    <row r="355" spans="11:68" x14ac:dyDescent="0.3"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5"/>
      <c r="AC355" s="65"/>
      <c r="AD355" s="65"/>
      <c r="AE355" s="65"/>
      <c r="AF355" s="65"/>
      <c r="AG355" s="65"/>
      <c r="AH355" s="65"/>
      <c r="AI355" s="65"/>
      <c r="AJ355" s="65"/>
      <c r="AK355" s="65"/>
      <c r="AL355" s="65"/>
      <c r="AM355" s="65"/>
      <c r="AN355" s="65"/>
      <c r="AO355" s="65"/>
      <c r="AP355" s="65"/>
      <c r="AQ355" s="65"/>
      <c r="AR355" s="65"/>
      <c r="AS355" s="65"/>
      <c r="AT355" s="65"/>
      <c r="AU355" s="65"/>
      <c r="AV355" s="65"/>
      <c r="AW355" s="65"/>
      <c r="AX355" s="65"/>
      <c r="AY355" s="65"/>
      <c r="AZ355" s="65"/>
      <c r="BA355" s="65"/>
      <c r="BB355" s="65"/>
      <c r="BC355" s="65"/>
      <c r="BD355" s="65"/>
      <c r="BE355" s="65"/>
      <c r="BF355" s="65"/>
      <c r="BG355" s="65"/>
      <c r="BH355" s="65"/>
      <c r="BI355" s="65"/>
      <c r="BJ355" s="65"/>
      <c r="BK355" s="65"/>
      <c r="BL355" s="65"/>
      <c r="BM355" s="65"/>
      <c r="BN355" s="65"/>
      <c r="BO355" s="64"/>
      <c r="BP355" s="64"/>
    </row>
    <row r="356" spans="11:68" x14ac:dyDescent="0.3"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5"/>
      <c r="AC356" s="65"/>
      <c r="AD356" s="65"/>
      <c r="AE356" s="65"/>
      <c r="AF356" s="65"/>
      <c r="AG356" s="65"/>
      <c r="AH356" s="65"/>
      <c r="AI356" s="65"/>
      <c r="AJ356" s="65"/>
      <c r="AK356" s="65"/>
      <c r="AL356" s="65"/>
      <c r="AM356" s="65"/>
      <c r="AN356" s="65"/>
      <c r="AO356" s="65"/>
      <c r="AP356" s="65"/>
      <c r="AQ356" s="65"/>
      <c r="AR356" s="65"/>
      <c r="AS356" s="65"/>
      <c r="AT356" s="65"/>
      <c r="AU356" s="65"/>
      <c r="AV356" s="65"/>
      <c r="AW356" s="65"/>
      <c r="AX356" s="65"/>
      <c r="AY356" s="65"/>
      <c r="AZ356" s="65"/>
      <c r="BA356" s="65"/>
      <c r="BB356" s="65"/>
      <c r="BC356" s="65"/>
      <c r="BD356" s="65"/>
      <c r="BE356" s="65"/>
      <c r="BF356" s="65"/>
      <c r="BG356" s="65"/>
      <c r="BH356" s="65"/>
      <c r="BI356" s="65"/>
      <c r="BJ356" s="65"/>
      <c r="BK356" s="65"/>
      <c r="BL356" s="65"/>
      <c r="BM356" s="65"/>
      <c r="BN356" s="65"/>
      <c r="BO356" s="64"/>
      <c r="BP356" s="64"/>
    </row>
    <row r="357" spans="11:68" x14ac:dyDescent="0.3"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5"/>
      <c r="AC357" s="65"/>
      <c r="AD357" s="65"/>
      <c r="AE357" s="65"/>
      <c r="AF357" s="65"/>
      <c r="AG357" s="65"/>
      <c r="AH357" s="65"/>
      <c r="AI357" s="65"/>
      <c r="AJ357" s="65"/>
      <c r="AK357" s="65"/>
      <c r="AL357" s="65"/>
      <c r="AM357" s="65"/>
      <c r="AN357" s="65"/>
      <c r="AO357" s="65"/>
      <c r="AP357" s="65"/>
      <c r="AQ357" s="65"/>
      <c r="AR357" s="65"/>
      <c r="AS357" s="65"/>
      <c r="AT357" s="65"/>
      <c r="AU357" s="65"/>
      <c r="AV357" s="65"/>
      <c r="AW357" s="65"/>
      <c r="AX357" s="65"/>
      <c r="AY357" s="65"/>
      <c r="AZ357" s="65"/>
      <c r="BA357" s="65"/>
      <c r="BB357" s="65"/>
      <c r="BC357" s="65"/>
      <c r="BD357" s="65"/>
      <c r="BE357" s="65"/>
      <c r="BF357" s="65"/>
      <c r="BG357" s="65"/>
      <c r="BH357" s="65"/>
      <c r="BI357" s="65"/>
      <c r="BJ357" s="65"/>
      <c r="BK357" s="65"/>
      <c r="BL357" s="65"/>
      <c r="BM357" s="65"/>
      <c r="BN357" s="65"/>
      <c r="BO357" s="64"/>
      <c r="BP357" s="64"/>
    </row>
    <row r="358" spans="11:68" x14ac:dyDescent="0.3"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5"/>
      <c r="AC358" s="65"/>
      <c r="AD358" s="65"/>
      <c r="AE358" s="65"/>
      <c r="AF358" s="65"/>
      <c r="AG358" s="65"/>
      <c r="AH358" s="65"/>
      <c r="AI358" s="65"/>
      <c r="AJ358" s="65"/>
      <c r="AK358" s="65"/>
      <c r="AL358" s="65"/>
      <c r="AM358" s="65"/>
      <c r="AN358" s="65"/>
      <c r="AO358" s="65"/>
      <c r="AP358" s="65"/>
      <c r="AQ358" s="65"/>
      <c r="AR358" s="65"/>
      <c r="AS358" s="65"/>
      <c r="AT358" s="65"/>
      <c r="AU358" s="65"/>
      <c r="AV358" s="65"/>
      <c r="AW358" s="65"/>
      <c r="AX358" s="65"/>
      <c r="AY358" s="65"/>
      <c r="AZ358" s="65"/>
      <c r="BA358" s="65"/>
      <c r="BB358" s="65"/>
      <c r="BC358" s="65"/>
      <c r="BD358" s="65"/>
      <c r="BE358" s="65"/>
      <c r="BF358" s="65"/>
      <c r="BG358" s="65"/>
      <c r="BH358" s="65"/>
      <c r="BI358" s="65"/>
      <c r="BJ358" s="65"/>
      <c r="BK358" s="65"/>
      <c r="BL358" s="65"/>
      <c r="BM358" s="65"/>
      <c r="BN358" s="65"/>
      <c r="BO358" s="64"/>
      <c r="BP358" s="64"/>
    </row>
    <row r="359" spans="11:68" x14ac:dyDescent="0.3"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5"/>
      <c r="AC359" s="65"/>
      <c r="AD359" s="65"/>
      <c r="AE359" s="65"/>
      <c r="AF359" s="65"/>
      <c r="AG359" s="65"/>
      <c r="AH359" s="65"/>
      <c r="AI359" s="65"/>
      <c r="AJ359" s="65"/>
      <c r="AK359" s="65"/>
      <c r="AL359" s="65"/>
      <c r="AM359" s="65"/>
      <c r="AN359" s="65"/>
      <c r="AO359" s="65"/>
      <c r="AP359" s="65"/>
      <c r="AQ359" s="65"/>
      <c r="AR359" s="65"/>
      <c r="AS359" s="65"/>
      <c r="AT359" s="65"/>
      <c r="AU359" s="65"/>
      <c r="AV359" s="65"/>
      <c r="AW359" s="65"/>
      <c r="AX359" s="65"/>
      <c r="AY359" s="65"/>
      <c r="AZ359" s="65"/>
      <c r="BA359" s="65"/>
      <c r="BB359" s="65"/>
      <c r="BC359" s="65"/>
      <c r="BD359" s="65"/>
      <c r="BE359" s="65"/>
      <c r="BF359" s="65"/>
      <c r="BG359" s="65"/>
      <c r="BH359" s="65"/>
      <c r="BI359" s="65"/>
      <c r="BJ359" s="65"/>
      <c r="BK359" s="65"/>
      <c r="BL359" s="65"/>
      <c r="BM359" s="65"/>
      <c r="BN359" s="65"/>
      <c r="BO359" s="64"/>
      <c r="BP359" s="64"/>
    </row>
    <row r="360" spans="11:68" x14ac:dyDescent="0.3"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5"/>
      <c r="AC360" s="65"/>
      <c r="AD360" s="65"/>
      <c r="AE360" s="65"/>
      <c r="AF360" s="65"/>
      <c r="AG360" s="65"/>
      <c r="AH360" s="65"/>
      <c r="AI360" s="65"/>
      <c r="AJ360" s="65"/>
      <c r="AK360" s="65"/>
      <c r="AL360" s="65"/>
      <c r="AM360" s="65"/>
      <c r="AN360" s="65"/>
      <c r="AO360" s="65"/>
      <c r="AP360" s="65"/>
      <c r="AQ360" s="65"/>
      <c r="AR360" s="65"/>
      <c r="AS360" s="65"/>
      <c r="AT360" s="65"/>
      <c r="AU360" s="65"/>
      <c r="AV360" s="65"/>
      <c r="AW360" s="65"/>
      <c r="AX360" s="65"/>
      <c r="AY360" s="65"/>
      <c r="AZ360" s="65"/>
      <c r="BA360" s="65"/>
      <c r="BB360" s="65"/>
      <c r="BC360" s="65"/>
      <c r="BD360" s="65"/>
      <c r="BE360" s="65"/>
      <c r="BF360" s="65"/>
      <c r="BG360" s="65"/>
      <c r="BH360" s="65"/>
      <c r="BI360" s="65"/>
      <c r="BJ360" s="65"/>
      <c r="BK360" s="65"/>
      <c r="BL360" s="65"/>
      <c r="BM360" s="65"/>
      <c r="BN360" s="65"/>
      <c r="BO360" s="64"/>
      <c r="BP360" s="64"/>
    </row>
    <row r="361" spans="11:68" x14ac:dyDescent="0.3"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5"/>
      <c r="AC361" s="65"/>
      <c r="AD361" s="65"/>
      <c r="AE361" s="65"/>
      <c r="AF361" s="65"/>
      <c r="AG361" s="65"/>
      <c r="AH361" s="65"/>
      <c r="AI361" s="65"/>
      <c r="AJ361" s="65"/>
      <c r="AK361" s="65"/>
      <c r="AL361" s="65"/>
      <c r="AM361" s="65"/>
      <c r="AN361" s="65"/>
      <c r="AO361" s="65"/>
      <c r="AP361" s="65"/>
      <c r="AQ361" s="65"/>
      <c r="AR361" s="65"/>
      <c r="AS361" s="65"/>
      <c r="AT361" s="65"/>
      <c r="AU361" s="65"/>
      <c r="AV361" s="65"/>
      <c r="AW361" s="65"/>
      <c r="AX361" s="65"/>
      <c r="AY361" s="65"/>
      <c r="AZ361" s="65"/>
      <c r="BA361" s="65"/>
      <c r="BB361" s="65"/>
      <c r="BC361" s="65"/>
      <c r="BD361" s="65"/>
      <c r="BE361" s="65"/>
      <c r="BF361" s="65"/>
      <c r="BG361" s="65"/>
      <c r="BH361" s="65"/>
      <c r="BI361" s="65"/>
      <c r="BJ361" s="65"/>
      <c r="BK361" s="65"/>
      <c r="BL361" s="65"/>
      <c r="BM361" s="65"/>
      <c r="BN361" s="65"/>
      <c r="BO361" s="64"/>
      <c r="BP361" s="64"/>
    </row>
    <row r="362" spans="11:68" x14ac:dyDescent="0.3"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</row>
    <row r="363" spans="11:68" x14ac:dyDescent="0.3"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</row>
    <row r="364" spans="11:68" x14ac:dyDescent="0.3"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</row>
    <row r="365" spans="11:68" x14ac:dyDescent="0.3"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</row>
    <row r="366" spans="11:68" x14ac:dyDescent="0.3"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</row>
    <row r="367" spans="11:68" x14ac:dyDescent="0.3"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</row>
    <row r="368" spans="11:68" x14ac:dyDescent="0.3"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</row>
    <row r="369" spans="11:68" x14ac:dyDescent="0.3"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</row>
    <row r="370" spans="11:68" x14ac:dyDescent="0.3"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</row>
    <row r="371" spans="11:68" x14ac:dyDescent="0.3"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</row>
    <row r="372" spans="11:68" x14ac:dyDescent="0.3"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</row>
    <row r="373" spans="11:68" x14ac:dyDescent="0.3"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</row>
    <row r="374" spans="11:68" x14ac:dyDescent="0.3"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</row>
    <row r="375" spans="11:68" x14ac:dyDescent="0.3"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</row>
    <row r="376" spans="11:68" x14ac:dyDescent="0.3"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</row>
    <row r="377" spans="11:68" x14ac:dyDescent="0.3"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</row>
    <row r="378" spans="11:68" x14ac:dyDescent="0.3"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</row>
    <row r="379" spans="11:68" x14ac:dyDescent="0.3"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</row>
    <row r="380" spans="11:68" x14ac:dyDescent="0.3"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</row>
    <row r="381" spans="11:68" x14ac:dyDescent="0.3"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</row>
    <row r="382" spans="11:68" x14ac:dyDescent="0.3"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</row>
    <row r="383" spans="11:68" x14ac:dyDescent="0.3"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</row>
    <row r="384" spans="11:68" x14ac:dyDescent="0.3"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</row>
    <row r="385" spans="11:68" x14ac:dyDescent="0.3"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</row>
    <row r="386" spans="11:68" x14ac:dyDescent="0.3"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</row>
    <row r="387" spans="11:68" x14ac:dyDescent="0.3"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</row>
    <row r="388" spans="11:68" x14ac:dyDescent="0.3"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</row>
    <row r="389" spans="11:68" x14ac:dyDescent="0.3"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</row>
    <row r="390" spans="11:68" x14ac:dyDescent="0.3"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</row>
    <row r="391" spans="11:68" x14ac:dyDescent="0.3"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</row>
    <row r="392" spans="11:68" x14ac:dyDescent="0.3"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</row>
    <row r="393" spans="11:68" x14ac:dyDescent="0.3"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</row>
    <row r="394" spans="11:68" x14ac:dyDescent="0.3"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</row>
    <row r="395" spans="11:68" x14ac:dyDescent="0.3"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</row>
    <row r="396" spans="11:68" x14ac:dyDescent="0.3"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</row>
    <row r="397" spans="11:68" x14ac:dyDescent="0.3"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</row>
    <row r="398" spans="11:68" x14ac:dyDescent="0.3"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</row>
    <row r="399" spans="11:68" x14ac:dyDescent="0.3"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</row>
    <row r="400" spans="11:68" x14ac:dyDescent="0.3"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</row>
    <row r="401" spans="11:68" x14ac:dyDescent="0.3"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</row>
    <row r="402" spans="11:68" x14ac:dyDescent="0.3"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</row>
    <row r="403" spans="11:68" x14ac:dyDescent="0.3"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</row>
    <row r="404" spans="11:68" x14ac:dyDescent="0.3"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</row>
    <row r="405" spans="11:68" x14ac:dyDescent="0.3"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</row>
    <row r="406" spans="11:68" x14ac:dyDescent="0.3"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</row>
    <row r="407" spans="11:68" x14ac:dyDescent="0.3"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</row>
    <row r="408" spans="11:68" x14ac:dyDescent="0.3"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</row>
    <row r="409" spans="11:68" x14ac:dyDescent="0.3"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</row>
    <row r="410" spans="11:68" x14ac:dyDescent="0.3"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</row>
    <row r="411" spans="11:68" x14ac:dyDescent="0.3"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</row>
    <row r="412" spans="11:68" x14ac:dyDescent="0.3"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</row>
    <row r="413" spans="11:68" x14ac:dyDescent="0.3"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</row>
    <row r="414" spans="11:68" x14ac:dyDescent="0.3"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</row>
    <row r="415" spans="11:68" x14ac:dyDescent="0.3"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</row>
    <row r="416" spans="11:68" x14ac:dyDescent="0.3"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</row>
    <row r="417" spans="11:68" x14ac:dyDescent="0.3"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</row>
    <row r="418" spans="11:68" x14ac:dyDescent="0.3"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</row>
    <row r="419" spans="11:68" x14ac:dyDescent="0.3"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</row>
    <row r="420" spans="11:68" x14ac:dyDescent="0.3"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</row>
    <row r="421" spans="11:68" x14ac:dyDescent="0.3"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</row>
    <row r="422" spans="11:68" x14ac:dyDescent="0.3"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</row>
    <row r="423" spans="11:68" x14ac:dyDescent="0.3"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</row>
    <row r="424" spans="11:68" x14ac:dyDescent="0.3"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</row>
    <row r="425" spans="11:68" x14ac:dyDescent="0.3"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</row>
    <row r="426" spans="11:68" x14ac:dyDescent="0.3"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</row>
    <row r="427" spans="11:68" x14ac:dyDescent="0.3"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</row>
    <row r="428" spans="11:68" x14ac:dyDescent="0.3"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</row>
    <row r="429" spans="11:68" x14ac:dyDescent="0.3"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</row>
    <row r="430" spans="11:68" x14ac:dyDescent="0.3"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</row>
    <row r="431" spans="11:68" x14ac:dyDescent="0.3"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</row>
    <row r="432" spans="11:68" x14ac:dyDescent="0.3"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</row>
    <row r="433" spans="11:68" x14ac:dyDescent="0.3"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</row>
    <row r="434" spans="11:68" x14ac:dyDescent="0.3"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</row>
    <row r="435" spans="11:68" x14ac:dyDescent="0.3"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</row>
    <row r="436" spans="11:68" x14ac:dyDescent="0.3"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</row>
    <row r="437" spans="11:68" x14ac:dyDescent="0.3"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</row>
    <row r="438" spans="11:68" x14ac:dyDescent="0.3"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</row>
    <row r="439" spans="11:68" x14ac:dyDescent="0.3"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</row>
    <row r="440" spans="11:68" x14ac:dyDescent="0.3"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</row>
    <row r="441" spans="11:68" x14ac:dyDescent="0.3"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</row>
    <row r="442" spans="11:68" x14ac:dyDescent="0.3"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</row>
    <row r="443" spans="11:68" x14ac:dyDescent="0.3"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</row>
    <row r="444" spans="11:68" x14ac:dyDescent="0.3"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</row>
    <row r="445" spans="11:68" x14ac:dyDescent="0.3"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</row>
    <row r="446" spans="11:68" x14ac:dyDescent="0.3"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</row>
    <row r="447" spans="11:68" x14ac:dyDescent="0.3"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</row>
    <row r="448" spans="11:68" x14ac:dyDescent="0.3"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</row>
    <row r="449" spans="11:68" x14ac:dyDescent="0.3"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</row>
    <row r="450" spans="11:68" x14ac:dyDescent="0.3"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</row>
    <row r="451" spans="11:68" x14ac:dyDescent="0.3"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</row>
    <row r="452" spans="11:68" x14ac:dyDescent="0.3"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</row>
    <row r="453" spans="11:68" x14ac:dyDescent="0.3"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</row>
    <row r="454" spans="11:68" x14ac:dyDescent="0.3"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</row>
    <row r="455" spans="11:68" x14ac:dyDescent="0.3"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</row>
    <row r="456" spans="11:68" x14ac:dyDescent="0.3"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</row>
    <row r="457" spans="11:68" x14ac:dyDescent="0.3"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</row>
    <row r="458" spans="11:68" x14ac:dyDescent="0.3">
      <c r="BO458" s="64"/>
      <c r="BP458" s="64"/>
    </row>
    <row r="459" spans="11:68" x14ac:dyDescent="0.3">
      <c r="BO459" s="64"/>
      <c r="BP459" s="64"/>
    </row>
    <row r="460" spans="11:68" x14ac:dyDescent="0.3">
      <c r="BO460" s="64"/>
      <c r="BP460" s="64"/>
    </row>
  </sheetData>
  <sheetProtection sheet="1" formatCells="0" formatColumns="0" formatRows="0" insertRows="0" insertHyperlinks="0" deleteRows="0" sort="0" autoFilter="0" pivotTables="0"/>
  <mergeCells count="15">
    <mergeCell ref="AK2:AP2"/>
    <mergeCell ref="AK3:AP3"/>
    <mergeCell ref="AC4:AG4"/>
    <mergeCell ref="AQ1:AU1"/>
    <mergeCell ref="AQ2:AU2"/>
    <mergeCell ref="AQ3:AU3"/>
    <mergeCell ref="AK1:AP1"/>
    <mergeCell ref="H1:I1"/>
    <mergeCell ref="H2:I2"/>
    <mergeCell ref="J1:L1"/>
    <mergeCell ref="J2:L2"/>
    <mergeCell ref="W1:AD1"/>
    <mergeCell ref="W2:AD2"/>
    <mergeCell ref="N1:U1"/>
    <mergeCell ref="N2:U2"/>
  </mergeCells>
  <phoneticPr fontId="1" type="noConversion"/>
  <conditionalFormatting sqref="B14:J36">
    <cfRule type="expression" dxfId="99" priority="5" stopIfTrue="1">
      <formula>$C14&lt;&gt;""</formula>
    </cfRule>
    <cfRule type="expression" dxfId="98" priority="6" stopIfTrue="1">
      <formula>$F14&lt;&gt;""</formula>
    </cfRule>
  </conditionalFormatting>
  <conditionalFormatting sqref="K14:BN36">
    <cfRule type="expression" dxfId="97" priority="25">
      <formula>AND(_xlfn.ISOWEEKNUM(TODAY())&gt;=K$9,_xlfn.ISOWEEKNUM(TODAY())&lt;L$9)</formula>
    </cfRule>
    <cfRule type="expression" dxfId="96" priority="26">
      <formula>OR(AND(K$8&gt;=$H14,$C14 = "X", $H14 &lt;&gt; "", K$8&lt;=$J14), AND(YEAR($H14) = YEAR(K$8),$C14 = "X",_xlfn.ISOWEEKNUM(K$8) = _xlfn.ISOWEEKNUM($H14)))</formula>
    </cfRule>
    <cfRule type="expression" dxfId="95" priority="27">
      <formula>OR(AND(K$8&gt;=$H14,$F14 &lt;&gt; "X", $H14 &lt;&gt; "", K$8&lt;=$J14), AND($F14 &lt;&gt; "X",YEAR($H14) = YEAR(K$8),_xlfn.ISOWEEKNUM(K$8) = _xlfn.ISOWEEKNUM($H14)))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change_langue">
                <anchor moveWithCells="1">
                  <from>
                    <xdr:col>8</xdr:col>
                    <xdr:colOff>68580</xdr:colOff>
                    <xdr:row>3</xdr:row>
                    <xdr:rowOff>76200</xdr:rowOff>
                  </from>
                  <to>
                    <xdr:col>10</xdr:col>
                    <xdr:colOff>68580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EC159B31-C79C-4D8A-9FE6-764A71E839A3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K14:BN36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6282A-657C-4491-A69C-87248F170530}">
  <sheetPr codeName="ShLangue"/>
  <dimension ref="A1:F169"/>
  <sheetViews>
    <sheetView showGridLines="0" topLeftCell="A26" workbookViewId="0">
      <selection activeCell="A46" sqref="A46"/>
    </sheetView>
  </sheetViews>
  <sheetFormatPr defaultColWidth="9.109375" defaultRowHeight="14.4" x14ac:dyDescent="0.3"/>
  <cols>
    <col min="1" max="1" width="47.5546875" customWidth="1"/>
    <col min="2" max="2" width="57.33203125" bestFit="1" customWidth="1"/>
    <col min="6" max="6" width="15" customWidth="1"/>
  </cols>
  <sheetData>
    <row r="1" spans="1:6" x14ac:dyDescent="0.3">
      <c r="A1" s="1" t="s">
        <v>158</v>
      </c>
      <c r="B1" s="1" t="s">
        <v>159</v>
      </c>
      <c r="F1" t="s">
        <v>160</v>
      </c>
    </row>
    <row r="2" spans="1:6" x14ac:dyDescent="0.3">
      <c r="A2" s="17" t="s">
        <v>131</v>
      </c>
      <c r="B2" s="85" t="s">
        <v>188</v>
      </c>
      <c r="F2" t="s">
        <v>159</v>
      </c>
    </row>
    <row r="3" spans="1:6" x14ac:dyDescent="0.3">
      <c r="A3" s="17" t="s">
        <v>138</v>
      </c>
      <c r="B3" s="85" t="s">
        <v>189</v>
      </c>
      <c r="F3" t="s">
        <v>158</v>
      </c>
    </row>
    <row r="4" spans="1:6" x14ac:dyDescent="0.3">
      <c r="A4" s="17" t="s">
        <v>153</v>
      </c>
      <c r="B4" s="85" t="s">
        <v>190</v>
      </c>
    </row>
    <row r="5" spans="1:6" x14ac:dyDescent="0.3">
      <c r="A5" s="17" t="s">
        <v>154</v>
      </c>
      <c r="B5" s="85" t="s">
        <v>166</v>
      </c>
    </row>
    <row r="6" spans="1:6" x14ac:dyDescent="0.3">
      <c r="A6" s="17" t="s">
        <v>75</v>
      </c>
      <c r="B6" s="85" t="s">
        <v>167</v>
      </c>
    </row>
    <row r="7" spans="1:6" x14ac:dyDescent="0.3">
      <c r="A7" s="17" t="s">
        <v>139</v>
      </c>
      <c r="B7" s="85" t="s">
        <v>191</v>
      </c>
    </row>
    <row r="8" spans="1:6" x14ac:dyDescent="0.3">
      <c r="A8" s="17" t="s">
        <v>140</v>
      </c>
      <c r="B8" s="85" t="s">
        <v>192</v>
      </c>
    </row>
    <row r="9" spans="1:6" x14ac:dyDescent="0.3">
      <c r="A9" s="17" t="s">
        <v>132</v>
      </c>
      <c r="B9" s="85" t="s">
        <v>193</v>
      </c>
    </row>
    <row r="10" spans="1:6" x14ac:dyDescent="0.3">
      <c r="A10" s="17" t="s">
        <v>141</v>
      </c>
      <c r="B10" s="85" t="s">
        <v>194</v>
      </c>
    </row>
    <row r="11" spans="1:6" x14ac:dyDescent="0.3">
      <c r="A11" s="17" t="s">
        <v>155</v>
      </c>
      <c r="B11" s="85" t="s">
        <v>195</v>
      </c>
    </row>
    <row r="12" spans="1:6" x14ac:dyDescent="0.3">
      <c r="A12" s="17" t="s">
        <v>142</v>
      </c>
      <c r="B12" s="85" t="s">
        <v>196</v>
      </c>
    </row>
    <row r="13" spans="1:6" x14ac:dyDescent="0.3">
      <c r="A13" s="17" t="s">
        <v>133</v>
      </c>
      <c r="B13" s="85" t="s">
        <v>197</v>
      </c>
    </row>
    <row r="14" spans="1:6" x14ac:dyDescent="0.3">
      <c r="A14" s="17" t="s">
        <v>143</v>
      </c>
      <c r="B14" s="85" t="s">
        <v>168</v>
      </c>
    </row>
    <row r="15" spans="1:6" x14ac:dyDescent="0.3">
      <c r="A15" s="17" t="s">
        <v>144</v>
      </c>
      <c r="B15" s="85" t="s">
        <v>198</v>
      </c>
    </row>
    <row r="16" spans="1:6" x14ac:dyDescent="0.3">
      <c r="A16" s="17" t="s">
        <v>76</v>
      </c>
      <c r="B16" s="85" t="s">
        <v>169</v>
      </c>
    </row>
    <row r="17" spans="1:2" x14ac:dyDescent="0.3">
      <c r="A17" s="17" t="s">
        <v>77</v>
      </c>
      <c r="B17" s="85" t="s">
        <v>170</v>
      </c>
    </row>
    <row r="18" spans="1:2" x14ac:dyDescent="0.3">
      <c r="A18" s="17" t="s">
        <v>145</v>
      </c>
      <c r="B18" s="85" t="s">
        <v>199</v>
      </c>
    </row>
    <row r="19" spans="1:2" x14ac:dyDescent="0.3">
      <c r="A19" s="17" t="s">
        <v>134</v>
      </c>
      <c r="B19" s="85" t="s">
        <v>200</v>
      </c>
    </row>
    <row r="20" spans="1:2" x14ac:dyDescent="0.3">
      <c r="A20" s="17" t="s">
        <v>78</v>
      </c>
      <c r="B20" s="85" t="s">
        <v>201</v>
      </c>
    </row>
    <row r="21" spans="1:2" x14ac:dyDescent="0.3">
      <c r="A21" s="17" t="s">
        <v>79</v>
      </c>
      <c r="B21" s="85" t="s">
        <v>171</v>
      </c>
    </row>
    <row r="22" spans="1:2" x14ac:dyDescent="0.3">
      <c r="A22" s="17" t="s">
        <v>80</v>
      </c>
      <c r="B22" s="85" t="s">
        <v>172</v>
      </c>
    </row>
    <row r="23" spans="1:2" x14ac:dyDescent="0.3">
      <c r="A23" s="17" t="s">
        <v>146</v>
      </c>
      <c r="B23" s="85" t="s">
        <v>173</v>
      </c>
    </row>
    <row r="24" spans="1:2" x14ac:dyDescent="0.3">
      <c r="A24" s="17" t="s">
        <v>0</v>
      </c>
      <c r="B24" s="85" t="s">
        <v>0</v>
      </c>
    </row>
    <row r="25" spans="1:2" x14ac:dyDescent="0.3">
      <c r="A25" s="17" t="s">
        <v>127</v>
      </c>
      <c r="B25" s="85" t="s">
        <v>202</v>
      </c>
    </row>
    <row r="26" spans="1:2" x14ac:dyDescent="0.3">
      <c r="A26" s="17" t="s">
        <v>2</v>
      </c>
      <c r="B26" s="85" t="s">
        <v>182</v>
      </c>
    </row>
    <row r="27" spans="1:2" x14ac:dyDescent="0.3">
      <c r="A27" s="17" t="s">
        <v>156</v>
      </c>
      <c r="B27" s="85" t="s">
        <v>183</v>
      </c>
    </row>
    <row r="28" spans="1:2" x14ac:dyDescent="0.3">
      <c r="A28" s="17" t="s">
        <v>3</v>
      </c>
      <c r="B28" s="85" t="s">
        <v>3</v>
      </c>
    </row>
    <row r="29" spans="1:2" x14ac:dyDescent="0.3">
      <c r="A29" s="17" t="s">
        <v>157</v>
      </c>
      <c r="B29" s="85" t="s">
        <v>181</v>
      </c>
    </row>
    <row r="30" spans="1:2" x14ac:dyDescent="0.3">
      <c r="A30" s="17" t="s">
        <v>184</v>
      </c>
      <c r="B30" s="85" t="s">
        <v>203</v>
      </c>
    </row>
    <row r="31" spans="1:2" x14ac:dyDescent="0.3">
      <c r="A31" s="17" t="s">
        <v>175</v>
      </c>
      <c r="B31" s="85" t="s">
        <v>176</v>
      </c>
    </row>
    <row r="32" spans="1:2" x14ac:dyDescent="0.3">
      <c r="A32" s="17" t="s">
        <v>185</v>
      </c>
      <c r="B32" s="85" t="s">
        <v>204</v>
      </c>
    </row>
    <row r="33" spans="1:2" x14ac:dyDescent="0.3">
      <c r="A33" s="17" t="s">
        <v>186</v>
      </c>
      <c r="B33" s="85" t="s">
        <v>205</v>
      </c>
    </row>
    <row r="34" spans="1:2" x14ac:dyDescent="0.3">
      <c r="A34" s="17" t="s">
        <v>177</v>
      </c>
      <c r="B34" s="85" t="s">
        <v>178</v>
      </c>
    </row>
    <row r="35" spans="1:2" x14ac:dyDescent="0.3">
      <c r="A35" s="17" t="s">
        <v>160</v>
      </c>
      <c r="B35" s="85" t="s">
        <v>165</v>
      </c>
    </row>
    <row r="36" spans="1:2" x14ac:dyDescent="0.3">
      <c r="A36" s="17" t="s">
        <v>187</v>
      </c>
      <c r="B36" s="85" t="s">
        <v>206</v>
      </c>
    </row>
    <row r="37" spans="1:2" x14ac:dyDescent="0.3">
      <c r="A37" s="17" t="s">
        <v>66</v>
      </c>
      <c r="B37" s="85" t="s">
        <v>179</v>
      </c>
    </row>
    <row r="38" spans="1:2" x14ac:dyDescent="0.3">
      <c r="A38" s="17" t="s">
        <v>67</v>
      </c>
      <c r="B38" s="85" t="s">
        <v>180</v>
      </c>
    </row>
    <row r="39" spans="1:2" x14ac:dyDescent="0.3">
      <c r="A39" s="17" t="s">
        <v>147</v>
      </c>
      <c r="B39" s="85" t="s">
        <v>164</v>
      </c>
    </row>
    <row r="40" spans="1:2" x14ac:dyDescent="0.3">
      <c r="A40" s="17" t="s">
        <v>148</v>
      </c>
      <c r="B40" s="85" t="s">
        <v>207</v>
      </c>
    </row>
    <row r="41" spans="1:2" x14ac:dyDescent="0.3">
      <c r="A41" s="17" t="s">
        <v>68</v>
      </c>
      <c r="B41" s="85" t="s">
        <v>161</v>
      </c>
    </row>
    <row r="42" spans="1:2" x14ac:dyDescent="0.3">
      <c r="A42" s="17" t="s">
        <v>69</v>
      </c>
      <c r="B42" s="85" t="s">
        <v>162</v>
      </c>
    </row>
    <row r="43" spans="1:2" x14ac:dyDescent="0.3">
      <c r="A43" s="17" t="s">
        <v>70</v>
      </c>
      <c r="B43" s="85" t="s">
        <v>163</v>
      </c>
    </row>
    <row r="44" spans="1:2" x14ac:dyDescent="0.3">
      <c r="A44" s="83" t="s">
        <v>74</v>
      </c>
      <c r="B44" s="16" t="s">
        <v>208</v>
      </c>
    </row>
    <row r="45" spans="1:2" x14ac:dyDescent="0.3">
      <c r="A45" s="83" t="s">
        <v>174</v>
      </c>
      <c r="B45" s="16" t="s">
        <v>84</v>
      </c>
    </row>
    <row r="46" spans="1:2" x14ac:dyDescent="0.3">
      <c r="A46" s="17"/>
      <c r="B46" s="84"/>
    </row>
    <row r="47" spans="1:2" x14ac:dyDescent="0.3">
      <c r="A47" s="17"/>
      <c r="B47" s="84"/>
    </row>
    <row r="48" spans="1:2" x14ac:dyDescent="0.3">
      <c r="A48" s="17"/>
      <c r="B48" s="84"/>
    </row>
    <row r="49" spans="1:2" x14ac:dyDescent="0.3">
      <c r="A49" s="17"/>
      <c r="B49" s="84"/>
    </row>
    <row r="50" spans="1:2" x14ac:dyDescent="0.3">
      <c r="A50" s="17"/>
      <c r="B50" s="84"/>
    </row>
    <row r="51" spans="1:2" x14ac:dyDescent="0.3">
      <c r="A51" s="17"/>
      <c r="B51" s="84"/>
    </row>
    <row r="52" spans="1:2" x14ac:dyDescent="0.3">
      <c r="A52" s="17"/>
      <c r="B52" s="84"/>
    </row>
    <row r="53" spans="1:2" x14ac:dyDescent="0.3">
      <c r="A53" s="17"/>
      <c r="B53" s="84"/>
    </row>
    <row r="54" spans="1:2" x14ac:dyDescent="0.3">
      <c r="A54" s="17"/>
      <c r="B54" s="84"/>
    </row>
    <row r="55" spans="1:2" x14ac:dyDescent="0.3">
      <c r="A55" s="17"/>
      <c r="B55" s="84"/>
    </row>
    <row r="56" spans="1:2" x14ac:dyDescent="0.3">
      <c r="A56" s="17"/>
      <c r="B56" s="84"/>
    </row>
    <row r="57" spans="1:2" x14ac:dyDescent="0.3">
      <c r="A57" s="17"/>
      <c r="B57" s="84"/>
    </row>
    <row r="58" spans="1:2" x14ac:dyDescent="0.3">
      <c r="A58" s="17"/>
      <c r="B58" s="84"/>
    </row>
    <row r="59" spans="1:2" x14ac:dyDescent="0.3">
      <c r="A59" s="17"/>
      <c r="B59" s="84"/>
    </row>
    <row r="60" spans="1:2" x14ac:dyDescent="0.3">
      <c r="A60" s="17"/>
      <c r="B60" s="84"/>
    </row>
    <row r="61" spans="1:2" x14ac:dyDescent="0.3">
      <c r="A61" s="17"/>
      <c r="B61" s="84"/>
    </row>
    <row r="62" spans="1:2" x14ac:dyDescent="0.3">
      <c r="A62" s="17"/>
      <c r="B62" s="84"/>
    </row>
    <row r="63" spans="1:2" x14ac:dyDescent="0.3">
      <c r="A63" s="17"/>
      <c r="B63" s="84"/>
    </row>
    <row r="64" spans="1:2" x14ac:dyDescent="0.3">
      <c r="A64" s="17"/>
      <c r="B64" s="84"/>
    </row>
    <row r="65" spans="1:2" x14ac:dyDescent="0.3">
      <c r="A65" s="17"/>
      <c r="B65" s="84"/>
    </row>
    <row r="66" spans="1:2" x14ac:dyDescent="0.3">
      <c r="A66" s="17"/>
      <c r="B66" s="84"/>
    </row>
    <row r="67" spans="1:2" x14ac:dyDescent="0.3">
      <c r="A67" s="17"/>
      <c r="B67" s="84"/>
    </row>
    <row r="68" spans="1:2" x14ac:dyDescent="0.3">
      <c r="A68" s="17"/>
      <c r="B68" s="84"/>
    </row>
    <row r="69" spans="1:2" x14ac:dyDescent="0.3">
      <c r="A69" s="17"/>
      <c r="B69" s="84"/>
    </row>
    <row r="70" spans="1:2" x14ac:dyDescent="0.3">
      <c r="A70" s="17"/>
      <c r="B70" s="84"/>
    </row>
    <row r="71" spans="1:2" x14ac:dyDescent="0.3">
      <c r="A71" s="17"/>
      <c r="B71" s="79"/>
    </row>
    <row r="72" spans="1:2" x14ac:dyDescent="0.3">
      <c r="A72" s="17"/>
      <c r="B72" s="79"/>
    </row>
    <row r="73" spans="1:2" x14ac:dyDescent="0.3">
      <c r="A73" s="17"/>
      <c r="B73" s="79"/>
    </row>
    <row r="74" spans="1:2" x14ac:dyDescent="0.3">
      <c r="A74" s="17"/>
      <c r="B74" s="79"/>
    </row>
    <row r="75" spans="1:2" x14ac:dyDescent="0.3">
      <c r="A75" s="80"/>
      <c r="B75" s="79"/>
    </row>
    <row r="76" spans="1:2" x14ac:dyDescent="0.3">
      <c r="A76" s="17"/>
      <c r="B76" s="79"/>
    </row>
    <row r="77" spans="1:2" x14ac:dyDescent="0.3">
      <c r="A77" s="17"/>
      <c r="B77" s="79"/>
    </row>
    <row r="78" spans="1:2" x14ac:dyDescent="0.3">
      <c r="A78" s="17"/>
      <c r="B78" s="79"/>
    </row>
    <row r="79" spans="1:2" x14ac:dyDescent="0.3">
      <c r="A79" s="17"/>
      <c r="B79" s="79"/>
    </row>
    <row r="80" spans="1:2" x14ac:dyDescent="0.3">
      <c r="A80" s="17"/>
      <c r="B80" s="79"/>
    </row>
    <row r="81" spans="1:2" x14ac:dyDescent="0.3">
      <c r="A81" s="17"/>
      <c r="B81" s="79"/>
    </row>
    <row r="82" spans="1:2" x14ac:dyDescent="0.3">
      <c r="A82" s="17"/>
      <c r="B82" s="79"/>
    </row>
    <row r="83" spans="1:2" x14ac:dyDescent="0.3">
      <c r="A83" s="17"/>
      <c r="B83" s="79"/>
    </row>
    <row r="84" spans="1:2" x14ac:dyDescent="0.3">
      <c r="A84" s="17"/>
      <c r="B84" s="79"/>
    </row>
    <row r="85" spans="1:2" x14ac:dyDescent="0.3">
      <c r="A85" s="17"/>
      <c r="B85" s="79"/>
    </row>
    <row r="86" spans="1:2" x14ac:dyDescent="0.3">
      <c r="A86" s="17"/>
      <c r="B86" s="79"/>
    </row>
    <row r="87" spans="1:2" x14ac:dyDescent="0.3">
      <c r="A87" s="17"/>
      <c r="B87" s="79"/>
    </row>
    <row r="88" spans="1:2" x14ac:dyDescent="0.3">
      <c r="A88" s="17"/>
      <c r="B88" s="79"/>
    </row>
    <row r="89" spans="1:2" x14ac:dyDescent="0.3">
      <c r="A89" s="17"/>
      <c r="B89" s="79"/>
    </row>
    <row r="90" spans="1:2" x14ac:dyDescent="0.3">
      <c r="A90" s="17"/>
      <c r="B90" s="79"/>
    </row>
    <row r="91" spans="1:2" x14ac:dyDescent="0.3">
      <c r="A91" s="17"/>
      <c r="B91" s="79"/>
    </row>
    <row r="92" spans="1:2" x14ac:dyDescent="0.3">
      <c r="A92" s="17"/>
      <c r="B92" s="79"/>
    </row>
    <row r="93" spans="1:2" x14ac:dyDescent="0.3">
      <c r="A93" s="17"/>
      <c r="B93" s="79"/>
    </row>
    <row r="94" spans="1:2" x14ac:dyDescent="0.3">
      <c r="A94" s="79"/>
      <c r="B94" s="79"/>
    </row>
    <row r="95" spans="1:2" x14ac:dyDescent="0.3">
      <c r="A95" s="79"/>
      <c r="B95" s="79"/>
    </row>
    <row r="96" spans="1:2" x14ac:dyDescent="0.3">
      <c r="A96" s="79"/>
      <c r="B96" s="79"/>
    </row>
    <row r="97" spans="1:2" x14ac:dyDescent="0.3">
      <c r="A97" s="79"/>
      <c r="B97" s="79"/>
    </row>
    <row r="98" spans="1:2" x14ac:dyDescent="0.3">
      <c r="A98" s="79"/>
      <c r="B98" s="79"/>
    </row>
    <row r="99" spans="1:2" x14ac:dyDescent="0.3">
      <c r="A99" s="79"/>
      <c r="B99" s="79"/>
    </row>
    <row r="100" spans="1:2" x14ac:dyDescent="0.3">
      <c r="A100" s="79"/>
      <c r="B100" s="79"/>
    </row>
    <row r="101" spans="1:2" x14ac:dyDescent="0.3">
      <c r="A101" s="79"/>
      <c r="B101" s="79"/>
    </row>
    <row r="102" spans="1:2" x14ac:dyDescent="0.3">
      <c r="A102" s="79"/>
      <c r="B102" s="79"/>
    </row>
    <row r="103" spans="1:2" x14ac:dyDescent="0.3">
      <c r="A103" s="79"/>
      <c r="B103" s="79"/>
    </row>
    <row r="104" spans="1:2" x14ac:dyDescent="0.3">
      <c r="A104" s="79"/>
      <c r="B104" s="79"/>
    </row>
    <row r="105" spans="1:2" x14ac:dyDescent="0.3">
      <c r="A105" s="79"/>
      <c r="B105" s="79"/>
    </row>
    <row r="106" spans="1:2" x14ac:dyDescent="0.3">
      <c r="A106" s="79"/>
      <c r="B106" s="79"/>
    </row>
    <row r="107" spans="1:2" x14ac:dyDescent="0.3">
      <c r="A107" s="79"/>
      <c r="B107" s="79"/>
    </row>
    <row r="108" spans="1:2" x14ac:dyDescent="0.3">
      <c r="A108" s="79"/>
      <c r="B108" s="79"/>
    </row>
    <row r="109" spans="1:2" x14ac:dyDescent="0.3">
      <c r="A109" s="79"/>
      <c r="B109" s="79"/>
    </row>
    <row r="110" spans="1:2" x14ac:dyDescent="0.3">
      <c r="A110" s="79"/>
      <c r="B110" s="79"/>
    </row>
    <row r="111" spans="1:2" x14ac:dyDescent="0.3">
      <c r="A111" s="79"/>
      <c r="B111" s="79"/>
    </row>
    <row r="112" spans="1:2" x14ac:dyDescent="0.3">
      <c r="A112" s="79"/>
      <c r="B112" s="79"/>
    </row>
    <row r="113" spans="1:2" x14ac:dyDescent="0.3">
      <c r="A113" s="79"/>
      <c r="B113" s="79"/>
    </row>
    <row r="114" spans="1:2" x14ac:dyDescent="0.3">
      <c r="A114" s="79"/>
      <c r="B114" s="79"/>
    </row>
    <row r="115" spans="1:2" x14ac:dyDescent="0.3">
      <c r="A115" s="79"/>
      <c r="B115" s="79"/>
    </row>
    <row r="116" spans="1:2" x14ac:dyDescent="0.3">
      <c r="A116" s="79"/>
      <c r="B116" s="79"/>
    </row>
    <row r="117" spans="1:2" x14ac:dyDescent="0.3">
      <c r="A117" s="79"/>
      <c r="B117" s="79"/>
    </row>
    <row r="118" spans="1:2" x14ac:dyDescent="0.3">
      <c r="A118" s="79"/>
      <c r="B118" s="79"/>
    </row>
    <row r="119" spans="1:2" x14ac:dyDescent="0.3">
      <c r="A119" s="79"/>
      <c r="B119" s="79"/>
    </row>
    <row r="120" spans="1:2" x14ac:dyDescent="0.3">
      <c r="A120" s="79"/>
      <c r="B120" s="79"/>
    </row>
    <row r="121" spans="1:2" x14ac:dyDescent="0.3">
      <c r="A121" s="79"/>
      <c r="B121" s="79"/>
    </row>
    <row r="122" spans="1:2" x14ac:dyDescent="0.3">
      <c r="A122" s="79"/>
      <c r="B122" s="79"/>
    </row>
    <row r="123" spans="1:2" x14ac:dyDescent="0.3">
      <c r="A123" s="79"/>
      <c r="B123" s="79"/>
    </row>
    <row r="124" spans="1:2" x14ac:dyDescent="0.3">
      <c r="A124" s="79"/>
      <c r="B124" s="79"/>
    </row>
    <row r="125" spans="1:2" x14ac:dyDescent="0.3">
      <c r="A125" s="79"/>
      <c r="B125" s="79"/>
    </row>
    <row r="126" spans="1:2" x14ac:dyDescent="0.3">
      <c r="A126" s="79"/>
      <c r="B126" s="79"/>
    </row>
    <row r="127" spans="1:2" x14ac:dyDescent="0.3">
      <c r="A127" s="79"/>
      <c r="B127" s="79"/>
    </row>
    <row r="128" spans="1:2" x14ac:dyDescent="0.3">
      <c r="A128" s="79"/>
      <c r="B128" s="79"/>
    </row>
    <row r="129" spans="1:2" x14ac:dyDescent="0.3">
      <c r="A129" s="79"/>
      <c r="B129" s="79"/>
    </row>
    <row r="130" spans="1:2" x14ac:dyDescent="0.3">
      <c r="A130" s="79"/>
      <c r="B130" s="79"/>
    </row>
    <row r="131" spans="1:2" x14ac:dyDescent="0.3">
      <c r="A131" s="79"/>
      <c r="B131" s="79"/>
    </row>
    <row r="132" spans="1:2" x14ac:dyDescent="0.3">
      <c r="A132" s="79"/>
      <c r="B132" s="79"/>
    </row>
    <row r="133" spans="1:2" x14ac:dyDescent="0.3">
      <c r="A133" s="79"/>
      <c r="B133" s="79"/>
    </row>
    <row r="134" spans="1:2" x14ac:dyDescent="0.3">
      <c r="A134" s="79"/>
      <c r="B134" s="79"/>
    </row>
    <row r="135" spans="1:2" x14ac:dyDescent="0.3">
      <c r="A135" s="79"/>
      <c r="B135" s="79"/>
    </row>
    <row r="136" spans="1:2" x14ac:dyDescent="0.3">
      <c r="A136" s="79"/>
      <c r="B136" s="79"/>
    </row>
    <row r="137" spans="1:2" x14ac:dyDescent="0.3">
      <c r="A137" s="79"/>
      <c r="B137" s="79"/>
    </row>
    <row r="138" spans="1:2" x14ac:dyDescent="0.3">
      <c r="A138" s="79"/>
      <c r="B138" s="79"/>
    </row>
    <row r="139" spans="1:2" x14ac:dyDescent="0.3">
      <c r="A139" s="79"/>
      <c r="B139" s="79"/>
    </row>
    <row r="140" spans="1:2" x14ac:dyDescent="0.3">
      <c r="A140" s="79"/>
      <c r="B140" s="79"/>
    </row>
    <row r="141" spans="1:2" x14ac:dyDescent="0.3">
      <c r="A141" s="79"/>
      <c r="B141" s="79"/>
    </row>
    <row r="142" spans="1:2" x14ac:dyDescent="0.3">
      <c r="A142" s="79"/>
      <c r="B142" s="79"/>
    </row>
    <row r="143" spans="1:2" x14ac:dyDescent="0.3">
      <c r="A143" s="79"/>
      <c r="B143" s="79"/>
    </row>
    <row r="144" spans="1:2" x14ac:dyDescent="0.3">
      <c r="A144" s="79"/>
      <c r="B144" s="79"/>
    </row>
    <row r="145" spans="1:2" x14ac:dyDescent="0.3">
      <c r="A145" s="79"/>
      <c r="B145" s="79"/>
    </row>
    <row r="146" spans="1:2" x14ac:dyDescent="0.3">
      <c r="A146" s="79"/>
      <c r="B146" s="79"/>
    </row>
    <row r="147" spans="1:2" x14ac:dyDescent="0.3">
      <c r="A147" s="79"/>
      <c r="B147" s="79"/>
    </row>
    <row r="148" spans="1:2" x14ac:dyDescent="0.3">
      <c r="A148" s="79"/>
      <c r="B148" s="79"/>
    </row>
    <row r="149" spans="1:2" x14ac:dyDescent="0.3">
      <c r="A149" s="79"/>
      <c r="B149" s="79"/>
    </row>
    <row r="150" spans="1:2" x14ac:dyDescent="0.3">
      <c r="A150" s="79"/>
      <c r="B150" s="79"/>
    </row>
    <row r="151" spans="1:2" x14ac:dyDescent="0.3">
      <c r="A151" s="79"/>
      <c r="B151" s="79"/>
    </row>
    <row r="152" spans="1:2" x14ac:dyDescent="0.3">
      <c r="A152" s="79"/>
      <c r="B152" s="79"/>
    </row>
    <row r="153" spans="1:2" x14ac:dyDescent="0.3">
      <c r="A153" s="79"/>
      <c r="B153" s="79"/>
    </row>
    <row r="154" spans="1:2" x14ac:dyDescent="0.3">
      <c r="A154" s="79"/>
      <c r="B154" s="79"/>
    </row>
    <row r="155" spans="1:2" x14ac:dyDescent="0.3">
      <c r="A155" s="79"/>
      <c r="B155" s="79"/>
    </row>
    <row r="156" spans="1:2" x14ac:dyDescent="0.3">
      <c r="A156" s="79"/>
      <c r="B156" s="79"/>
    </row>
    <row r="157" spans="1:2" x14ac:dyDescent="0.3">
      <c r="A157" s="79"/>
      <c r="B157" s="79"/>
    </row>
    <row r="158" spans="1:2" x14ac:dyDescent="0.3">
      <c r="A158" s="79"/>
      <c r="B158" s="79"/>
    </row>
    <row r="159" spans="1:2" x14ac:dyDescent="0.3">
      <c r="A159" s="79"/>
      <c r="B159" s="79"/>
    </row>
    <row r="160" spans="1:2" x14ac:dyDescent="0.3">
      <c r="A160" s="79"/>
      <c r="B160" s="1"/>
    </row>
    <row r="161" spans="1:2" x14ac:dyDescent="0.3">
      <c r="A161" s="79"/>
      <c r="B161" s="1"/>
    </row>
    <row r="162" spans="1:2" x14ac:dyDescent="0.3">
      <c r="A162" s="79"/>
      <c r="B162" s="1"/>
    </row>
    <row r="163" spans="1:2" x14ac:dyDescent="0.3">
      <c r="A163" s="79"/>
      <c r="B163" s="1"/>
    </row>
    <row r="164" spans="1:2" x14ac:dyDescent="0.3">
      <c r="A164" s="79"/>
      <c r="B164" s="1"/>
    </row>
    <row r="165" spans="1:2" x14ac:dyDescent="0.3">
      <c r="A165" s="79"/>
      <c r="B165" s="1"/>
    </row>
    <row r="166" spans="1:2" x14ac:dyDescent="0.3">
      <c r="A166" s="79"/>
      <c r="B166" s="1"/>
    </row>
    <row r="167" spans="1:2" x14ac:dyDescent="0.3">
      <c r="A167" s="79"/>
      <c r="B167" s="1"/>
    </row>
    <row r="168" spans="1:2" x14ac:dyDescent="0.3">
      <c r="A168" s="79"/>
      <c r="B168" s="1"/>
    </row>
    <row r="169" spans="1:2" x14ac:dyDescent="0.3">
      <c r="A169" s="79"/>
      <c r="B169" s="1"/>
    </row>
  </sheetData>
  <conditionalFormatting sqref="A116:A169">
    <cfRule type="duplicateValues" dxfId="27" priority="12"/>
  </conditionalFormatting>
  <conditionalFormatting sqref="B54:B93 B117:B169">
    <cfRule type="duplicateValues" dxfId="26" priority="13"/>
  </conditionalFormatting>
  <conditionalFormatting sqref="A29 A34:A36 A39:A40 A44:A53">
    <cfRule type="duplicateValues" dxfId="25" priority="14"/>
  </conditionalFormatting>
  <conditionalFormatting sqref="A54:A93">
    <cfRule type="expression" dxfId="24" priority="11" stopIfTrue="1">
      <formula>$C55&lt;&gt;""</formula>
    </cfRule>
  </conditionalFormatting>
  <conditionalFormatting sqref="A94:A97">
    <cfRule type="duplicateValues" dxfId="23" priority="9"/>
  </conditionalFormatting>
  <conditionalFormatting sqref="B94:B97">
    <cfRule type="duplicateValues" dxfId="22" priority="10"/>
  </conditionalFormatting>
  <conditionalFormatting sqref="A98:A106">
    <cfRule type="duplicateValues" dxfId="21" priority="7"/>
  </conditionalFormatting>
  <conditionalFormatting sqref="B98:B106">
    <cfRule type="duplicateValues" dxfId="20" priority="8"/>
  </conditionalFormatting>
  <conditionalFormatting sqref="A107:A115">
    <cfRule type="duplicateValues" dxfId="19" priority="5"/>
  </conditionalFormatting>
  <conditionalFormatting sqref="B107:B115">
    <cfRule type="duplicateValues" dxfId="18" priority="6"/>
  </conditionalFormatting>
  <conditionalFormatting sqref="B116">
    <cfRule type="duplicateValues" dxfId="17" priority="4"/>
  </conditionalFormatting>
  <conditionalFormatting sqref="B46:B53 B2:B36">
    <cfRule type="duplicateValues" dxfId="16" priority="19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7030A0"/>
  </sheetPr>
  <dimension ref="B1:AP20"/>
  <sheetViews>
    <sheetView showGridLines="0" topLeftCell="T1" workbookViewId="0">
      <selection activeCell="Z26" sqref="Z26"/>
    </sheetView>
  </sheetViews>
  <sheetFormatPr defaultColWidth="8.88671875" defaultRowHeight="14.4" x14ac:dyDescent="0.3"/>
  <cols>
    <col min="1" max="1" width="2.6640625" customWidth="1"/>
    <col min="2" max="2" width="17.44140625" customWidth="1"/>
    <col min="3" max="3" width="15.5546875" customWidth="1"/>
    <col min="4" max="4" width="15.88671875" customWidth="1"/>
    <col min="5" max="5" width="7.88671875" customWidth="1"/>
    <col min="6" max="6" width="25.6640625" customWidth="1"/>
    <col min="7" max="7" width="17.88671875" bestFit="1" customWidth="1"/>
    <col min="8" max="8" width="4.6640625" customWidth="1"/>
    <col min="9" max="9" width="7.6640625" customWidth="1"/>
    <col min="10" max="10" width="5.33203125" customWidth="1"/>
    <col min="11" max="11" width="6.109375" customWidth="1"/>
    <col min="12" max="12" width="3.88671875" customWidth="1"/>
    <col min="13" max="13" width="15.33203125" customWidth="1"/>
    <col min="14" max="14" width="26.109375" customWidth="1"/>
    <col min="15" max="15" width="6.6640625" customWidth="1"/>
    <col min="16" max="16" width="12.33203125" customWidth="1"/>
    <col min="17" max="17" width="3.6640625" customWidth="1"/>
    <col min="18" max="18" width="8.88671875" customWidth="1"/>
    <col min="19" max="19" width="15.33203125" customWidth="1"/>
    <col min="33" max="33" width="16.109375" bestFit="1" customWidth="1"/>
  </cols>
  <sheetData>
    <row r="1" spans="2:42" ht="18" customHeight="1" x14ac:dyDescent="0.3">
      <c r="C1" s="1"/>
      <c r="D1" s="1"/>
      <c r="E1" s="1"/>
      <c r="F1" s="1"/>
      <c r="G1" s="1"/>
      <c r="H1" s="1"/>
      <c r="I1" s="1"/>
      <c r="J1" s="1"/>
      <c r="K1" s="1"/>
      <c r="L1" s="1"/>
      <c r="M1" s="11" t="s">
        <v>68</v>
      </c>
      <c r="N1" s="9">
        <v>44893</v>
      </c>
    </row>
    <row r="2" spans="2:42" ht="18" customHeight="1" x14ac:dyDescent="0.3">
      <c r="C2" s="1"/>
      <c r="D2" s="1"/>
      <c r="E2" s="1"/>
      <c r="F2" s="1"/>
      <c r="G2" s="1"/>
      <c r="H2" s="1"/>
      <c r="I2" s="1"/>
      <c r="J2" s="1"/>
      <c r="K2" s="1"/>
      <c r="L2" s="1"/>
      <c r="M2" s="11" t="s">
        <v>69</v>
      </c>
      <c r="N2" s="8"/>
    </row>
    <row r="3" spans="2:42" ht="18" customHeight="1" thickBot="1" x14ac:dyDescent="0.35">
      <c r="C3" s="1"/>
      <c r="D3" s="1"/>
      <c r="E3" s="1"/>
      <c r="F3" s="1"/>
      <c r="G3" s="1"/>
      <c r="H3" s="1"/>
      <c r="I3" s="1"/>
      <c r="J3" s="1"/>
      <c r="K3" s="1"/>
      <c r="L3" s="1"/>
      <c r="M3" s="10" t="s">
        <v>70</v>
      </c>
      <c r="N3" s="8" t="s">
        <v>71</v>
      </c>
      <c r="AO3" t="s">
        <v>62</v>
      </c>
      <c r="AP3" s="4">
        <v>54</v>
      </c>
    </row>
    <row r="4" spans="2:42" ht="28.95" customHeight="1" thickTop="1" thickBot="1" x14ac:dyDescent="0.35">
      <c r="B4" s="7" t="s">
        <v>73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42" ht="15" thickTop="1" x14ac:dyDescent="0.3">
      <c r="AH5" s="97" t="s">
        <v>87</v>
      </c>
      <c r="AI5" s="98"/>
      <c r="AJ5" s="99"/>
      <c r="AL5" s="97" t="s">
        <v>85</v>
      </c>
      <c r="AM5" s="98"/>
      <c r="AN5" s="98"/>
      <c r="AO5" s="98"/>
      <c r="AP5" s="99"/>
    </row>
    <row r="7" spans="2:42" ht="13.2" customHeight="1" x14ac:dyDescent="0.3">
      <c r="AJ7" s="100" t="s">
        <v>88</v>
      </c>
      <c r="AK7" s="101"/>
      <c r="AL7" s="102"/>
      <c r="AM7" s="39"/>
      <c r="AN7" s="4" t="s">
        <v>86</v>
      </c>
    </row>
    <row r="8" spans="2:42" x14ac:dyDescent="0.3">
      <c r="B8" s="4" t="s">
        <v>130</v>
      </c>
      <c r="C8" s="57"/>
      <c r="AH8" s="4"/>
      <c r="AK8" s="38" t="s">
        <v>84</v>
      </c>
      <c r="AN8" s="40">
        <v>2</v>
      </c>
    </row>
    <row r="9" spans="2:42" x14ac:dyDescent="0.3">
      <c r="B9" s="58" t="s">
        <v>129</v>
      </c>
      <c r="C9" s="57"/>
      <c r="AG9" s="60" t="s">
        <v>130</v>
      </c>
      <c r="AI9" s="12"/>
      <c r="AJ9" s="12"/>
      <c r="AN9" s="41">
        <v>1</v>
      </c>
    </row>
    <row r="10" spans="2:42" ht="16.95" customHeight="1" x14ac:dyDescent="0.3">
      <c r="B10" s="59" t="s">
        <v>128</v>
      </c>
      <c r="C10" s="57"/>
      <c r="AG10" s="61" t="s">
        <v>136</v>
      </c>
    </row>
    <row r="11" spans="2:42" ht="16.95" customHeight="1" x14ac:dyDescent="0.3">
      <c r="B11" s="57"/>
      <c r="C11" s="57"/>
      <c r="AG11" s="13" t="s">
        <v>137</v>
      </c>
    </row>
    <row r="12" spans="2:42" ht="16.95" customHeight="1" x14ac:dyDescent="0.3">
      <c r="B12" s="57"/>
      <c r="C12" s="57"/>
    </row>
    <row r="13" spans="2:42" x14ac:dyDescent="0.3">
      <c r="B13" s="57"/>
      <c r="C13" s="57"/>
    </row>
    <row r="14" spans="2:42" x14ac:dyDescent="0.3">
      <c r="B14" s="57"/>
      <c r="C14" s="57"/>
    </row>
    <row r="15" spans="2:42" x14ac:dyDescent="0.3">
      <c r="B15" s="57"/>
      <c r="C15" s="57"/>
    </row>
    <row r="16" spans="2:42" x14ac:dyDescent="0.3">
      <c r="B16" s="57"/>
      <c r="C16" s="57"/>
    </row>
    <row r="17" spans="3:12" x14ac:dyDescent="0.3">
      <c r="C17" s="57"/>
    </row>
    <row r="18" spans="3:12" x14ac:dyDescent="0.3">
      <c r="C18" s="57"/>
      <c r="F18" s="31"/>
      <c r="G18" s="31"/>
      <c r="H18" s="31"/>
    </row>
    <row r="20" spans="3:12" x14ac:dyDescent="0.3">
      <c r="H20" s="32"/>
      <c r="I20" s="32"/>
      <c r="J20" s="32"/>
      <c r="K20" s="32"/>
      <c r="L20" s="32"/>
    </row>
  </sheetData>
  <mergeCells count="3">
    <mergeCell ref="AL5:AP5"/>
    <mergeCell ref="AJ7:AL7"/>
    <mergeCell ref="AH5:AJ5"/>
  </mergeCells>
  <conditionalFormatting sqref="AG11">
    <cfRule type="expression" dxfId="11" priority="1" stopIfTrue="1">
      <formula>$C11&lt;&gt;""</formula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/>
  <dimension ref="A1:C5"/>
  <sheetViews>
    <sheetView showGridLines="0" workbookViewId="0">
      <selection activeCell="C13" sqref="C13"/>
    </sheetView>
  </sheetViews>
  <sheetFormatPr defaultColWidth="8.88671875" defaultRowHeight="14.4" x14ac:dyDescent="0.3"/>
  <cols>
    <col min="1" max="1" width="18.33203125" customWidth="1"/>
    <col min="4" max="4" width="12.33203125" customWidth="1"/>
  </cols>
  <sheetData>
    <row r="1" spans="1:3" x14ac:dyDescent="0.3">
      <c r="A1" s="20" t="s">
        <v>65</v>
      </c>
      <c r="B1" s="1" cm="1">
        <f t="array" ref="B1">_xlfn.IFS(IsDaysGantt,1,IsWeeksGant,7,IsMonthsGantt,30)</f>
        <v>7</v>
      </c>
      <c r="C1" s="1">
        <v>2</v>
      </c>
    </row>
    <row r="2" spans="1:3" x14ac:dyDescent="0.3">
      <c r="A2" s="20" t="s">
        <v>72</v>
      </c>
      <c r="B2" t="b">
        <v>0</v>
      </c>
    </row>
    <row r="3" spans="1:3" x14ac:dyDescent="0.3">
      <c r="A3" s="20" t="s">
        <v>83</v>
      </c>
      <c r="B3" t="b">
        <f>RadioBtnResult=1</f>
        <v>0</v>
      </c>
    </row>
    <row r="4" spans="1:3" x14ac:dyDescent="0.3">
      <c r="A4" s="20" t="s">
        <v>81</v>
      </c>
      <c r="B4" s="4" t="b">
        <f>RadioBtnResult=2</f>
        <v>1</v>
      </c>
    </row>
    <row r="5" spans="1:3" x14ac:dyDescent="0.3">
      <c r="A5" s="20" t="s">
        <v>82</v>
      </c>
      <c r="B5" t="b">
        <f>RadioBtnResult=3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Macro-planing projet</vt:lpstr>
      <vt:lpstr>DaysToIncrement</vt:lpstr>
      <vt:lpstr>FirstMonthTheme</vt:lpstr>
      <vt:lpstr>GanttColor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ProjectStart</vt:lpstr>
      <vt:lpstr>RadioBtnResult</vt:lpstr>
      <vt:lpstr>ScrollingIncrement</vt:lpstr>
      <vt:lpstr>SecondMonthTheme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Samir</cp:lastModifiedBy>
  <cp:lastPrinted>2023-04-05T10:50:05Z</cp:lastPrinted>
  <dcterms:created xsi:type="dcterms:W3CDTF">2023-04-01T16:52:07Z</dcterms:created>
  <dcterms:modified xsi:type="dcterms:W3CDTF">2023-10-27T09:57:36Z</dcterms:modified>
</cp:coreProperties>
</file>