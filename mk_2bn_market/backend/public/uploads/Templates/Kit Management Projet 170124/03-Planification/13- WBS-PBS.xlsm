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TODO\Update Kit 2023\Kit management projet 050923\03-Planification\"/>
    </mc:Choice>
  </mc:AlternateContent>
  <xr:revisionPtr revIDLastSave="0" documentId="13_ncr:1_{21A77CFD-479C-4FD6-9F52-52B75FBF6C3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BS SAP" sheetId="4" r:id="rId1"/>
    <sheet name="WBS SAP" sheetId="2" r:id="rId2"/>
    <sheet name="Langue" sheetId="5" state="veryHidden" r:id="rId3"/>
    <sheet name="Données" sheetId="3" state="veryHidden" r:id="rId4"/>
  </sheets>
  <definedNames>
    <definedName name="Langue">'PBS SAP'!$I$4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" l="1"/>
  <c r="E7" i="2"/>
  <c r="E51" i="2"/>
  <c r="E35" i="2"/>
  <c r="E28" i="2"/>
</calcChain>
</file>

<file path=xl/sharedStrings.xml><?xml version="1.0" encoding="utf-8"?>
<sst xmlns="http://schemas.openxmlformats.org/spreadsheetml/2006/main" count="329" uniqueCount="219">
  <si>
    <t>Initialisation</t>
  </si>
  <si>
    <t>Planification</t>
  </si>
  <si>
    <t>Réalisation</t>
  </si>
  <si>
    <t>Contrôle et suivi</t>
  </si>
  <si>
    <t>Clôture</t>
  </si>
  <si>
    <t>Etude d'opportunité et approbation</t>
  </si>
  <si>
    <t>Préparation de la Charte Projet - Justification</t>
  </si>
  <si>
    <t>Rédaction de la Charte Projet</t>
  </si>
  <si>
    <t>Approbation de la Charte Projet</t>
  </si>
  <si>
    <t>Conception générale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</si>
  <si>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</si>
  <si>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</si>
  <si>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</si>
  <si>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</si>
  <si>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 xml:space="preserve">Paramétrage et tests unitaires 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</si>
  <si>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</si>
  <si>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</si>
  <si>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</si>
  <si>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</si>
  <si>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</si>
  <si>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Tests d'intégration et de consolidation</t>
  </si>
  <si>
    <t xml:space="preserve">Tests d'intégration et consolidation, validation du système 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</si>
  <si>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</si>
  <si>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</si>
  <si>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</si>
  <si>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</si>
  <si>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</si>
  <si>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</si>
  <si>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</si>
  <si>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</si>
  <si>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</si>
  <si>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</si>
  <si>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Clôture mensuelle</t>
  </si>
  <si>
    <t>PV Accusé de réception</t>
  </si>
  <si>
    <t>Liste des corrections</t>
  </si>
  <si>
    <t>Documentation leçons apprises Projet</t>
  </si>
  <si>
    <t>Plan de corrections</t>
  </si>
  <si>
    <t>Réunion de clôture</t>
  </si>
  <si>
    <t>Formation des utilisateurs</t>
  </si>
  <si>
    <t>Niveau</t>
  </si>
  <si>
    <t>Activités</t>
  </si>
  <si>
    <t>1.1</t>
  </si>
  <si>
    <t>1.0</t>
  </si>
  <si>
    <t>1.2</t>
  </si>
  <si>
    <t>1.3</t>
  </si>
  <si>
    <t>1.4</t>
  </si>
  <si>
    <t>ID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</si>
  <si>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</si>
  <si>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</si>
  <si>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</si>
  <si>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</si>
  <si>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</si>
  <si>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</si>
  <si>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</si>
  <si>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</si>
  <si>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</si>
  <si>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</si>
  <si>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</si>
  <si>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</si>
  <si>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</si>
  <si>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</si>
  <si>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</si>
  <si>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</si>
  <si>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</si>
  <si>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</si>
  <si>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</si>
  <si>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</si>
  <si>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</si>
  <si>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</si>
  <si>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</si>
  <si>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</si>
  <si>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</si>
  <si>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</si>
  <si>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</si>
  <si>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</si>
  <si>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</si>
  <si>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</si>
  <si>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1.3.1</t>
  </si>
  <si>
    <t>Evaluation initiale des risques</t>
  </si>
  <si>
    <t>Schéma de gouvernance</t>
  </si>
  <si>
    <t>Stratégie de formation</t>
  </si>
  <si>
    <t>SAP</t>
  </si>
  <si>
    <t>Module finances</t>
  </si>
  <si>
    <t>Module achats</t>
  </si>
  <si>
    <t>Module ventes</t>
  </si>
  <si>
    <t>Module logistique</t>
  </si>
  <si>
    <t>Module support de production</t>
  </si>
  <si>
    <t>Niveaux</t>
  </si>
  <si>
    <t>Charge de travail</t>
  </si>
  <si>
    <t>Conception détaillée</t>
  </si>
  <si>
    <t>2.5.1</t>
  </si>
  <si>
    <t>2.5.2</t>
  </si>
  <si>
    <t>2.6</t>
  </si>
  <si>
    <t>SFD (spécifications fonctionnelles détaillées) modules finances</t>
  </si>
  <si>
    <t>SFD modules achats</t>
  </si>
  <si>
    <t>SFD modules ventes</t>
  </si>
  <si>
    <t>SFD modules logistique</t>
  </si>
  <si>
    <t>SFD modules support de production</t>
  </si>
  <si>
    <t>2.3.1</t>
  </si>
  <si>
    <t>2.3.2</t>
  </si>
  <si>
    <t>2.3.3</t>
  </si>
  <si>
    <t>2.3.4</t>
  </si>
  <si>
    <t>2.3.5</t>
  </si>
  <si>
    <t>Réception des marchandises</t>
  </si>
  <si>
    <t>Inventaires</t>
  </si>
  <si>
    <t>Planification des ressources</t>
  </si>
  <si>
    <t>Comptabilité générale</t>
  </si>
  <si>
    <t>Comptabilité client</t>
  </si>
  <si>
    <t>Comptabilité fournisseur</t>
  </si>
  <si>
    <t>Comptabilité des immobilisations</t>
  </si>
  <si>
    <t>Gestion de trésorerie et comptabilité bancaire</t>
  </si>
  <si>
    <t>Gestion des déplacements</t>
  </si>
  <si>
    <t>Consolidations</t>
  </si>
  <si>
    <t>Planification des besoins</t>
  </si>
  <si>
    <t>Gestion des commandes</t>
  </si>
  <si>
    <t>Gestion des approvisionnements</t>
  </si>
  <si>
    <t>Gestion de la sous-traitance</t>
  </si>
  <si>
    <t>Supports de ventes</t>
  </si>
  <si>
    <t>Gestion des offres</t>
  </si>
  <si>
    <t>Gestion des expéditions</t>
  </si>
  <si>
    <t>Planification de la production</t>
  </si>
  <si>
    <t>Planification des capacités</t>
  </si>
  <si>
    <t>Suivi de la production</t>
  </si>
  <si>
    <t>Gestion des données techniques</t>
  </si>
  <si>
    <t>5.6</t>
  </si>
  <si>
    <t>Gestion de la facturation</t>
  </si>
  <si>
    <t xml:space="preserve">Estimation macro des coûts/délais </t>
  </si>
  <si>
    <t>PBS SAP</t>
  </si>
  <si>
    <t>Données</t>
  </si>
  <si>
    <t>WBS SAP</t>
  </si>
  <si>
    <t>Français</t>
  </si>
  <si>
    <t>Anglais</t>
  </si>
  <si>
    <t>Langue</t>
  </si>
  <si>
    <t>Yes-No</t>
  </si>
  <si>
    <t>Yes</t>
  </si>
  <si>
    <t>No</t>
  </si>
  <si>
    <t>Language</t>
  </si>
  <si>
    <t>General Accounting</t>
  </si>
  <si>
    <t>Accounts Receivable</t>
  </si>
  <si>
    <t>Accounts Payable</t>
  </si>
  <si>
    <t>Fixed Asset Accounting</t>
  </si>
  <si>
    <t>Cash Management and Bank Accounting</t>
  </si>
  <si>
    <t>Travel Management</t>
  </si>
  <si>
    <t>Demand Planning</t>
  </si>
  <si>
    <t>Procurement Management</t>
  </si>
  <si>
    <t>Order Management</t>
  </si>
  <si>
    <t>Subcontracting Management</t>
  </si>
  <si>
    <t>Sales Support</t>
  </si>
  <si>
    <t>Quote Management</t>
  </si>
  <si>
    <t>Shipment Management</t>
  </si>
  <si>
    <t>Invoicing Management</t>
  </si>
  <si>
    <t>Goods Receipt</t>
  </si>
  <si>
    <t>Inventory Management</t>
  </si>
  <si>
    <t>Resource Planning</t>
  </si>
  <si>
    <t>Production Planning</t>
  </si>
  <si>
    <t>Capacity Planning</t>
  </si>
  <si>
    <t>Production Monitoring</t>
  </si>
  <si>
    <t>Technical Data Management</t>
  </si>
  <si>
    <t>Feasibility Study and Approval</t>
  </si>
  <si>
    <t>Project Charter Preparation Justification</t>
  </si>
  <si>
    <t>High-level Cost/Duration Estimation</t>
  </si>
  <si>
    <t>Project Charter Drafting</t>
  </si>
  <si>
    <t>Initial Risk Assessment</t>
  </si>
  <si>
    <t>Project Charter Approval</t>
  </si>
  <si>
    <t>High-level Design</t>
  </si>
  <si>
    <t>Requirements Specification Document (Cahier des charges) Writing</t>
  </si>
  <si>
    <t>Detailed Design</t>
  </si>
  <si>
    <t>Detailed Functional Specifications (SFD) for Finance Modules</t>
  </si>
  <si>
    <t>Detailed Functional Specifications (SFD) for Procurement Modules</t>
  </si>
  <si>
    <t>Detailed Functional Specifications (SFD) for Sales Modules</t>
  </si>
  <si>
    <t>Detailed Functional Specifications (SFD) for Logistics Modules</t>
  </si>
  <si>
    <t>Detailed Functional Specifications (SFD) for Production Support Modules</t>
  </si>
  <si>
    <t>Planning Development</t>
  </si>
  <si>
    <t>Communication Plan Development</t>
  </si>
  <si>
    <t>Training Strategy</t>
  </si>
  <si>
    <t>Governance Framework</t>
  </si>
  <si>
    <t>Approval of Requirements Specification, Communication Plan, Project Plan, and Schedule</t>
  </si>
  <si>
    <t>Configuration and Unit Testing</t>
  </si>
  <si>
    <t>Master Data Configuration and Corrections</t>
  </si>
  <si>
    <t>Configuration, Programming, and Production Testing</t>
  </si>
  <si>
    <t>System Testing, Bug Fixes, and Validation</t>
  </si>
  <si>
    <t>Formal User Acceptance Testing</t>
  </si>
  <si>
    <t>Phase Approval by Steering Committee</t>
  </si>
  <si>
    <t>Integration and Consolidation Testing</t>
  </si>
  <si>
    <t>Integration and Consolidation Testing, System Validation</t>
  </si>
  <si>
    <t>User Training</t>
  </si>
  <si>
    <t>Pre-Production Environment Preparation and Validation</t>
  </si>
  <si>
    <t>Deployment</t>
  </si>
  <si>
    <t>Go-Live and Validation</t>
  </si>
  <si>
    <t>Master Data Validation</t>
  </si>
  <si>
    <t>User Validation</t>
  </si>
  <si>
    <t>Production Start Decision</t>
  </si>
  <si>
    <t>Productive Start</t>
  </si>
  <si>
    <t>Functioning Monitoring, Documentation, and Corrections</t>
  </si>
  <si>
    <t>Master Data Corrections</t>
  </si>
  <si>
    <t>User Monitoring</t>
  </si>
  <si>
    <t>Monthly Closing</t>
  </si>
  <si>
    <t>Acknowledgment Meeting Minutes</t>
  </si>
  <si>
    <t>List of Corrections</t>
  </si>
  <si>
    <t>Lessons Learned Documentation</t>
  </si>
  <si>
    <t>Correction Plan</t>
  </si>
  <si>
    <t>Closure Meeting</t>
  </si>
  <si>
    <t>Level</t>
  </si>
  <si>
    <t>Activities</t>
  </si>
  <si>
    <t>Workload</t>
  </si>
  <si>
    <t>Le PBS (Product Breakdown Structure) 
est un procédé de découpage des livrables du projet en sous-produits.
Dans notre exemple, le produit qui est le progiciel SAP, est décomposé en sous produits, appelés "modules" à savoir :
* Module finances
* Module achats
* Module ventes
* Module logistique
* Module support de production
En savoir plus sur le PBS dans cet article.</t>
  </si>
  <si>
    <t xml:space="preserve">
The PBS (Product Breakdown Structure) is a method of breaking down the project deliverables into sub-products.
In our example, the product, which is the SAP software, is decomposed into sub-products called "modules," namely:
Finance Module
Purchasing Module
Sales Module
Logistics Module
Production Support Module
Learn more about PBS in this article.</t>
  </si>
  <si>
    <t>Le WBS (Work Breakdown Structure) 
est un procédé de découpage d'un projet, à partir du PBS, en tâches réalisables.
Les tâches liées à la gestion de projet sont regroupées par phase :
* Initialisation
* Planification
* Réalisation
* Suivi et contrôle
* Clôture
En savoir plus sur le WBS dans cet article.</t>
  </si>
  <si>
    <t>The WBS (Work Breakdown Structure) is a method of breaking down a project, based on the PBS, into achievable tasks.
Project management-related tasks are grouped by phase:
Initialization
Planning
Execution
Monitoring and Control
Closure
Learn more about WBS in this article.</t>
  </si>
  <si>
    <t>Finance Module</t>
  </si>
  <si>
    <t>Purchasing Module</t>
  </si>
  <si>
    <t>Sales Module</t>
  </si>
  <si>
    <t>Logistics Module</t>
  </si>
  <si>
    <t>Production Support Module</t>
  </si>
  <si>
    <t>Initialization</t>
  </si>
  <si>
    <t>Planning</t>
  </si>
  <si>
    <t>Execution</t>
  </si>
  <si>
    <t>Monitoring and Control</t>
  </si>
  <si>
    <t>Closure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</si>
</sst>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2"/>
      <color theme="1"/>
      <name val="Candara"/>
      <family val="2"/>
    </font>
    <font>
      <sz val="12"/>
      <color theme="1"/>
      <name val="Candar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2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12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62BD8A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B9E1CB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/>
      </right>
      <top style="thin">
        <color theme="9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 tint="0.39994506668294322"/>
      </top>
      <bottom style="thin">
        <color theme="9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/>
      </bottom>
      <diagonal/>
    </border>
    <border>
      <left style="thin">
        <color theme="9" tint="0.39994506668294322"/>
      </left>
      <right style="thin">
        <color theme="9"/>
      </right>
      <top style="thin">
        <color theme="9" tint="0.39994506668294322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 tint="0.39994506668294322"/>
      </bottom>
      <diagonal/>
    </border>
    <border>
      <left style="thin">
        <color theme="9"/>
      </left>
      <right style="thin">
        <color theme="9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/>
      </left>
      <right style="thin">
        <color theme="9"/>
      </right>
      <top style="thin">
        <color theme="9" tint="0.39994506668294322"/>
      </top>
      <bottom style="thin">
        <color theme="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/>
    <xf numFmtId="0" fontId="5" fillId="0" borderId="0" xfId="0" applyFont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7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3" borderId="3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4" fillId="4" borderId="1" xfId="0" applyFont="1" applyFill="1" applyBorder="1" applyAlignment="1">
      <alignment vertical="center"/>
    </xf>
  </cellXfs>
  <cellStyles count="1">
    <cellStyle name="Normal" xfId="0" builtinId="0"/>
  </cellStyles>
  <dxfs count="9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85E3F"/>
      <color rgb="FF3E9463"/>
      <color rgb="FF62BD8A"/>
      <color rgb="FFA3D9BA"/>
      <color rgb="FF80CAA0"/>
      <color rgb="FFCEEADA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I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-gestion-de-projet.com/docs/kit-management-projet/planification/work-breakdown-structure-wbs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comment-construire-votre-pbs-product-breakdown-structure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-gestion-de-projet.com/docs/kit-management-projet/planification/work-breakdown-structure-wbs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wbs-projet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541020</xdr:colOff>
      <xdr:row>4</xdr:row>
      <xdr:rowOff>236220</xdr:rowOff>
    </xdr:from>
    <xdr:to>
      <xdr:col>11</xdr:col>
      <xdr:colOff>358140</xdr:colOff>
      <xdr:row>19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0980" y="1272540"/>
          <a:ext cx="5364480" cy="2903220"/>
        </a:xfrm>
        <a:prstGeom prst="roundRect">
          <a:avLst>
            <a:gd name="adj" fmla="val 3365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0">
              <a:solidFill>
                <a:sysClr val="windowText" lastClr="000000"/>
              </a:solidFill>
            </a:rPr>
            <a:t>Le PBS (Product Breakdown Structure) 
est un procédé de découpage des livrables du projet en sous-produits.
Dans notre exemple, le produit qui est le progiciel SAP, est décomposé en sous produits, appelés "modules" à savoir :
* Module finances
* Module achats
* Module ventes
* Module logistique
* Module support de production
En savoir plus sur le PBS dans cet article.</a:t>
          </a:r>
          <a:endParaRPr lang="fr-FR" sz="1200" b="0" baseline="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83820</xdr:colOff>
      <xdr:row>0</xdr:row>
      <xdr:rowOff>68580</xdr:rowOff>
    </xdr:from>
    <xdr:ext cx="2308859" cy="493810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6858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1651635</xdr:colOff>
      <xdr:row>3</xdr:row>
      <xdr:rowOff>45720</xdr:rowOff>
    </xdr:from>
    <xdr:to>
      <xdr:col>3</xdr:col>
      <xdr:colOff>3192460</xdr:colOff>
      <xdr:row>3</xdr:row>
      <xdr:rowOff>286741</xdr:rowOff>
    </xdr:to>
    <xdr:sp macro="[0]!NavBar" textlink="">
      <xdr:nvSpPr>
        <xdr:cNvPr id="5" name="BtnPB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442335" y="7315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PBS SAP</a:t>
          </a:r>
        </a:p>
      </xdr:txBody>
    </xdr:sp>
    <xdr:clientData/>
  </xdr:twoCellAnchor>
  <xdr:twoCellAnchor editAs="absolute">
    <xdr:from>
      <xdr:col>3</xdr:col>
      <xdr:colOff>3286439</xdr:colOff>
      <xdr:row>3</xdr:row>
      <xdr:rowOff>48758</xdr:rowOff>
    </xdr:from>
    <xdr:to>
      <xdr:col>3</xdr:col>
      <xdr:colOff>5055462</xdr:colOff>
      <xdr:row>3</xdr:row>
      <xdr:rowOff>289779</xdr:rowOff>
    </xdr:to>
    <xdr:sp macro="[0]!NavBar" textlink="">
      <xdr:nvSpPr>
        <xdr:cNvPr id="6" name="BtnWB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77139" y="7345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WBS SAP</a:t>
          </a:r>
          <a:endParaRPr lang="en-US" sz="105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3</xdr:row>
          <xdr:rowOff>68580</xdr:rowOff>
        </xdr:from>
        <xdr:to>
          <xdr:col>9</xdr:col>
          <xdr:colOff>746760</xdr:colOff>
          <xdr:row>3</xdr:row>
          <xdr:rowOff>289560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57150</xdr:colOff>
      <xdr:row>3</xdr:row>
      <xdr:rowOff>47625</xdr:rowOff>
    </xdr:from>
    <xdr:to>
      <xdr:col>3</xdr:col>
      <xdr:colOff>1578523</xdr:colOff>
      <xdr:row>3</xdr:row>
      <xdr:rowOff>288646</xdr:rowOff>
    </xdr:to>
    <xdr:sp macro="[0]!NavBar" textlink="">
      <xdr:nvSpPr>
        <xdr:cNvPr id="3" name="BtnWB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47850" y="733425"/>
          <a:ext cx="1521373" cy="241021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320040</xdr:colOff>
      <xdr:row>5</xdr:row>
      <xdr:rowOff>114300</xdr:rowOff>
    </xdr:from>
    <xdr:to>
      <xdr:col>11</xdr:col>
      <xdr:colOff>784860</xdr:colOff>
      <xdr:row>18</xdr:row>
      <xdr:rowOff>167640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9140" y="1356360"/>
          <a:ext cx="5158740" cy="2522220"/>
        </a:xfrm>
        <a:prstGeom prst="roundRect">
          <a:avLst>
            <a:gd name="adj" fmla="val 5844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0">
              <a:solidFill>
                <a:sysClr val="windowText" lastClr="000000"/>
              </a:solidFill>
            </a:rPr>
            <a:t>Le WBS (Work Breakdown Structure) 
est un procédé de découpage d'un projet, à partir du PBS, en tâches réalisables.
Les tâches liées à la gestion de projet sont regroupées par phase :
* Initialisation
* Planification
* Réalisation
* Suivi et contrôle
* Clôture
En savoir plus sur le WBS dans cet article.</a:t>
          </a:r>
          <a:endParaRPr lang="fr-FR" sz="1200" b="0" baseline="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236220</xdr:colOff>
      <xdr:row>0</xdr:row>
      <xdr:rowOff>83820</xdr:rowOff>
    </xdr:from>
    <xdr:ext cx="2308859" cy="49381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838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1741170</xdr:colOff>
      <xdr:row>3</xdr:row>
      <xdr:rowOff>43815</xdr:rowOff>
    </xdr:from>
    <xdr:to>
      <xdr:col>3</xdr:col>
      <xdr:colOff>3281995</xdr:colOff>
      <xdr:row>3</xdr:row>
      <xdr:rowOff>284836</xdr:rowOff>
    </xdr:to>
    <xdr:sp macro="[0]!NavBar" textlink="">
      <xdr:nvSpPr>
        <xdr:cNvPr id="5" name="BtnPB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93745" y="729615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PBS SAP</a:t>
          </a:r>
        </a:p>
      </xdr:txBody>
    </xdr:sp>
    <xdr:clientData/>
  </xdr:twoCellAnchor>
  <xdr:twoCellAnchor editAs="absolute">
    <xdr:from>
      <xdr:col>3</xdr:col>
      <xdr:colOff>3375974</xdr:colOff>
      <xdr:row>3</xdr:row>
      <xdr:rowOff>46853</xdr:rowOff>
    </xdr:from>
    <xdr:to>
      <xdr:col>4</xdr:col>
      <xdr:colOff>134847</xdr:colOff>
      <xdr:row>3</xdr:row>
      <xdr:rowOff>287874</xdr:rowOff>
    </xdr:to>
    <xdr:sp macro="[0]!NavBar" textlink="">
      <xdr:nvSpPr>
        <xdr:cNvPr id="6" name="BtnWB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928549" y="732653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WBS SAP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3</xdr:col>
      <xdr:colOff>123825</xdr:colOff>
      <xdr:row>3</xdr:row>
      <xdr:rowOff>47625</xdr:rowOff>
    </xdr:from>
    <xdr:to>
      <xdr:col>3</xdr:col>
      <xdr:colOff>1645198</xdr:colOff>
      <xdr:row>3</xdr:row>
      <xdr:rowOff>288646</xdr:rowOff>
    </xdr:to>
    <xdr:sp macro="[0]!NavBar" textlink="">
      <xdr:nvSpPr>
        <xdr:cNvPr id="4" name="BtnWB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76400" y="733425"/>
          <a:ext cx="1521373" cy="241021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236220</xdr:colOff>
      <xdr:row>0</xdr:row>
      <xdr:rowOff>83820</xdr:rowOff>
    </xdr:from>
    <xdr:ext cx="2308859" cy="49381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838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365760</xdr:colOff>
      <xdr:row>3</xdr:row>
      <xdr:rowOff>53340</xdr:rowOff>
    </xdr:from>
    <xdr:to>
      <xdr:col>9</xdr:col>
      <xdr:colOff>731520</xdr:colOff>
      <xdr:row>3</xdr:row>
      <xdr:rowOff>297399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2316480" y="762000"/>
          <a:ext cx="5120640" cy="244059"/>
          <a:chOff x="3238500" y="815340"/>
          <a:chExt cx="4057200" cy="251285"/>
        </a:xfrm>
      </xdr:grpSpPr>
      <xdr:sp macro="[0]!NavBar" textlink="">
        <xdr:nvSpPr>
          <xdr:cNvPr id="4" name="BtnPBS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PBS SAP</a:t>
            </a:r>
          </a:p>
        </xdr:txBody>
      </xdr:sp>
      <xdr:sp macro="[0]!NavBar" textlink="">
        <xdr:nvSpPr>
          <xdr:cNvPr id="5" name="BtnWBS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533793" y="818468"/>
            <a:ext cx="1401637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1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WBS SAP</a:t>
            </a:r>
            <a:endParaRPr lang="en-US" sz="1050">
              <a:effectLst/>
            </a:endParaRPr>
          </a:p>
        </xdr:txBody>
      </xdr:sp>
      <xdr:sp macro="[0]!NavBar" textlink="">
        <xdr:nvSpPr>
          <xdr:cNvPr id="6" name="BtnDonnee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2030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Données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DB8B2-B7A2-477A-B1AA-409821A070AD}" name="TabLangue" displayName="TabLangue" ref="A1:B84" totalsRowShown="0" headerRowDxfId="6" dataDxfId="5">
  <autoFilter ref="A1:B84" xr:uid="{53DDB8B2-B7A2-477A-B1AA-409821A070AD}"/>
  <sortState xmlns:xlrd2="http://schemas.microsoft.com/office/spreadsheetml/2017/richdata2" ref="A2:B2">
    <sortCondition ref="A1:A2"/>
  </sortState>
  <tableColumns count="2">
    <tableColumn id="1" xr3:uid="{FF54181D-8996-41A1-B71D-B448E570F9CF}" name="Français" dataDxfId="4"/>
    <tableColumn id="2" xr3:uid="{7F7F0F2E-52DA-4DEE-A311-23CB5E5B1E83}" name="Anglai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BAF5A4-E1AD-4A63-A31F-A488C6675872}" name="TabLang" displayName="TabLang" ref="F1:F3" totalsRowShown="0">
  <autoFilter ref="F1:F3" xr:uid="{95BAF5A4-E1AD-4A63-A31F-A488C6675872}"/>
  <tableColumns count="1">
    <tableColumn id="1" xr3:uid="{8A0AC0D5-B56F-4F60-9320-51CF3CA06327}" name="Lang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592775-49C9-4FD1-AE0C-FD9ABFC8A0D6}" name="TabYesNo" displayName="TabYesNo" ref="H1:H3" totalsRowShown="0">
  <autoFilter ref="H1:H3" xr:uid="{9F592775-49C9-4FD1-AE0C-FD9ABFC8A0D6}"/>
  <tableColumns count="1">
    <tableColumn id="1" xr3:uid="{7748BD55-7FBB-4B0B-8D6E-BB2C244090F5}" name="Yes-N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39DF0-3CE4-4EFD-BB17-EC38383C2DCD}" name="TabNiveaux" displayName="TabNiveaux" ref="B6:B11" totalsRowShown="0" headerRowDxfId="2" dataDxfId="1">
  <tableColumns count="1">
    <tableColumn id="1" xr3:uid="{D087488E-53FA-4607-8477-1B3A29451AF7}" name="Niveaux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8506-5417-4E10-8AA1-08794D9E04EF}">
  <sheetPr codeName="ShPBS">
    <tabColor theme="4"/>
  </sheetPr>
  <dimension ref="A1:O131"/>
  <sheetViews>
    <sheetView showGridLines="0" tabSelected="1" workbookViewId="0">
      <selection activeCell="D14" sqref="D14"/>
    </sheetView>
  </sheetViews>
  <sheetFormatPr defaultColWidth="11.5546875" defaultRowHeight="14.4" outlineLevelRow="1" x14ac:dyDescent="0.3"/>
  <cols>
    <col min="1" max="1" width="3.6640625" customWidth="1"/>
    <col min="4" max="4" width="79.6640625" customWidth="1"/>
  </cols>
  <sheetData>
    <row r="1" spans="1:15" s="8" customFormat="1" ht="18.600000000000001" customHeight="1" x14ac:dyDescent="0.3"/>
    <row r="2" spans="1:15" ht="18.600000000000001" customHeight="1" x14ac:dyDescent="0.3">
      <c r="M2" s="9"/>
      <c r="N2" s="9"/>
      <c r="O2" s="9"/>
    </row>
    <row r="3" spans="1:15" ht="18.600000000000001" customHeight="1" thickBot="1" x14ac:dyDescent="0.35">
      <c r="M3" s="9"/>
      <c r="N3" s="9"/>
      <c r="O3" s="9"/>
    </row>
    <row r="4" spans="1:15" ht="25.95" customHeight="1" thickTop="1" thickBot="1" x14ac:dyDescent="0.35">
      <c r="A4" s="10"/>
      <c r="B4" s="10" t="s">
        <v>127</v>
      </c>
      <c r="C4" s="10"/>
      <c r="D4" s="10"/>
      <c r="E4" s="11"/>
      <c r="F4" s="10"/>
      <c r="G4" s="10"/>
      <c r="H4" s="33" t="s">
        <v>132</v>
      </c>
      <c r="I4" s="10">
        <v>2</v>
      </c>
      <c r="J4" s="10"/>
      <c r="K4" s="10"/>
      <c r="L4" s="10"/>
      <c r="M4" s="9"/>
      <c r="N4" s="9"/>
      <c r="O4" s="9"/>
    </row>
    <row r="5" spans="1:15" ht="19.95" customHeight="1" thickTop="1" x14ac:dyDescent="0.3">
      <c r="M5" s="9"/>
      <c r="N5" s="9"/>
      <c r="O5" s="9"/>
    </row>
    <row r="6" spans="1:15" ht="15.6" x14ac:dyDescent="0.3">
      <c r="B6" s="15" t="s">
        <v>39</v>
      </c>
      <c r="C6" s="16" t="s">
        <v>46</v>
      </c>
      <c r="D6" s="17" t="s">
        <v>81</v>
      </c>
    </row>
    <row r="7" spans="1:15" ht="15.6" x14ac:dyDescent="0.3">
      <c r="B7" s="22">
        <v>1</v>
      </c>
      <c r="C7" s="12">
        <v>1</v>
      </c>
      <c r="D7" s="18" t="s">
        <v>82</v>
      </c>
      <c r="E7" s="3"/>
    </row>
    <row r="8" spans="1:15" ht="15.6" customHeight="1" outlineLevel="1" x14ac:dyDescent="0.3">
      <c r="B8" s="22">
        <v>2</v>
      </c>
      <c r="C8" s="13" t="s">
        <v>41</v>
      </c>
      <c r="D8" s="19" t="s">
        <v>106</v>
      </c>
      <c r="E8" s="3"/>
    </row>
    <row r="9" spans="1:15" ht="15.6" customHeight="1" outlineLevel="1" x14ac:dyDescent="0.3">
      <c r="B9" s="22">
        <v>2</v>
      </c>
      <c r="C9" s="13">
        <v>1.1000000000000001</v>
      </c>
      <c r="D9" s="19" t="s">
        <v>107</v>
      </c>
      <c r="E9" s="3"/>
    </row>
    <row r="10" spans="1:15" ht="15.6" customHeight="1" outlineLevel="1" x14ac:dyDescent="0.3">
      <c r="B10" s="22">
        <v>2</v>
      </c>
      <c r="C10" s="13" t="s">
        <v>43</v>
      </c>
      <c r="D10" s="19" t="s">
        <v>108</v>
      </c>
      <c r="E10" s="3"/>
    </row>
    <row r="11" spans="1:15" ht="15.6" customHeight="1" outlineLevel="1" x14ac:dyDescent="0.3">
      <c r="B11" s="22">
        <v>2</v>
      </c>
      <c r="C11" s="13" t="s">
        <v>41</v>
      </c>
      <c r="D11" s="19" t="s">
        <v>109</v>
      </c>
      <c r="E11" s="3"/>
    </row>
    <row r="12" spans="1:15" ht="15.6" customHeight="1" outlineLevel="1" x14ac:dyDescent="0.3">
      <c r="B12" s="22">
        <v>2</v>
      </c>
      <c r="C12" s="13" t="s">
        <v>41</v>
      </c>
      <c r="D12" s="19" t="s">
        <v>110</v>
      </c>
      <c r="E12" s="3"/>
    </row>
    <row r="13" spans="1:15" ht="15.6" customHeight="1" outlineLevel="1" x14ac:dyDescent="0.3">
      <c r="B13" s="22">
        <v>2</v>
      </c>
      <c r="C13" s="13" t="s">
        <v>43</v>
      </c>
      <c r="D13" s="19" t="s">
        <v>111</v>
      </c>
      <c r="E13" s="3"/>
    </row>
    <row r="14" spans="1:15" ht="15.6" customHeight="1" outlineLevel="1" x14ac:dyDescent="0.3">
      <c r="B14" s="22">
        <v>4</v>
      </c>
      <c r="C14" s="13" t="s">
        <v>41</v>
      </c>
      <c r="D14" s="19" t="s">
        <v>112</v>
      </c>
      <c r="E14" s="3"/>
    </row>
    <row r="15" spans="1:15" ht="15.6" customHeight="1" x14ac:dyDescent="0.3">
      <c r="B15" s="23">
        <v>1</v>
      </c>
      <c r="C15" s="12">
        <v>2</v>
      </c>
      <c r="D15" s="18" t="s">
        <v>83</v>
      </c>
      <c r="E15" s="3"/>
    </row>
    <row r="16" spans="1:15" ht="15.6" customHeight="1" x14ac:dyDescent="0.3">
      <c r="B16" s="22">
        <v>2</v>
      </c>
      <c r="C16" s="13" t="s">
        <v>47</v>
      </c>
      <c r="D16" s="19" t="s">
        <v>113</v>
      </c>
      <c r="E16" s="3"/>
    </row>
    <row r="17" spans="2:5" ht="15.6" customHeight="1" x14ac:dyDescent="0.3">
      <c r="B17" s="22">
        <v>2</v>
      </c>
      <c r="C17" s="13" t="s">
        <v>48</v>
      </c>
      <c r="D17" s="19" t="s">
        <v>115</v>
      </c>
      <c r="E17" s="3"/>
    </row>
    <row r="18" spans="2:5" ht="15.6" customHeight="1" x14ac:dyDescent="0.3">
      <c r="B18" s="22">
        <v>2</v>
      </c>
      <c r="C18" s="13" t="s">
        <v>49</v>
      </c>
      <c r="D18" s="19" t="s">
        <v>114</v>
      </c>
      <c r="E18" s="3"/>
    </row>
    <row r="19" spans="2:5" ht="15.6" customHeight="1" x14ac:dyDescent="0.3">
      <c r="B19" s="22">
        <v>2</v>
      </c>
      <c r="C19" s="13" t="s">
        <v>50</v>
      </c>
      <c r="D19" s="19" t="s">
        <v>125</v>
      </c>
      <c r="E19" s="3"/>
    </row>
    <row r="20" spans="2:5" ht="15.6" customHeight="1" x14ac:dyDescent="0.3">
      <c r="B20" s="22">
        <v>2</v>
      </c>
      <c r="C20" s="13" t="s">
        <v>51</v>
      </c>
      <c r="D20" s="19" t="s">
        <v>116</v>
      </c>
      <c r="E20" s="3"/>
    </row>
    <row r="21" spans="2:5" ht="15.6" customHeight="1" x14ac:dyDescent="0.3">
      <c r="B21" s="23">
        <v>1</v>
      </c>
      <c r="C21" s="12">
        <v>3</v>
      </c>
      <c r="D21" s="18" t="s">
        <v>84</v>
      </c>
      <c r="E21" s="3"/>
    </row>
    <row r="22" spans="2:5" ht="15.6" customHeight="1" x14ac:dyDescent="0.3">
      <c r="B22" s="22">
        <v>2</v>
      </c>
      <c r="C22" s="13" t="s">
        <v>52</v>
      </c>
      <c r="D22" s="19" t="s">
        <v>117</v>
      </c>
      <c r="E22" s="3"/>
    </row>
    <row r="23" spans="2:5" ht="15.6" customHeight="1" x14ac:dyDescent="0.3">
      <c r="B23" s="22">
        <v>2</v>
      </c>
      <c r="C23" s="13" t="s">
        <v>53</v>
      </c>
      <c r="D23" s="19" t="s">
        <v>118</v>
      </c>
      <c r="E23" s="3"/>
    </row>
    <row r="24" spans="2:5" ht="15.6" customHeight="1" outlineLevel="1" x14ac:dyDescent="0.3">
      <c r="B24" s="22">
        <v>2</v>
      </c>
      <c r="C24" s="13" t="s">
        <v>54</v>
      </c>
      <c r="D24" s="19" t="s">
        <v>119</v>
      </c>
      <c r="E24" s="3"/>
    </row>
    <row r="25" spans="2:5" ht="15.6" customHeight="1" outlineLevel="1" x14ac:dyDescent="0.3">
      <c r="B25" s="22">
        <v>2</v>
      </c>
      <c r="C25" s="13" t="s">
        <v>55</v>
      </c>
      <c r="D25" s="19" t="s">
        <v>125</v>
      </c>
      <c r="E25" s="3"/>
    </row>
    <row r="26" spans="2:5" ht="15.6" customHeight="1" x14ac:dyDescent="0.3">
      <c r="B26" s="23">
        <v>1</v>
      </c>
      <c r="C26" s="12">
        <v>4</v>
      </c>
      <c r="D26" s="18" t="s">
        <v>85</v>
      </c>
      <c r="E26" s="3"/>
    </row>
    <row r="27" spans="2:5" ht="15.6" customHeight="1" outlineLevel="1" x14ac:dyDescent="0.3">
      <c r="B27" s="22">
        <v>2</v>
      </c>
      <c r="C27" s="13" t="s">
        <v>59</v>
      </c>
      <c r="D27" s="19" t="s">
        <v>103</v>
      </c>
      <c r="E27" s="3"/>
    </row>
    <row r="28" spans="2:5" ht="15.6" customHeight="1" outlineLevel="1" x14ac:dyDescent="0.3">
      <c r="B28" s="22">
        <v>2</v>
      </c>
      <c r="C28" s="13" t="s">
        <v>60</v>
      </c>
      <c r="D28" s="19" t="s">
        <v>104</v>
      </c>
      <c r="E28" s="3"/>
    </row>
    <row r="29" spans="2:5" ht="15.6" customHeight="1" outlineLevel="1" x14ac:dyDescent="0.3">
      <c r="B29" s="22">
        <v>2</v>
      </c>
      <c r="C29" s="13" t="s">
        <v>61</v>
      </c>
      <c r="D29" s="19" t="s">
        <v>105</v>
      </c>
      <c r="E29" s="3"/>
    </row>
    <row r="30" spans="2:5" ht="15.6" customHeight="1" x14ac:dyDescent="0.3">
      <c r="B30" s="23">
        <v>2</v>
      </c>
      <c r="C30" s="12">
        <v>5</v>
      </c>
      <c r="D30" s="18" t="s">
        <v>86</v>
      </c>
      <c r="E30" s="3"/>
    </row>
    <row r="31" spans="2:5" ht="15.6" customHeight="1" outlineLevel="1" x14ac:dyDescent="0.3">
      <c r="B31" s="22">
        <v>2</v>
      </c>
      <c r="C31" s="13" t="s">
        <v>73</v>
      </c>
      <c r="D31" s="19" t="s">
        <v>120</v>
      </c>
      <c r="E31" s="3"/>
    </row>
    <row r="32" spans="2:5" ht="15.6" customHeight="1" x14ac:dyDescent="0.3">
      <c r="B32" s="22">
        <v>2</v>
      </c>
      <c r="C32" s="13" t="s">
        <v>75</v>
      </c>
      <c r="D32" s="19" t="s">
        <v>121</v>
      </c>
    </row>
    <row r="33" spans="2:4" ht="15.6" customHeight="1" x14ac:dyDescent="0.3">
      <c r="B33" s="22">
        <v>2</v>
      </c>
      <c r="C33" s="13" t="s">
        <v>76</v>
      </c>
      <c r="D33" s="19" t="s">
        <v>122</v>
      </c>
    </row>
    <row r="34" spans="2:4" ht="15.6" customHeight="1" x14ac:dyDescent="0.3">
      <c r="B34" s="24">
        <v>2</v>
      </c>
      <c r="C34" s="20" t="s">
        <v>124</v>
      </c>
      <c r="D34" s="21" t="s">
        <v>123</v>
      </c>
    </row>
    <row r="35" spans="2:4" ht="15.6" customHeight="1" x14ac:dyDescent="0.3"/>
    <row r="36" spans="2:4" ht="15.6" customHeight="1" x14ac:dyDescent="0.3"/>
    <row r="37" spans="2:4" ht="15.6" customHeight="1" x14ac:dyDescent="0.3"/>
    <row r="38" spans="2:4" ht="15.6" customHeight="1" x14ac:dyDescent="0.3"/>
    <row r="39" spans="2:4" ht="15.6" customHeight="1" x14ac:dyDescent="0.3"/>
    <row r="40" spans="2:4" ht="15.6" customHeight="1" x14ac:dyDescent="0.3"/>
    <row r="41" spans="2:4" ht="15.6" customHeight="1" x14ac:dyDescent="0.3"/>
    <row r="42" spans="2:4" ht="15.6" customHeight="1" x14ac:dyDescent="0.3"/>
    <row r="43" spans="2:4" ht="15.6" customHeight="1" x14ac:dyDescent="0.3"/>
    <row r="44" spans="2:4" ht="15.6" customHeight="1" x14ac:dyDescent="0.3"/>
    <row r="45" spans="2:4" ht="15.6" customHeight="1" x14ac:dyDescent="0.3"/>
    <row r="46" spans="2:4" ht="15.6" customHeight="1" x14ac:dyDescent="0.3"/>
    <row r="47" spans="2:4" ht="15.6" customHeight="1" x14ac:dyDescent="0.3"/>
    <row r="48" spans="2:4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change_langue">
                <anchor moveWithCells="1">
                  <from>
                    <xdr:col>7</xdr:col>
                    <xdr:colOff>746760</xdr:colOff>
                    <xdr:row>3</xdr:row>
                    <xdr:rowOff>68580</xdr:rowOff>
                  </from>
                  <to>
                    <xdr:col>9</xdr:col>
                    <xdr:colOff>746760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14068-8DB6-4ABE-8D2A-B31E615B2559}">
  <sheetPr codeName="ShWBS">
    <tabColor theme="5"/>
  </sheetPr>
  <dimension ref="A1:O55"/>
  <sheetViews>
    <sheetView showGridLines="0" workbookViewId="0">
      <selection activeCell="D8" sqref="D8"/>
    </sheetView>
  </sheetViews>
  <sheetFormatPr defaultColWidth="11.5546875" defaultRowHeight="15.6" outlineLevelRow="2" x14ac:dyDescent="0.3"/>
  <cols>
    <col min="1" max="1" width="5" style="3" customWidth="1"/>
    <col min="2" max="2" width="8.5546875" style="1" customWidth="1"/>
    <col min="3" max="3" width="9.6640625" style="5" customWidth="1"/>
    <col min="4" max="4" width="75.109375" style="2" customWidth="1"/>
    <col min="5" max="5" width="18.88671875" style="3" customWidth="1"/>
    <col min="6" max="6" width="10.6640625" style="3" customWidth="1"/>
    <col min="7" max="16384" width="11.5546875" style="3"/>
  </cols>
  <sheetData>
    <row r="1" spans="1:15" ht="18.600000000000001" customHeight="1" x14ac:dyDescent="0.3"/>
    <row r="2" spans="1:15" ht="18.600000000000001" customHeight="1" x14ac:dyDescent="0.3"/>
    <row r="3" spans="1:15" ht="18.600000000000001" customHeight="1" thickBot="1" x14ac:dyDescent="0.35"/>
    <row r="4" spans="1:15" customFormat="1" ht="25.95" customHeight="1" thickTop="1" thickBot="1" x14ac:dyDescent="0.35">
      <c r="A4" s="10"/>
      <c r="B4" s="10" t="s">
        <v>129</v>
      </c>
      <c r="C4" s="10"/>
      <c r="D4" s="10"/>
      <c r="E4" s="11"/>
      <c r="F4" s="10"/>
      <c r="G4" s="10"/>
      <c r="H4" s="10"/>
      <c r="I4" s="10"/>
      <c r="J4" s="10"/>
      <c r="K4" s="10"/>
      <c r="L4" s="10"/>
      <c r="M4" s="9"/>
      <c r="N4" s="9"/>
      <c r="O4" s="9"/>
    </row>
    <row r="5" spans="1:15" ht="16.2" thickTop="1" x14ac:dyDescent="0.3"/>
    <row r="6" spans="1:15" s="4" customFormat="1" ht="19.2" customHeight="1" x14ac:dyDescent="0.3">
      <c r="B6" s="15" t="s">
        <v>39</v>
      </c>
      <c r="C6" s="15" t="s">
        <v>46</v>
      </c>
      <c r="D6" s="15" t="s">
        <v>40</v>
      </c>
      <c r="E6" s="26" t="s">
        <v>88</v>
      </c>
    </row>
    <row r="7" spans="1:15" x14ac:dyDescent="0.3">
      <c r="B7" s="27">
        <v>1</v>
      </c>
      <c r="C7" s="18">
        <v>1</v>
      </c>
      <c r="D7" s="18" t="s">
        <v>0</v>
      </c>
      <c r="E7" s="18">
        <f>E8+E9+E10+E11+E13</f>
        <v>18</v>
      </c>
      <c r="F7" s="6"/>
    </row>
    <row r="8" spans="1:15" ht="14.4" outlineLevel="1" x14ac:dyDescent="0.3">
      <c r="B8" s="27">
        <v>2</v>
      </c>
      <c r="C8" s="25" t="s">
        <v>42</v>
      </c>
      <c r="D8" s="19" t="s">
        <v>5</v>
      </c>
      <c r="E8" s="25">
        <v>10</v>
      </c>
      <c r="F8" s="6"/>
    </row>
    <row r="9" spans="1:15" ht="14.4" outlineLevel="1" x14ac:dyDescent="0.3">
      <c r="B9" s="27">
        <v>2</v>
      </c>
      <c r="C9" s="25" t="s">
        <v>41</v>
      </c>
      <c r="D9" s="19" t="s">
        <v>6</v>
      </c>
      <c r="E9" s="25">
        <v>1</v>
      </c>
    </row>
    <row r="10" spans="1:15" ht="14.4" outlineLevel="1" x14ac:dyDescent="0.3">
      <c r="B10" s="27">
        <v>2</v>
      </c>
      <c r="C10" s="25" t="s">
        <v>43</v>
      </c>
      <c r="D10" s="19" t="s">
        <v>126</v>
      </c>
      <c r="E10" s="25">
        <v>5</v>
      </c>
    </row>
    <row r="11" spans="1:15" ht="14.4" outlineLevel="1" x14ac:dyDescent="0.3">
      <c r="B11" s="27">
        <v>2</v>
      </c>
      <c r="C11" s="25" t="s">
        <v>44</v>
      </c>
      <c r="D11" s="19" t="s">
        <v>7</v>
      </c>
      <c r="E11" s="25">
        <v>1</v>
      </c>
    </row>
    <row r="12" spans="1:15" ht="14.4" outlineLevel="2" x14ac:dyDescent="0.3">
      <c r="B12" s="27">
        <v>3</v>
      </c>
      <c r="C12" s="25" t="s">
        <v>77</v>
      </c>
      <c r="D12" s="19" t="s">
        <v>78</v>
      </c>
      <c r="E12" s="25">
        <v>2</v>
      </c>
      <c r="F12" s="6"/>
    </row>
    <row r="13" spans="1:15" ht="14.4" outlineLevel="1" x14ac:dyDescent="0.3">
      <c r="B13" s="27">
        <v>2</v>
      </c>
      <c r="C13" s="25" t="s">
        <v>45</v>
      </c>
      <c r="D13" s="19" t="s">
        <v>8</v>
      </c>
      <c r="E13" s="25">
        <v>1</v>
      </c>
    </row>
    <row r="14" spans="1:15" x14ac:dyDescent="0.3">
      <c r="B14" s="27">
        <v>1</v>
      </c>
      <c r="C14" s="18">
        <v>2</v>
      </c>
      <c r="D14" s="18" t="s">
        <v>1</v>
      </c>
      <c r="E14" s="18">
        <f>E15+E16+E17+E23+E24+E27</f>
        <v>102</v>
      </c>
    </row>
    <row r="15" spans="1:15" ht="14.4" outlineLevel="1" x14ac:dyDescent="0.3">
      <c r="B15" s="27">
        <v>2</v>
      </c>
      <c r="C15" s="25" t="s">
        <v>47</v>
      </c>
      <c r="D15" s="19" t="s">
        <v>9</v>
      </c>
      <c r="E15" s="25">
        <v>20</v>
      </c>
    </row>
    <row r="16" spans="1:15" ht="14.4" outlineLevel="1" x14ac:dyDescent="0.3">
      <c r="B16" s="27">
        <v>2</v>
      </c>
      <c r="C16" s="25" t="s">
        <v>48</v>
      </c>
      <c r="D16" s="19" t="s">
        <v>10</v>
      </c>
      <c r="E16" s="25">
        <v>22</v>
      </c>
    </row>
    <row r="17" spans="2:5" ht="14.4" outlineLevel="1" x14ac:dyDescent="0.3">
      <c r="B17" s="27">
        <v>2</v>
      </c>
      <c r="C17" s="25" t="s">
        <v>49</v>
      </c>
      <c r="D17" s="19" t="s">
        <v>89</v>
      </c>
      <c r="E17" s="25">
        <v>15</v>
      </c>
    </row>
    <row r="18" spans="2:5" ht="14.4" outlineLevel="1" x14ac:dyDescent="0.3">
      <c r="B18" s="27">
        <v>3</v>
      </c>
      <c r="C18" s="25" t="s">
        <v>98</v>
      </c>
      <c r="D18" s="19" t="s">
        <v>93</v>
      </c>
      <c r="E18" s="25">
        <v>3</v>
      </c>
    </row>
    <row r="19" spans="2:5" ht="14.4" outlineLevel="1" x14ac:dyDescent="0.3">
      <c r="B19" s="27">
        <v>3</v>
      </c>
      <c r="C19" s="25" t="s">
        <v>99</v>
      </c>
      <c r="D19" s="19" t="s">
        <v>94</v>
      </c>
      <c r="E19" s="25">
        <v>3</v>
      </c>
    </row>
    <row r="20" spans="2:5" ht="14.4" outlineLevel="1" x14ac:dyDescent="0.3">
      <c r="B20" s="27">
        <v>3</v>
      </c>
      <c r="C20" s="25" t="s">
        <v>100</v>
      </c>
      <c r="D20" s="19" t="s">
        <v>95</v>
      </c>
      <c r="E20" s="25">
        <v>3</v>
      </c>
    </row>
    <row r="21" spans="2:5" ht="14.4" outlineLevel="1" x14ac:dyDescent="0.3">
      <c r="B21" s="27">
        <v>3</v>
      </c>
      <c r="C21" s="25" t="s">
        <v>101</v>
      </c>
      <c r="D21" s="19" t="s">
        <v>96</v>
      </c>
      <c r="E21" s="25">
        <v>4</v>
      </c>
    </row>
    <row r="22" spans="2:5" ht="14.4" outlineLevel="1" x14ac:dyDescent="0.3">
      <c r="B22" s="27">
        <v>3</v>
      </c>
      <c r="C22" s="25" t="s">
        <v>102</v>
      </c>
      <c r="D22" s="19" t="s">
        <v>97</v>
      </c>
      <c r="E22" s="25">
        <v>2</v>
      </c>
    </row>
    <row r="23" spans="2:5" ht="14.4" outlineLevel="1" x14ac:dyDescent="0.3">
      <c r="B23" s="27">
        <v>2</v>
      </c>
      <c r="C23" s="25" t="s">
        <v>50</v>
      </c>
      <c r="D23" s="19" t="s">
        <v>11</v>
      </c>
      <c r="E23" s="25">
        <v>22</v>
      </c>
    </row>
    <row r="24" spans="2:5" ht="14.4" outlineLevel="1" x14ac:dyDescent="0.3">
      <c r="B24" s="27">
        <v>2</v>
      </c>
      <c r="C24" s="25" t="s">
        <v>51</v>
      </c>
      <c r="D24" s="19" t="s">
        <v>12</v>
      </c>
      <c r="E24" s="25">
        <v>22</v>
      </c>
    </row>
    <row r="25" spans="2:5" ht="14.4" outlineLevel="2" x14ac:dyDescent="0.3">
      <c r="B25" s="27">
        <v>3</v>
      </c>
      <c r="C25" s="25" t="s">
        <v>90</v>
      </c>
      <c r="D25" s="19" t="s">
        <v>80</v>
      </c>
      <c r="E25" s="25">
        <v>10</v>
      </c>
    </row>
    <row r="26" spans="2:5" ht="14.4" outlineLevel="2" x14ac:dyDescent="0.3">
      <c r="B26" s="27">
        <v>4</v>
      </c>
      <c r="C26" s="25" t="s">
        <v>91</v>
      </c>
      <c r="D26" s="19" t="s">
        <v>79</v>
      </c>
      <c r="E26" s="25">
        <v>8</v>
      </c>
    </row>
    <row r="27" spans="2:5" ht="14.4" outlineLevel="1" x14ac:dyDescent="0.3">
      <c r="B27" s="27">
        <v>2</v>
      </c>
      <c r="C27" s="25" t="s">
        <v>92</v>
      </c>
      <c r="D27" s="19" t="s">
        <v>13</v>
      </c>
      <c r="E27" s="25">
        <v>1</v>
      </c>
    </row>
    <row r="28" spans="2:5" x14ac:dyDescent="0.3">
      <c r="B28" s="27">
        <v>1</v>
      </c>
      <c r="C28" s="18">
        <v>3</v>
      </c>
      <c r="D28" s="18" t="s">
        <v>2</v>
      </c>
      <c r="E28" s="18">
        <f>E29+E30+E31+E32+E33+E34</f>
        <v>217</v>
      </c>
    </row>
    <row r="29" spans="2:5" ht="14.4" outlineLevel="1" x14ac:dyDescent="0.3">
      <c r="B29" s="27">
        <v>2</v>
      </c>
      <c r="C29" s="25" t="s">
        <v>52</v>
      </c>
      <c r="D29" s="19" t="s">
        <v>14</v>
      </c>
      <c r="E29" s="25">
        <v>65</v>
      </c>
    </row>
    <row r="30" spans="2:5" ht="14.4" outlineLevel="1" x14ac:dyDescent="0.3">
      <c r="B30" s="27">
        <v>2</v>
      </c>
      <c r="C30" s="25" t="s">
        <v>53</v>
      </c>
      <c r="D30" s="19" t="s">
        <v>15</v>
      </c>
      <c r="E30" s="25">
        <v>65</v>
      </c>
    </row>
    <row r="31" spans="2:5" ht="14.4" outlineLevel="1" x14ac:dyDescent="0.3">
      <c r="B31" s="27">
        <v>2</v>
      </c>
      <c r="C31" s="25" t="s">
        <v>54</v>
      </c>
      <c r="D31" s="19" t="s">
        <v>16</v>
      </c>
      <c r="E31" s="25">
        <v>65</v>
      </c>
    </row>
    <row r="32" spans="2:5" ht="14.4" outlineLevel="1" x14ac:dyDescent="0.3">
      <c r="B32" s="27">
        <v>2</v>
      </c>
      <c r="C32" s="25" t="s">
        <v>55</v>
      </c>
      <c r="D32" s="19" t="s">
        <v>17</v>
      </c>
      <c r="E32" s="25">
        <v>20</v>
      </c>
    </row>
    <row r="33" spans="2:5" ht="14.4" outlineLevel="1" x14ac:dyDescent="0.3">
      <c r="B33" s="27">
        <v>2</v>
      </c>
      <c r="C33" s="25" t="s">
        <v>56</v>
      </c>
      <c r="D33" s="19" t="s">
        <v>18</v>
      </c>
      <c r="E33" s="25">
        <v>1</v>
      </c>
    </row>
    <row r="34" spans="2:5" ht="14.4" outlineLevel="1" x14ac:dyDescent="0.3">
      <c r="B34" s="27">
        <v>2</v>
      </c>
      <c r="C34" s="25" t="s">
        <v>57</v>
      </c>
      <c r="D34" s="19" t="s">
        <v>19</v>
      </c>
      <c r="E34" s="25">
        <v>1</v>
      </c>
    </row>
    <row r="35" spans="2:5" x14ac:dyDescent="0.3">
      <c r="B35" s="27">
        <v>1</v>
      </c>
      <c r="C35" s="18">
        <v>4</v>
      </c>
      <c r="D35" s="18" t="s">
        <v>3</v>
      </c>
      <c r="E35" s="18">
        <f>E36+E37+E38+E39+E40+E41+E42+E43+E44+E45+E46+E47+E48+E49+E50</f>
        <v>184</v>
      </c>
    </row>
    <row r="36" spans="2:5" ht="14.4" outlineLevel="1" x14ac:dyDescent="0.3">
      <c r="B36" s="27">
        <v>2</v>
      </c>
      <c r="C36" s="25" t="s">
        <v>58</v>
      </c>
      <c r="D36" s="19" t="s">
        <v>20</v>
      </c>
      <c r="E36" s="25">
        <v>21</v>
      </c>
    </row>
    <row r="37" spans="2:5" ht="14.4" outlineLevel="1" x14ac:dyDescent="0.3">
      <c r="B37" s="27">
        <v>2</v>
      </c>
      <c r="C37" s="25" t="s">
        <v>59</v>
      </c>
      <c r="D37" s="19" t="s">
        <v>21</v>
      </c>
      <c r="E37" s="25">
        <v>10</v>
      </c>
    </row>
    <row r="38" spans="2:5" ht="14.4" outlineLevel="1" x14ac:dyDescent="0.3">
      <c r="B38" s="27">
        <v>2</v>
      </c>
      <c r="C38" s="25" t="s">
        <v>60</v>
      </c>
      <c r="D38" s="19" t="s">
        <v>38</v>
      </c>
      <c r="E38" s="25">
        <v>11</v>
      </c>
    </row>
    <row r="39" spans="2:5" ht="14.4" outlineLevel="1" x14ac:dyDescent="0.3">
      <c r="B39" s="27">
        <v>2</v>
      </c>
      <c r="C39" s="25" t="s">
        <v>61</v>
      </c>
      <c r="D39" s="19" t="s">
        <v>22</v>
      </c>
      <c r="E39" s="25">
        <v>20</v>
      </c>
    </row>
    <row r="40" spans="2:5" ht="14.4" outlineLevel="1" x14ac:dyDescent="0.3">
      <c r="B40" s="27">
        <v>2</v>
      </c>
      <c r="C40" s="25" t="s">
        <v>62</v>
      </c>
      <c r="D40" s="19" t="s">
        <v>23</v>
      </c>
      <c r="E40" s="25">
        <v>0</v>
      </c>
    </row>
    <row r="41" spans="2:5" ht="14.4" outlineLevel="1" x14ac:dyDescent="0.3">
      <c r="B41" s="27">
        <v>2</v>
      </c>
      <c r="C41" s="25" t="s">
        <v>63</v>
      </c>
      <c r="D41" s="19" t="s">
        <v>24</v>
      </c>
      <c r="E41" s="25">
        <v>0</v>
      </c>
    </row>
    <row r="42" spans="2:5" ht="14.4" outlineLevel="1" x14ac:dyDescent="0.3">
      <c r="B42" s="27">
        <v>2</v>
      </c>
      <c r="C42" s="25" t="s">
        <v>64</v>
      </c>
      <c r="D42" s="19" t="s">
        <v>25</v>
      </c>
      <c r="E42" s="25">
        <v>0</v>
      </c>
    </row>
    <row r="43" spans="2:5" ht="14.4" outlineLevel="1" x14ac:dyDescent="0.3">
      <c r="B43" s="27">
        <v>2</v>
      </c>
      <c r="C43" s="25" t="s">
        <v>65</v>
      </c>
      <c r="D43" s="19" t="s">
        <v>26</v>
      </c>
      <c r="E43" s="25">
        <v>0</v>
      </c>
    </row>
    <row r="44" spans="2:5" ht="14.4" outlineLevel="1" x14ac:dyDescent="0.3">
      <c r="B44" s="27">
        <v>2</v>
      </c>
      <c r="C44" s="25" t="s">
        <v>66</v>
      </c>
      <c r="D44" s="19" t="s">
        <v>27</v>
      </c>
      <c r="E44" s="25">
        <v>0</v>
      </c>
    </row>
    <row r="45" spans="2:5" ht="14.4" outlineLevel="1" x14ac:dyDescent="0.3">
      <c r="B45" s="27">
        <v>2</v>
      </c>
      <c r="C45" s="25" t="s">
        <v>67</v>
      </c>
      <c r="D45" s="19" t="s">
        <v>27</v>
      </c>
      <c r="E45" s="25">
        <v>0</v>
      </c>
    </row>
    <row r="46" spans="2:5" ht="14.4" outlineLevel="1" x14ac:dyDescent="0.3">
      <c r="B46" s="27">
        <v>2</v>
      </c>
      <c r="C46" s="25" t="s">
        <v>68</v>
      </c>
      <c r="D46" s="19" t="s">
        <v>29</v>
      </c>
      <c r="E46" s="25">
        <v>38</v>
      </c>
    </row>
    <row r="47" spans="2:5" ht="14.4" outlineLevel="1" x14ac:dyDescent="0.3">
      <c r="B47" s="27">
        <v>2</v>
      </c>
      <c r="C47" s="25" t="s">
        <v>69</v>
      </c>
      <c r="D47" s="19" t="s">
        <v>30</v>
      </c>
      <c r="E47" s="25">
        <v>38</v>
      </c>
    </row>
    <row r="48" spans="2:5" ht="14.4" outlineLevel="1" x14ac:dyDescent="0.3">
      <c r="B48" s="27">
        <v>2</v>
      </c>
      <c r="C48" s="25" t="s">
        <v>70</v>
      </c>
      <c r="D48" s="19" t="s">
        <v>31</v>
      </c>
      <c r="E48" s="25">
        <v>38</v>
      </c>
    </row>
    <row r="49" spans="2:5" ht="14.4" outlineLevel="1" x14ac:dyDescent="0.3">
      <c r="B49" s="27">
        <v>2</v>
      </c>
      <c r="C49" s="25" t="s">
        <v>71</v>
      </c>
      <c r="D49" s="19" t="s">
        <v>32</v>
      </c>
      <c r="E49" s="25">
        <v>4</v>
      </c>
    </row>
    <row r="50" spans="2:5" ht="14.4" outlineLevel="1" x14ac:dyDescent="0.3">
      <c r="B50" s="27">
        <v>2</v>
      </c>
      <c r="C50" s="25" t="s">
        <v>72</v>
      </c>
      <c r="D50" s="19" t="s">
        <v>33</v>
      </c>
      <c r="E50" s="25">
        <v>4</v>
      </c>
    </row>
    <row r="51" spans="2:5" x14ac:dyDescent="0.3">
      <c r="B51" s="27">
        <v>1</v>
      </c>
      <c r="C51" s="18">
        <v>5</v>
      </c>
      <c r="D51" s="18" t="s">
        <v>4</v>
      </c>
      <c r="E51" s="18">
        <f>E52+E53+E54+E55</f>
        <v>30</v>
      </c>
    </row>
    <row r="52" spans="2:5" ht="14.4" outlineLevel="1" x14ac:dyDescent="0.3">
      <c r="B52" s="27">
        <v>2</v>
      </c>
      <c r="C52" s="25" t="s">
        <v>73</v>
      </c>
      <c r="D52" s="19" t="s">
        <v>34</v>
      </c>
      <c r="E52" s="25">
        <v>10</v>
      </c>
    </row>
    <row r="53" spans="2:5" ht="14.4" outlineLevel="1" x14ac:dyDescent="0.3">
      <c r="B53" s="27">
        <v>2</v>
      </c>
      <c r="C53" s="25" t="s">
        <v>74</v>
      </c>
      <c r="D53" s="19" t="s">
        <v>35</v>
      </c>
      <c r="E53" s="25">
        <v>10</v>
      </c>
    </row>
    <row r="54" spans="2:5" ht="14.4" outlineLevel="1" x14ac:dyDescent="0.3">
      <c r="B54" s="27">
        <v>2</v>
      </c>
      <c r="C54" s="25" t="s">
        <v>75</v>
      </c>
      <c r="D54" s="19" t="s">
        <v>36</v>
      </c>
      <c r="E54" s="25">
        <v>10</v>
      </c>
    </row>
    <row r="55" spans="2:5" ht="14.4" outlineLevel="1" x14ac:dyDescent="0.3">
      <c r="B55" s="28">
        <v>2</v>
      </c>
      <c r="C55" s="29" t="s">
        <v>76</v>
      </c>
      <c r="D55" s="21" t="s">
        <v>37</v>
      </c>
      <c r="E55" s="29">
        <v>0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C8063-A57C-408E-99E0-3141F37CDD8F}">
  <sheetPr codeName="ShLangue"/>
  <dimension ref="A1:H96"/>
  <sheetViews>
    <sheetView showGridLines="0" workbookViewId="0">
      <selection activeCell="H2" sqref="H2"/>
    </sheetView>
  </sheetViews>
  <sheetFormatPr defaultColWidth="9.109375" defaultRowHeight="14.4" x14ac:dyDescent="0.3"/>
  <cols>
    <col min="1" max="1" width="73.6640625" customWidth="1"/>
    <col min="2" max="2" width="74.44140625" bestFit="1" customWidth="1"/>
    <col min="6" max="6" width="15" customWidth="1"/>
    <col min="8" max="8" width="14" customWidth="1"/>
  </cols>
  <sheetData>
    <row r="1" spans="1:8" x14ac:dyDescent="0.3">
      <c r="A1" s="30" t="s">
        <v>130</v>
      </c>
      <c r="B1" s="30" t="s">
        <v>131</v>
      </c>
      <c r="F1" t="s">
        <v>132</v>
      </c>
      <c r="H1" t="s">
        <v>133</v>
      </c>
    </row>
    <row r="2" spans="1:8" x14ac:dyDescent="0.3">
      <c r="A2" s="30" t="s">
        <v>82</v>
      </c>
      <c r="B2" s="30" t="s">
        <v>209</v>
      </c>
      <c r="F2" t="s">
        <v>131</v>
      </c>
      <c r="H2" t="s">
        <v>134</v>
      </c>
    </row>
    <row r="3" spans="1:8" x14ac:dyDescent="0.3">
      <c r="A3" s="30" t="s">
        <v>106</v>
      </c>
      <c r="B3" s="30" t="s">
        <v>137</v>
      </c>
      <c r="F3" t="s">
        <v>130</v>
      </c>
      <c r="H3" t="s">
        <v>135</v>
      </c>
    </row>
    <row r="4" spans="1:8" x14ac:dyDescent="0.3">
      <c r="A4" s="30" t="s">
        <v>107</v>
      </c>
      <c r="B4" s="30" t="s">
        <v>138</v>
      </c>
    </row>
    <row r="5" spans="1:8" x14ac:dyDescent="0.3">
      <c r="A5" s="30" t="s">
        <v>108</v>
      </c>
      <c r="B5" s="30" t="s">
        <v>139</v>
      </c>
    </row>
    <row r="6" spans="1:8" x14ac:dyDescent="0.3">
      <c r="A6" s="30" t="s">
        <v>109</v>
      </c>
      <c r="B6" s="30" t="s">
        <v>140</v>
      </c>
    </row>
    <row r="7" spans="1:8" x14ac:dyDescent="0.3">
      <c r="A7" s="30" t="s">
        <v>110</v>
      </c>
      <c r="B7" s="30" t="s">
        <v>141</v>
      </c>
    </row>
    <row r="8" spans="1:8" x14ac:dyDescent="0.3">
      <c r="A8" s="30" t="s">
        <v>111</v>
      </c>
      <c r="B8" s="30" t="s">
        <v>142</v>
      </c>
    </row>
    <row r="9" spans="1:8" x14ac:dyDescent="0.3">
      <c r="A9" s="30" t="s">
        <v>112</v>
      </c>
      <c r="B9" s="30" t="s">
        <v>112</v>
      </c>
    </row>
    <row r="10" spans="1:8" x14ac:dyDescent="0.3">
      <c r="A10" s="30" t="s">
        <v>83</v>
      </c>
      <c r="B10" s="30" t="s">
        <v>210</v>
      </c>
    </row>
    <row r="11" spans="1:8" x14ac:dyDescent="0.3">
      <c r="A11" s="30" t="s">
        <v>113</v>
      </c>
      <c r="B11" s="30" t="s">
        <v>143</v>
      </c>
    </row>
    <row r="12" spans="1:8" x14ac:dyDescent="0.3">
      <c r="A12" s="30" t="s">
        <v>115</v>
      </c>
      <c r="B12" s="30" t="s">
        <v>144</v>
      </c>
    </row>
    <row r="13" spans="1:8" x14ac:dyDescent="0.3">
      <c r="A13" s="30" t="s">
        <v>114</v>
      </c>
      <c r="B13" s="30" t="s">
        <v>145</v>
      </c>
    </row>
    <row r="14" spans="1:8" x14ac:dyDescent="0.3">
      <c r="A14" s="30" t="s">
        <v>116</v>
      </c>
      <c r="B14" s="30" t="s">
        <v>146</v>
      </c>
    </row>
    <row r="15" spans="1:8" x14ac:dyDescent="0.3">
      <c r="A15" s="30" t="s">
        <v>84</v>
      </c>
      <c r="B15" s="30" t="s">
        <v>211</v>
      </c>
    </row>
    <row r="16" spans="1:8" x14ac:dyDescent="0.3">
      <c r="A16" s="30" t="s">
        <v>117</v>
      </c>
      <c r="B16" s="30" t="s">
        <v>147</v>
      </c>
    </row>
    <row r="17" spans="1:2" x14ac:dyDescent="0.3">
      <c r="A17" s="30" t="s">
        <v>118</v>
      </c>
      <c r="B17" s="30" t="s">
        <v>148</v>
      </c>
    </row>
    <row r="18" spans="1:2" x14ac:dyDescent="0.3">
      <c r="A18" s="30" t="s">
        <v>119</v>
      </c>
      <c r="B18" s="30" t="s">
        <v>149</v>
      </c>
    </row>
    <row r="19" spans="1:2" x14ac:dyDescent="0.3">
      <c r="A19" s="30" t="s">
        <v>125</v>
      </c>
      <c r="B19" s="30" t="s">
        <v>150</v>
      </c>
    </row>
    <row r="20" spans="1:2" x14ac:dyDescent="0.3">
      <c r="A20" s="30" t="s">
        <v>85</v>
      </c>
      <c r="B20" s="30" t="s">
        <v>212</v>
      </c>
    </row>
    <row r="21" spans="1:2" x14ac:dyDescent="0.3">
      <c r="A21" s="30" t="s">
        <v>103</v>
      </c>
      <c r="B21" s="30" t="s">
        <v>151</v>
      </c>
    </row>
    <row r="22" spans="1:2" x14ac:dyDescent="0.3">
      <c r="A22" s="30" t="s">
        <v>104</v>
      </c>
      <c r="B22" s="30" t="s">
        <v>152</v>
      </c>
    </row>
    <row r="23" spans="1:2" x14ac:dyDescent="0.3">
      <c r="A23" s="30" t="s">
        <v>105</v>
      </c>
      <c r="B23" s="30" t="s">
        <v>153</v>
      </c>
    </row>
    <row r="24" spans="1:2" x14ac:dyDescent="0.3">
      <c r="A24" s="30" t="s">
        <v>86</v>
      </c>
      <c r="B24" s="30" t="s">
        <v>213</v>
      </c>
    </row>
    <row r="25" spans="1:2" x14ac:dyDescent="0.3">
      <c r="A25" s="30" t="s">
        <v>120</v>
      </c>
      <c r="B25" s="30" t="s">
        <v>154</v>
      </c>
    </row>
    <row r="26" spans="1:2" x14ac:dyDescent="0.3">
      <c r="A26" s="30" t="s">
        <v>121</v>
      </c>
      <c r="B26" s="30" t="s">
        <v>155</v>
      </c>
    </row>
    <row r="27" spans="1:2" x14ac:dyDescent="0.3">
      <c r="A27" s="30" t="s">
        <v>122</v>
      </c>
      <c r="B27" s="30" t="s">
        <v>156</v>
      </c>
    </row>
    <row r="28" spans="1:2" x14ac:dyDescent="0.3">
      <c r="A28" s="30" t="s">
        <v>123</v>
      </c>
      <c r="B28" s="30" t="s">
        <v>157</v>
      </c>
    </row>
    <row r="29" spans="1:2" x14ac:dyDescent="0.3">
      <c r="A29" s="30" t="s">
        <v>0</v>
      </c>
      <c r="B29" s="30" t="s">
        <v>214</v>
      </c>
    </row>
    <row r="30" spans="1:2" x14ac:dyDescent="0.3">
      <c r="A30" s="30" t="s">
        <v>5</v>
      </c>
      <c r="B30" s="30" t="s">
        <v>158</v>
      </c>
    </row>
    <row r="31" spans="1:2" x14ac:dyDescent="0.3">
      <c r="A31" s="30" t="s">
        <v>6</v>
      </c>
      <c r="B31" s="30" t="s">
        <v>159</v>
      </c>
    </row>
    <row r="32" spans="1:2" x14ac:dyDescent="0.3">
      <c r="A32" s="30" t="s">
        <v>126</v>
      </c>
      <c r="B32" s="30" t="s">
        <v>160</v>
      </c>
    </row>
    <row r="33" spans="1:2" x14ac:dyDescent="0.3">
      <c r="A33" s="30" t="s">
        <v>7</v>
      </c>
      <c r="B33" s="30" t="s">
        <v>161</v>
      </c>
    </row>
    <row r="34" spans="1:2" x14ac:dyDescent="0.3">
      <c r="A34" s="30" t="s">
        <v>78</v>
      </c>
      <c r="B34" s="30" t="s">
        <v>162</v>
      </c>
    </row>
    <row r="35" spans="1:2" x14ac:dyDescent="0.3">
      <c r="A35" s="30" t="s">
        <v>8</v>
      </c>
      <c r="B35" s="30" t="s">
        <v>163</v>
      </c>
    </row>
    <row r="36" spans="1:2" x14ac:dyDescent="0.3">
      <c r="A36" s="30" t="s">
        <v>1</v>
      </c>
      <c r="B36" s="30" t="s">
        <v>215</v>
      </c>
    </row>
    <row r="37" spans="1:2" x14ac:dyDescent="0.3">
      <c r="A37" s="30" t="s">
        <v>9</v>
      </c>
      <c r="B37" s="30" t="s">
        <v>164</v>
      </c>
    </row>
    <row r="38" spans="1:2" x14ac:dyDescent="0.3">
      <c r="A38" s="30" t="s">
        <v>10</v>
      </c>
      <c r="B38" s="30" t="s">
        <v>165</v>
      </c>
    </row>
    <row r="39" spans="1:2" x14ac:dyDescent="0.3">
      <c r="A39" s="30" t="s">
        <v>89</v>
      </c>
      <c r="B39" s="30" t="s">
        <v>166</v>
      </c>
    </row>
    <row r="40" spans="1:2" x14ac:dyDescent="0.3">
      <c r="A40" s="30" t="s">
        <v>93</v>
      </c>
      <c r="B40" s="30" t="s">
        <v>167</v>
      </c>
    </row>
    <row r="41" spans="1:2" x14ac:dyDescent="0.3">
      <c r="A41" s="30" t="s">
        <v>94</v>
      </c>
      <c r="B41" s="30" t="s">
        <v>168</v>
      </c>
    </row>
    <row r="42" spans="1:2" x14ac:dyDescent="0.3">
      <c r="A42" s="30" t="s">
        <v>95</v>
      </c>
      <c r="B42" s="30" t="s">
        <v>169</v>
      </c>
    </row>
    <row r="43" spans="1:2" x14ac:dyDescent="0.3">
      <c r="A43" s="30" t="s">
        <v>96</v>
      </c>
      <c r="B43" s="30" t="s">
        <v>170</v>
      </c>
    </row>
    <row r="44" spans="1:2" x14ac:dyDescent="0.3">
      <c r="A44" s="30" t="s">
        <v>97</v>
      </c>
      <c r="B44" s="30" t="s">
        <v>171</v>
      </c>
    </row>
    <row r="45" spans="1:2" x14ac:dyDescent="0.3">
      <c r="A45" s="30" t="s">
        <v>11</v>
      </c>
      <c r="B45" s="30" t="s">
        <v>172</v>
      </c>
    </row>
    <row r="46" spans="1:2" x14ac:dyDescent="0.3">
      <c r="A46" s="30" t="s">
        <v>12</v>
      </c>
      <c r="B46" s="30" t="s">
        <v>173</v>
      </c>
    </row>
    <row r="47" spans="1:2" x14ac:dyDescent="0.3">
      <c r="A47" s="30" t="s">
        <v>80</v>
      </c>
      <c r="B47" s="30" t="s">
        <v>174</v>
      </c>
    </row>
    <row r="48" spans="1:2" x14ac:dyDescent="0.3">
      <c r="A48" s="30" t="s">
        <v>79</v>
      </c>
      <c r="B48" s="30" t="s">
        <v>175</v>
      </c>
    </row>
    <row r="49" spans="1:2" x14ac:dyDescent="0.3">
      <c r="A49" s="30" t="s">
        <v>13</v>
      </c>
      <c r="B49" s="30" t="s">
        <v>176</v>
      </c>
    </row>
    <row r="50" spans="1:2" x14ac:dyDescent="0.3">
      <c r="A50" s="30" t="s">
        <v>2</v>
      </c>
      <c r="B50" s="30" t="s">
        <v>216</v>
      </c>
    </row>
    <row r="51" spans="1:2" x14ac:dyDescent="0.3">
      <c r="A51" s="30" t="s">
        <v>14</v>
      </c>
      <c r="B51" s="30" t="s">
        <v>177</v>
      </c>
    </row>
    <row r="52" spans="1:2" x14ac:dyDescent="0.3">
      <c r="A52" s="30" t="s">
        <v>15</v>
      </c>
      <c r="B52" s="30" t="s">
        <v>178</v>
      </c>
    </row>
    <row r="53" spans="1:2" x14ac:dyDescent="0.3">
      <c r="A53" s="30" t="s">
        <v>16</v>
      </c>
      <c r="B53" s="30" t="s">
        <v>179</v>
      </c>
    </row>
    <row r="54" spans="1:2" x14ac:dyDescent="0.3">
      <c r="A54" s="30" t="s">
        <v>17</v>
      </c>
      <c r="B54" s="30" t="s">
        <v>180</v>
      </c>
    </row>
    <row r="55" spans="1:2" x14ac:dyDescent="0.3">
      <c r="A55" s="30" t="s">
        <v>18</v>
      </c>
      <c r="B55" s="30" t="s">
        <v>181</v>
      </c>
    </row>
    <row r="56" spans="1:2" x14ac:dyDescent="0.3">
      <c r="A56" s="30" t="s">
        <v>19</v>
      </c>
      <c r="B56" s="30" t="s">
        <v>182</v>
      </c>
    </row>
    <row r="57" spans="1:2" x14ac:dyDescent="0.3">
      <c r="A57" s="30" t="s">
        <v>3</v>
      </c>
      <c r="B57" s="30" t="s">
        <v>217</v>
      </c>
    </row>
    <row r="58" spans="1:2" x14ac:dyDescent="0.3">
      <c r="A58" s="30" t="s">
        <v>20</v>
      </c>
      <c r="B58" s="30" t="s">
        <v>183</v>
      </c>
    </row>
    <row r="59" spans="1:2" x14ac:dyDescent="0.3">
      <c r="A59" s="30" t="s">
        <v>21</v>
      </c>
      <c r="B59" s="30" t="s">
        <v>184</v>
      </c>
    </row>
    <row r="60" spans="1:2" x14ac:dyDescent="0.3">
      <c r="A60" s="30" t="s">
        <v>38</v>
      </c>
      <c r="B60" s="30" t="s">
        <v>185</v>
      </c>
    </row>
    <row r="61" spans="1:2" x14ac:dyDescent="0.3">
      <c r="A61" s="30" t="s">
        <v>22</v>
      </c>
      <c r="B61" s="30" t="s">
        <v>186</v>
      </c>
    </row>
    <row r="62" spans="1:2" x14ac:dyDescent="0.3">
      <c r="A62" s="30" t="s">
        <v>23</v>
      </c>
      <c r="B62" s="30" t="s">
        <v>187</v>
      </c>
    </row>
    <row r="63" spans="1:2" x14ac:dyDescent="0.3">
      <c r="A63" s="30" t="s">
        <v>24</v>
      </c>
      <c r="B63" s="30" t="s">
        <v>188</v>
      </c>
    </row>
    <row r="64" spans="1:2" x14ac:dyDescent="0.3">
      <c r="A64" s="30" t="s">
        <v>25</v>
      </c>
      <c r="B64" s="30" t="s">
        <v>189</v>
      </c>
    </row>
    <row r="65" spans="1:2" x14ac:dyDescent="0.3">
      <c r="A65" s="30" t="s">
        <v>26</v>
      </c>
      <c r="B65" s="30" t="s">
        <v>190</v>
      </c>
    </row>
    <row r="66" spans="1:2" x14ac:dyDescent="0.3">
      <c r="A66" s="30" t="s">
        <v>27</v>
      </c>
      <c r="B66" s="30" t="s">
        <v>191</v>
      </c>
    </row>
    <row r="67" spans="1:2" x14ac:dyDescent="0.3">
      <c r="A67" s="30" t="s">
        <v>28</v>
      </c>
      <c r="B67" s="30" t="s">
        <v>192</v>
      </c>
    </row>
    <row r="68" spans="1:2" x14ac:dyDescent="0.3">
      <c r="A68" s="30" t="s">
        <v>29</v>
      </c>
      <c r="B68" s="30" t="s">
        <v>193</v>
      </c>
    </row>
    <row r="69" spans="1:2" x14ac:dyDescent="0.3">
      <c r="A69" s="30" t="s">
        <v>30</v>
      </c>
      <c r="B69" s="30" t="s">
        <v>194</v>
      </c>
    </row>
    <row r="70" spans="1:2" x14ac:dyDescent="0.3">
      <c r="A70" s="30" t="s">
        <v>31</v>
      </c>
      <c r="B70" s="30" t="s">
        <v>195</v>
      </c>
    </row>
    <row r="71" spans="1:2" x14ac:dyDescent="0.3">
      <c r="A71" s="30" t="s">
        <v>32</v>
      </c>
      <c r="B71" s="30" t="s">
        <v>196</v>
      </c>
    </row>
    <row r="72" spans="1:2" x14ac:dyDescent="0.3">
      <c r="A72" s="30" t="s">
        <v>33</v>
      </c>
      <c r="B72" s="30" t="s">
        <v>197</v>
      </c>
    </row>
    <row r="73" spans="1:2" x14ac:dyDescent="0.3">
      <c r="A73" s="30" t="s">
        <v>4</v>
      </c>
      <c r="B73" s="30" t="s">
        <v>218</v>
      </c>
    </row>
    <row r="74" spans="1:2" x14ac:dyDescent="0.3">
      <c r="A74" s="30" t="s">
        <v>34</v>
      </c>
      <c r="B74" s="30" t="s">
        <v>198</v>
      </c>
    </row>
    <row r="75" spans="1:2" x14ac:dyDescent="0.3">
      <c r="A75" s="30" t="s">
        <v>35</v>
      </c>
      <c r="B75" s="30" t="s">
        <v>199</v>
      </c>
    </row>
    <row r="76" spans="1:2" x14ac:dyDescent="0.3">
      <c r="A76" s="30" t="s">
        <v>36</v>
      </c>
      <c r="B76" s="30" t="s">
        <v>200</v>
      </c>
    </row>
    <row r="77" spans="1:2" x14ac:dyDescent="0.3">
      <c r="A77" s="30" t="s">
        <v>37</v>
      </c>
      <c r="B77" s="30" t="s">
        <v>201</v>
      </c>
    </row>
    <row r="78" spans="1:2" x14ac:dyDescent="0.3">
      <c r="A78" s="30" t="s">
        <v>39</v>
      </c>
      <c r="B78" s="30" t="s">
        <v>202</v>
      </c>
    </row>
    <row r="79" spans="1:2" x14ac:dyDescent="0.3">
      <c r="A79" s="30" t="s">
        <v>46</v>
      </c>
      <c r="B79" s="30" t="s">
        <v>46</v>
      </c>
    </row>
    <row r="80" spans="1:2" x14ac:dyDescent="0.3">
      <c r="A80" s="30" t="s">
        <v>40</v>
      </c>
      <c r="B80" s="30" t="s">
        <v>203</v>
      </c>
    </row>
    <row r="81" spans="1:2" x14ac:dyDescent="0.3">
      <c r="A81" s="30" t="s">
        <v>88</v>
      </c>
      <c r="B81" s="30" t="s">
        <v>204</v>
      </c>
    </row>
    <row r="82" spans="1:2" x14ac:dyDescent="0.3">
      <c r="A82" s="30" t="s">
        <v>132</v>
      </c>
      <c r="B82" s="30" t="s">
        <v>136</v>
      </c>
    </row>
    <row r="83" spans="1:2" ht="187.2" x14ac:dyDescent="0.3">
      <c r="A83" s="32" t="s">
        <v>205</v>
      </c>
      <c r="B83" s="32" t="s">
        <v>206</v>
      </c>
    </row>
    <row r="84" spans="1:2" ht="158.4" x14ac:dyDescent="0.3">
      <c r="A84" s="32" t="s">
        <v>207</v>
      </c>
      <c r="B84" s="32" t="s">
        <v>208</v>
      </c>
    </row>
    <row r="85" spans="1:2" x14ac:dyDescent="0.3">
      <c r="A85" s="30"/>
      <c r="B85" s="30"/>
    </row>
    <row r="86" spans="1:2" x14ac:dyDescent="0.3">
      <c r="A86" s="31"/>
      <c r="B86" s="30"/>
    </row>
    <row r="87" spans="1:2" x14ac:dyDescent="0.3">
      <c r="A87" s="31"/>
      <c r="B87" s="30"/>
    </row>
    <row r="88" spans="1:2" x14ac:dyDescent="0.3">
      <c r="A88" s="31"/>
      <c r="B88" s="30"/>
    </row>
    <row r="89" spans="1:2" x14ac:dyDescent="0.3">
      <c r="A89" s="31"/>
      <c r="B89" s="30"/>
    </row>
    <row r="90" spans="1:2" x14ac:dyDescent="0.3">
      <c r="A90" s="31"/>
      <c r="B90" s="30"/>
    </row>
    <row r="91" spans="1:2" x14ac:dyDescent="0.3">
      <c r="A91" s="31"/>
      <c r="B91" s="30"/>
    </row>
    <row r="92" spans="1:2" x14ac:dyDescent="0.3">
      <c r="A92" s="31"/>
      <c r="B92" s="30"/>
    </row>
    <row r="93" spans="1:2" x14ac:dyDescent="0.3">
      <c r="A93" s="31"/>
      <c r="B93" s="30"/>
    </row>
    <row r="94" spans="1:2" x14ac:dyDescent="0.3">
      <c r="A94" s="31"/>
      <c r="B94" s="32"/>
    </row>
    <row r="95" spans="1:2" x14ac:dyDescent="0.3">
      <c r="A95" s="31"/>
      <c r="B95" s="30"/>
    </row>
    <row r="96" spans="1:2" x14ac:dyDescent="0.3">
      <c r="A96" s="31"/>
      <c r="B96" s="30"/>
    </row>
  </sheetData>
  <conditionalFormatting sqref="A2:A84">
    <cfRule type="duplicateValues" dxfId="8" priority="2"/>
  </conditionalFormatting>
  <conditionalFormatting sqref="B2:B56 B58:B84">
    <cfRule type="duplicateValues" dxfId="7" priority="1"/>
  </conditionalFormatting>
  <dataValidations count="1">
    <dataValidation type="list" allowBlank="1" showInputMessage="1" showErrorMessage="1" sqref="A78" xr:uid="{7DCBCB87-B26D-4568-9C72-E4E7D76619C1}">
      <formula1>INDIRECT("TabNiveaux[Niveaux]")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51556-ADC7-401D-BE40-AB800FC0D947}">
  <sheetPr codeName="ShDonnees">
    <tabColor rgb="FF7030A0"/>
  </sheetPr>
  <dimension ref="A1:O11"/>
  <sheetViews>
    <sheetView showGridLines="0" workbookViewId="0">
      <selection activeCell="C25" sqref="C25"/>
    </sheetView>
  </sheetViews>
  <sheetFormatPr defaultColWidth="11.5546875" defaultRowHeight="14.4" x14ac:dyDescent="0.3"/>
  <cols>
    <col min="1" max="1" width="4" customWidth="1"/>
    <col min="2" max="2" width="12.88671875" customWidth="1"/>
  </cols>
  <sheetData>
    <row r="1" spans="1:15" s="3" customFormat="1" ht="18.600000000000001" customHeight="1" x14ac:dyDescent="0.3">
      <c r="B1" s="1"/>
      <c r="C1" s="5"/>
      <c r="D1" s="2"/>
    </row>
    <row r="2" spans="1:15" s="3" customFormat="1" ht="18.600000000000001" customHeight="1" x14ac:dyDescent="0.3">
      <c r="B2" s="1"/>
      <c r="C2" s="5"/>
      <c r="D2" s="2"/>
    </row>
    <row r="3" spans="1:15" s="3" customFormat="1" ht="18.600000000000001" customHeight="1" thickBot="1" x14ac:dyDescent="0.35">
      <c r="B3" s="1"/>
      <c r="C3" s="5"/>
      <c r="D3" s="2"/>
    </row>
    <row r="4" spans="1:15" ht="25.95" customHeight="1" thickTop="1" thickBot="1" x14ac:dyDescent="0.35">
      <c r="A4" s="10"/>
      <c r="B4" s="10" t="s">
        <v>128</v>
      </c>
      <c r="C4" s="10"/>
      <c r="D4" s="10"/>
      <c r="E4" s="11"/>
      <c r="F4" s="10"/>
      <c r="G4" s="10"/>
      <c r="H4" s="10"/>
      <c r="I4" s="10"/>
      <c r="J4" s="10"/>
      <c r="K4" s="10"/>
      <c r="L4" s="10"/>
      <c r="M4" s="9"/>
      <c r="N4" s="9"/>
      <c r="O4" s="9"/>
    </row>
    <row r="5" spans="1:15" ht="25.95" customHeight="1" thickTop="1" x14ac:dyDescent="0.3">
      <c r="M5" s="9"/>
      <c r="N5" s="9"/>
      <c r="O5" s="9"/>
    </row>
    <row r="6" spans="1:15" x14ac:dyDescent="0.3">
      <c r="B6" s="7" t="s">
        <v>87</v>
      </c>
    </row>
    <row r="7" spans="1:15" x14ac:dyDescent="0.3">
      <c r="B7" s="14">
        <v>1</v>
      </c>
    </row>
    <row r="8" spans="1:15" x14ac:dyDescent="0.3">
      <c r="B8" s="14">
        <v>2</v>
      </c>
    </row>
    <row r="9" spans="1:15" x14ac:dyDescent="0.3">
      <c r="B9" s="14">
        <v>3</v>
      </c>
    </row>
    <row r="10" spans="1:15" x14ac:dyDescent="0.3">
      <c r="B10" s="14">
        <v>4</v>
      </c>
    </row>
    <row r="11" spans="1:15" x14ac:dyDescent="0.3">
      <c r="B11" s="14">
        <v>5</v>
      </c>
    </row>
  </sheetData>
  <dataValidations count="1">
    <dataValidation type="list" allowBlank="1" showInputMessage="1" showErrorMessage="1" sqref="B1 B3" xr:uid="{DAE8817F-FA26-479E-9DC8-FE2BB92BF385}">
      <formula1>$A$7:$A$15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PBS SAP</vt:lpstr>
      <vt:lpstr>WBS SAP</vt:lpstr>
      <vt:lpstr>Langue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Sara AIT TALEB</cp:lastModifiedBy>
  <dcterms:created xsi:type="dcterms:W3CDTF">2022-10-13T14:56:20Z</dcterms:created>
  <dcterms:modified xsi:type="dcterms:W3CDTF">2023-09-05T17:51:27Z</dcterms:modified>
</cp:coreProperties>
</file>