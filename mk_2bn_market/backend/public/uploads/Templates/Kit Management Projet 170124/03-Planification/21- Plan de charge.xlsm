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ir\Desktop\"/>
    </mc:Choice>
  </mc:AlternateContent>
  <xr:revisionPtr revIDLastSave="0" documentId="13_ncr:1_{E34846FF-233A-435A-8C72-75882EB389A6}" xr6:coauthVersionLast="47" xr6:coauthVersionMax="47" xr10:uidLastSave="{00000000-0000-0000-0000-000000000000}"/>
  <bookViews>
    <workbookView xWindow="-108" yWindow="-108" windowWidth="23256" windowHeight="12456" tabRatio="574" firstSheet="1" activeTab="1" xr2:uid="{E9E35B5E-CE22-48DD-9FF9-C057520BCDE5}"/>
  </bookViews>
  <sheets>
    <sheet name="Guide d'utilisation" sheetId="5" state="veryHidden" r:id="rId1"/>
    <sheet name="Plan de charge" sheetId="1" r:id="rId2"/>
    <sheet name="Ressources" sheetId="4" r:id="rId3"/>
    <sheet name="Paramétrage" sheetId="2" r:id="rId4"/>
    <sheet name="Langue" sheetId="6" state="veryHidden" r:id="rId5"/>
    <sheet name="Backend" sheetId="3" state="veryHidden" r:id="rId6"/>
  </sheets>
  <functionGroups builtInGroupCount="19"/>
  <definedNames>
    <definedName name="DaysToIncrement">Backend!$B$1</definedName>
    <definedName name="FirstMonthTheme">Paramétrage!$AP$9</definedName>
    <definedName name="GanttHeader">'Plan de charge'!$Q$9:$BT$9</definedName>
    <definedName name="GanttHeaderAll">'Plan de charge'!$Q$5:$BT$11</definedName>
    <definedName name="GanttHeaderDateWeeks">'Plan de charge'!$Q$8:$BT$8</definedName>
    <definedName name="GanttHeaderMonthsWeeks">'Plan de charge'!$Q$5:$BT$5</definedName>
    <definedName name="GanttHeaderYears">'Plan de charge'!$Q$6:$BT$6</definedName>
    <definedName name="IsDaysGantt">Backend!$B$3</definedName>
    <definedName name="IsMaximize">Backend!$B$2</definedName>
    <definedName name="IsMonthsGantt">Backend!$B$5</definedName>
    <definedName name="IsProject">Paramétrage!$AI$8</definedName>
    <definedName name="IsWeeksGant">Backend!$B$4</definedName>
    <definedName name="Langue">Paramétrage!$N$4</definedName>
    <definedName name="LBL_HOLIDAY_LIST">Paramétrage!$F$6</definedName>
    <definedName name="LBL_STATUS">Paramétrage!$B$6</definedName>
    <definedName name="LBL_TAB_HOLIDAYS">Paramétrage!$F$8:$G$8</definedName>
    <definedName name="LBL_TAB_STATUS">Paramétrage!$B$8:$D$8</definedName>
    <definedName name="ProgressionFormat">Paramétrage!$F$12</definedName>
    <definedName name="ProjectDone">Paramétrage!#REF!</definedName>
    <definedName name="ProjectStart">'Plan de charge'!$AI$4</definedName>
    <definedName name="RadioBtnResult">Backend!$C$1</definedName>
    <definedName name="RESS_LBL_TAB">Ressources!$B$7:$M$7</definedName>
    <definedName name="ScrollingIncrement">Paramétrage!$AP$3</definedName>
    <definedName name="SecondMonthTheme">Paramétrage!$AP$10</definedName>
    <definedName name="SETT_HEADER">Paramétrage!$M$1:$M$3</definedName>
    <definedName name="SETT_SUBHEADER">Paramétrage!$B$4</definedName>
    <definedName name="TodayFormat">Paramétrage!$AM$9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1" l="1"/>
  <c r="AS5" i="1"/>
  <c r="Q6" i="1"/>
  <c r="Q5" i="1"/>
  <c r="F14" i="1" l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D14" i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J29" i="4"/>
  <c r="N16" i="1"/>
  <c r="K10" i="4" l="1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L29" i="4" s="1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L21" i="4" l="1"/>
  <c r="L25" i="4"/>
  <c r="L23" i="4"/>
  <c r="L20" i="4"/>
  <c r="L24" i="4"/>
  <c r="L22" i="4"/>
  <c r="L19" i="4"/>
  <c r="L18" i="4"/>
  <c r="L11" i="4"/>
  <c r="L16" i="4"/>
  <c r="L17" i="4"/>
  <c r="L15" i="4"/>
  <c r="L14" i="4"/>
  <c r="L13" i="4"/>
  <c r="L12" i="4"/>
  <c r="L28" i="4"/>
  <c r="L27" i="4"/>
  <c r="L26" i="4"/>
  <c r="L10" i="4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35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6" i="1"/>
  <c r="N137" i="1"/>
  <c r="N108" i="1"/>
  <c r="N109" i="1"/>
  <c r="N110" i="1"/>
  <c r="N111" i="1"/>
  <c r="N112" i="1"/>
  <c r="N113" i="1"/>
  <c r="N114" i="1"/>
  <c r="N115" i="1"/>
  <c r="N116" i="1"/>
  <c r="N117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138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26" i="1"/>
  <c r="N27" i="1"/>
  <c r="N28" i="1"/>
  <c r="N29" i="1"/>
  <c r="N30" i="1"/>
  <c r="N31" i="1"/>
  <c r="N32" i="1"/>
  <c r="N33" i="1"/>
  <c r="N34" i="1"/>
  <c r="N35" i="1"/>
  <c r="N24" i="1"/>
  <c r="N15" i="1"/>
  <c r="N17" i="1"/>
  <c r="N18" i="1"/>
  <c r="N19" i="1"/>
  <c r="N20" i="1"/>
  <c r="N21" i="1"/>
  <c r="N22" i="1"/>
  <c r="N23" i="1"/>
  <c r="B16" i="1" l="1"/>
  <c r="B14" i="1"/>
  <c r="B36" i="1" l="1"/>
  <c r="B26" i="1"/>
  <c r="B27" i="1"/>
  <c r="B28" i="1"/>
  <c r="B29" i="1"/>
  <c r="B30" i="1"/>
  <c r="B31" i="1"/>
  <c r="B32" i="1"/>
  <c r="B33" i="1"/>
  <c r="B15" i="1"/>
  <c r="B17" i="1"/>
  <c r="B25" i="1"/>
  <c r="B24" i="1"/>
  <c r="B21" i="1"/>
  <c r="B18" i="1"/>
  <c r="B19" i="1"/>
  <c r="B20" i="1"/>
  <c r="B22" i="1"/>
  <c r="B23" i="1"/>
  <c r="B35" i="1" l="1"/>
  <c r="B34" i="1"/>
  <c r="B37" i="1" l="1"/>
  <c r="B4" i="3"/>
  <c r="B5" i="3"/>
  <c r="B3" i="3"/>
  <c r="Q8" i="1" l="1"/>
  <c r="O9" i="1"/>
  <c r="BJ8" i="1"/>
  <c r="BJ11" i="1" s="1"/>
  <c r="B38" i="1"/>
  <c r="BL8" i="1"/>
  <c r="R8" i="1"/>
  <c r="S8" i="1"/>
  <c r="S11" i="1" s="1"/>
  <c r="BI8" i="1"/>
  <c r="BM8" i="1"/>
  <c r="BR8" i="1"/>
  <c r="AE8" i="1"/>
  <c r="BK8" i="1"/>
  <c r="BK11" i="1" s="1"/>
  <c r="AF8" i="1"/>
  <c r="AF11" i="1" s="1"/>
  <c r="AC8" i="1"/>
  <c r="AG8" i="1"/>
  <c r="AH8" i="1"/>
  <c r="AV8" i="1"/>
  <c r="AI8" i="1"/>
  <c r="BA8" i="1"/>
  <c r="AU8" i="1"/>
  <c r="BB8" i="1"/>
  <c r="BB11" i="1" s="1"/>
  <c r="AK8" i="1"/>
  <c r="BO8" i="1"/>
  <c r="BO11" i="1" s="1"/>
  <c r="AL8" i="1"/>
  <c r="BP8" i="1"/>
  <c r="AJ8" i="1"/>
  <c r="BN8" i="1"/>
  <c r="AS8" i="1"/>
  <c r="BQ8" i="1"/>
  <c r="T8" i="1"/>
  <c r="AW8" i="1"/>
  <c r="AW11" i="1" s="1"/>
  <c r="U8" i="1"/>
  <c r="AX8" i="1"/>
  <c r="V8" i="1"/>
  <c r="AY8" i="1"/>
  <c r="W8" i="1"/>
  <c r="W11" i="1" s="1"/>
  <c r="AZ8" i="1"/>
  <c r="BC8" i="1"/>
  <c r="X8" i="1"/>
  <c r="BD8" i="1"/>
  <c r="Y8" i="1"/>
  <c r="BE8" i="1"/>
  <c r="Z8" i="1"/>
  <c r="Z11" i="1" s="1"/>
  <c r="AP8" i="1"/>
  <c r="BF8" i="1"/>
  <c r="AM8" i="1"/>
  <c r="BS8" i="1"/>
  <c r="AN8" i="1"/>
  <c r="BT8" i="1"/>
  <c r="AO8" i="1"/>
  <c r="AA8" i="1"/>
  <c r="AQ8" i="1"/>
  <c r="BG8" i="1"/>
  <c r="AB8" i="1"/>
  <c r="AR8" i="1"/>
  <c r="BH8" i="1"/>
  <c r="AD8" i="1"/>
  <c r="AT8" i="1"/>
  <c r="B1" i="3" a="1"/>
  <c r="B1" i="3" s="1"/>
  <c r="AS11" i="1" l="1"/>
  <c r="AO11" i="1"/>
  <c r="BM11" i="1"/>
  <c r="AM11" i="1"/>
  <c r="AZ11" i="1"/>
  <c r="U11" i="1"/>
  <c r="AH11" i="1"/>
  <c r="BQ11" i="1"/>
  <c r="AU11" i="1"/>
  <c r="AL11" i="1"/>
  <c r="AY11" i="1"/>
  <c r="BH11" i="1"/>
  <c r="Y11" i="1"/>
  <c r="AG11" i="1"/>
  <c r="BG11" i="1"/>
  <c r="X11" i="1"/>
  <c r="T11" i="1"/>
  <c r="AK11" i="1"/>
  <c r="AP11" i="1"/>
  <c r="AT11" i="1"/>
  <c r="BT11" i="1"/>
  <c r="BP11" i="1"/>
  <c r="AX11" i="1"/>
  <c r="BL11" i="1"/>
  <c r="BS11" i="1"/>
  <c r="AJ11" i="1"/>
  <c r="AQ11" i="1"/>
  <c r="Q11" i="1"/>
  <c r="BC11" i="1"/>
  <c r="BD11" i="1"/>
  <c r="AB11" i="1"/>
  <c r="AA11" i="1"/>
  <c r="BR11" i="1"/>
  <c r="AV11" i="1"/>
  <c r="AE11" i="1"/>
  <c r="BI11" i="1"/>
  <c r="AN11" i="1"/>
  <c r="AR11" i="1"/>
  <c r="R11" i="1"/>
  <c r="BA11" i="1"/>
  <c r="BN11" i="1"/>
  <c r="V11" i="1"/>
  <c r="AI11" i="1"/>
  <c r="BF11" i="1"/>
  <c r="AD11" i="1"/>
  <c r="AC11" i="1"/>
  <c r="BE11" i="1"/>
  <c r="B39" i="1"/>
  <c r="B40" i="1" l="1"/>
  <c r="Q9" i="1"/>
  <c r="AQ9" i="1"/>
  <c r="AP9" i="1"/>
  <c r="AN9" i="1"/>
  <c r="AM9" i="1"/>
  <c r="AD9" i="1"/>
  <c r="T9" i="1"/>
  <c r="AL9" i="1"/>
  <c r="AI9" i="1"/>
  <c r="AT9" i="1"/>
  <c r="BK9" i="1"/>
  <c r="AU9" i="1"/>
  <c r="BI9" i="1"/>
  <c r="AX9" i="1"/>
  <c r="BR9" i="1"/>
  <c r="S9" i="1"/>
  <c r="BS9" i="1"/>
  <c r="BT9" i="1"/>
  <c r="AC9" i="1"/>
  <c r="U9" i="1"/>
  <c r="BP9" i="1"/>
  <c r="AB9" i="1"/>
  <c r="BH9" i="1"/>
  <c r="AZ9" i="1"/>
  <c r="BD9" i="1"/>
  <c r="AY9" i="1"/>
  <c r="AR9" i="1"/>
  <c r="AE9" i="1"/>
  <c r="X9" i="1"/>
  <c r="W9" i="1"/>
  <c r="BA9" i="1"/>
  <c r="BF9" i="1"/>
  <c r="V9" i="1"/>
  <c r="BG9" i="1"/>
  <c r="AO9" i="1"/>
  <c r="AG9" i="1"/>
  <c r="BJ9" i="1"/>
  <c r="AA9" i="1"/>
  <c r="BQ9" i="1"/>
  <c r="AS9" i="1"/>
  <c r="AK9" i="1"/>
  <c r="AH9" i="1"/>
  <c r="BN9" i="1"/>
  <c r="BO9" i="1"/>
  <c r="BB9" i="1"/>
  <c r="AW9" i="1"/>
  <c r="BL9" i="1"/>
  <c r="BM9" i="1"/>
  <c r="AV9" i="1"/>
  <c r="AF9" i="1"/>
  <c r="Z9" i="1"/>
  <c r="AJ9" i="1"/>
  <c r="BC9" i="1"/>
  <c r="BE9" i="1"/>
  <c r="Y9" i="1"/>
  <c r="R9" i="1"/>
  <c r="P23" i="1"/>
  <c r="P22" i="1"/>
  <c r="P21" i="1"/>
  <c r="P20" i="1"/>
  <c r="P19" i="1"/>
  <c r="B41" i="1" l="1"/>
  <c r="P18" i="1"/>
  <c r="P17" i="1"/>
  <c r="P15" i="1"/>
  <c r="P24" i="1"/>
  <c r="P35" i="1"/>
  <c r="P34" i="1"/>
  <c r="P33" i="1"/>
  <c r="P32" i="1"/>
  <c r="P31" i="1"/>
  <c r="P30" i="1"/>
  <c r="P29" i="1"/>
  <c r="P28" i="1"/>
  <c r="P27" i="1"/>
  <c r="B42" i="1" l="1"/>
  <c r="P2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B43" i="1" l="1"/>
  <c r="P37" i="1"/>
  <c r="P138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117" i="1"/>
  <c r="P116" i="1"/>
  <c r="P115" i="1"/>
  <c r="P114" i="1"/>
  <c r="P113" i="1"/>
  <c r="P112" i="1"/>
  <c r="P111" i="1"/>
  <c r="P110" i="1"/>
  <c r="P109" i="1"/>
  <c r="P108" i="1"/>
  <c r="P137" i="1"/>
  <c r="P136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B44" i="1" l="1"/>
  <c r="P118" i="1"/>
  <c r="P135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B45" i="1" l="1"/>
  <c r="P141" i="1"/>
  <c r="P140" i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  <c r="B133" i="1" l="1"/>
  <c r="B134" i="1" l="1"/>
  <c r="B135" i="1" l="1"/>
  <c r="B136" i="1" l="1"/>
  <c r="B137" i="1" l="1"/>
  <c r="B138" i="1" l="1"/>
  <c r="B139" i="1" l="1"/>
  <c r="B140" i="1" l="1"/>
  <c r="B141" i="1" l="1"/>
  <c r="B142" i="1" l="1"/>
  <c r="B143" i="1" l="1"/>
  <c r="B144" i="1" l="1"/>
  <c r="B145" i="1" l="1"/>
  <c r="B146" i="1" l="1"/>
  <c r="B147" i="1" l="1"/>
  <c r="B148" i="1" l="1"/>
  <c r="B149" i="1" l="1"/>
  <c r="B150" i="1" l="1"/>
  <c r="B151" i="1" l="1"/>
  <c r="B152" i="1" l="1"/>
  <c r="N36" i="1"/>
  <c r="L139" i="1"/>
  <c r="L25" i="1"/>
  <c r="N139" i="1"/>
  <c r="N25" i="1"/>
  <c r="L36" i="1"/>
  <c r="B153" i="1" l="1"/>
  <c r="M25" i="1"/>
  <c r="M36" i="1"/>
  <c r="O25" i="1"/>
  <c r="P25" i="1" s="1"/>
  <c r="O36" i="1"/>
  <c r="P36" i="1" s="1"/>
  <c r="O139" i="1"/>
  <c r="P139" i="1" s="1"/>
  <c r="M139" i="1"/>
  <c r="P16" i="1"/>
  <c r="K9" i="4" l="1"/>
  <c r="L9" i="4" s="1"/>
  <c r="M56" i="1"/>
  <c r="O56" i="1"/>
  <c r="L56" i="1"/>
  <c r="N56" i="1"/>
  <c r="P56" i="1" l="1"/>
  <c r="M14" i="1"/>
  <c r="M12" i="1" s="1"/>
  <c r="O14" i="1"/>
  <c r="O12" i="1" s="1"/>
  <c r="N14" i="1"/>
  <c r="L14" i="1"/>
  <c r="N12" i="1" l="1"/>
  <c r="L12" i="1"/>
  <c r="P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<sst xmlns="http://schemas.openxmlformats.org/spreadsheetml/2006/main" count="1166" uniqueCount="542">
  <si>
    <t>ID</t>
  </si>
  <si>
    <t>WBS - Activité / tâche</t>
  </si>
  <si>
    <t>Dépendance</t>
  </si>
  <si>
    <t>Attribuée à</t>
  </si>
  <si>
    <t>Début</t>
  </si>
  <si>
    <t>Deadline</t>
  </si>
  <si>
    <t>Progression</t>
  </si>
  <si>
    <t>Thème</t>
  </si>
  <si>
    <t>IDProj</t>
  </si>
  <si>
    <t>Point</t>
  </si>
  <si>
    <t>IDSubProj</t>
  </si>
  <si>
    <t>Olivier Robespierre</t>
  </si>
  <si>
    <t>Bernard Dupuis</t>
  </si>
  <si>
    <t>Eric Duteil</t>
  </si>
  <si>
    <t>Denise Attali</t>
  </si>
  <si>
    <t>Marcel Poste</t>
  </si>
  <si>
    <t>Daniel Château</t>
  </si>
  <si>
    <t>Georges Clonet</t>
  </si>
  <si>
    <t>Marc Ellin</t>
  </si>
  <si>
    <t>Antoine Fleur</t>
  </si>
  <si>
    <t>Henri Saulnier</t>
  </si>
  <si>
    <t>Edouard Leperre</t>
  </si>
  <si>
    <t>Gérard Lourte</t>
  </si>
  <si>
    <t>Carine Refour</t>
  </si>
  <si>
    <t>Jacques Meunier</t>
  </si>
  <si>
    <t>Jean Albert</t>
  </si>
  <si>
    <t>Marianne Anselme</t>
  </si>
  <si>
    <t>X</t>
  </si>
  <si>
    <t>Is Project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</si>
  <si>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</si>
  <si>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</si>
  <si>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</si>
  <si>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</si>
  <si>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</si>
  <si>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</si>
  <si>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</si>
  <si>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</si>
  <si>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</si>
  <si>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</si>
  <si>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</si>
  <si>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</si>
  <si>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</si>
  <si>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</si>
  <si>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</si>
  <si>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</si>
  <si>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</si>
  <si>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</si>
  <si>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</si>
  <si>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</si>
  <si>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</si>
  <si>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</si>
  <si>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</si>
  <si>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</si>
  <si>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</si>
  <si>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</si>
  <si>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</si>
  <si>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</si>
  <si>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</si>
  <si>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</si>
  <si>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</si>
  <si>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</si>
  <si>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</si>
  <si>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</si>
  <si>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</si>
  <si>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</si>
  <si>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</si>
  <si>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</si>
  <si>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</si>
  <si>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</si>
  <si>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</si>
  <si>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</si>
  <si>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</si>
  <si>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</si>
  <si>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</si>
  <si>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</si>
  <si>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</si>
  <si>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</si>
  <si>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</si>
  <si>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</si>
  <si>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</si>
  <si>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</si>
  <si>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</si>
  <si>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</si>
  <si>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Scrolling Increment:</t>
  </si>
  <si>
    <t>C54</t>
  </si>
  <si>
    <t>C55</t>
  </si>
  <si>
    <t>Gantt type</t>
  </si>
  <si>
    <t>Nom / Code projet</t>
  </si>
  <si>
    <t>Référence</t>
  </si>
  <si>
    <t>Non/code du portefeuille</t>
  </si>
  <si>
    <t>PMO</t>
  </si>
  <si>
    <t>Project X</t>
  </si>
  <si>
    <t>R47P58X</t>
  </si>
  <si>
    <t>Portefeuille X</t>
  </si>
  <si>
    <t>Alain DURAND</t>
  </si>
  <si>
    <t>Date de création</t>
  </si>
  <si>
    <t>Date de la version</t>
  </si>
  <si>
    <t>Numéro de version</t>
  </si>
  <si>
    <t>V3.4</t>
  </si>
  <si>
    <t>Maximize</t>
  </si>
  <si>
    <t>Statut</t>
  </si>
  <si>
    <t>Urgent</t>
  </si>
  <si>
    <t>En progress</t>
  </si>
  <si>
    <t>Reporté</t>
  </si>
  <si>
    <t>Nom</t>
  </si>
  <si>
    <t>Rôle</t>
  </si>
  <si>
    <t>Adresse email</t>
  </si>
  <si>
    <t>Téléphone</t>
  </si>
  <si>
    <t>Chantal Dupont</t>
  </si>
  <si>
    <t>Chef de Projet</t>
  </si>
  <si>
    <t>DupontC@confassis.com</t>
  </si>
  <si>
    <t>Sponsor</t>
  </si>
  <si>
    <t>RobespierreO@confassis.com</t>
  </si>
  <si>
    <t>Responsable Intégration</t>
  </si>
  <si>
    <t>MeunierJ@confassis.com</t>
  </si>
  <si>
    <t>Monique Davant</t>
  </si>
  <si>
    <t>Coordinatrice Finances</t>
  </si>
  <si>
    <t>DavantM@confassis.com</t>
  </si>
  <si>
    <t>Coordinatrice Ventes</t>
  </si>
  <si>
    <t>AttaliD@confassis.com</t>
  </si>
  <si>
    <t>Coordinateur Achats</t>
  </si>
  <si>
    <t>AlbertJ@confassis.com</t>
  </si>
  <si>
    <t>Coordinateur Logistique</t>
  </si>
  <si>
    <t>DuteilE@confassis.com</t>
  </si>
  <si>
    <t>Directeur Informatique</t>
  </si>
  <si>
    <t>ChateauD@confassis.com</t>
  </si>
  <si>
    <t>Responsable du Changement</t>
  </si>
  <si>
    <t>DupuisB@confassis.com</t>
  </si>
  <si>
    <t>Expert SAP Finances FI/CO</t>
  </si>
  <si>
    <t>AnselmeM@confassis.com</t>
  </si>
  <si>
    <t>Expert SAP Finances Immobilisations</t>
  </si>
  <si>
    <t>LourteG@confassis.com</t>
  </si>
  <si>
    <t>Expert SAP Ventes</t>
  </si>
  <si>
    <t>PosteM@confassis.com</t>
  </si>
  <si>
    <t>Bernard Tassin</t>
  </si>
  <si>
    <t>TassinB@confassis.com</t>
  </si>
  <si>
    <t>Expert SAP Achats</t>
  </si>
  <si>
    <t>LeperreE@confassis.com</t>
  </si>
  <si>
    <t>RefourC@confassis.com</t>
  </si>
  <si>
    <t>Expert SAP Logistique</t>
  </si>
  <si>
    <t>SaulnierH@confassis.com</t>
  </si>
  <si>
    <t>EllinM@confassis.com</t>
  </si>
  <si>
    <t>Juliette Binot</t>
  </si>
  <si>
    <t>Experte Master Data</t>
  </si>
  <si>
    <t>BinotJ@confassis.com</t>
  </si>
  <si>
    <t>Expert Master Data</t>
  </si>
  <si>
    <t>FleurA@confassis.com</t>
  </si>
  <si>
    <t>Coordinateur Production</t>
  </si>
  <si>
    <t>ClonetG@confassis.com</t>
  </si>
  <si>
    <t>Utilisateurs CMRL</t>
  </si>
  <si>
    <t>Testeurs et valideurs</t>
  </si>
  <si>
    <t>Ressources</t>
  </si>
  <si>
    <t>Paramétrage</t>
  </si>
  <si>
    <t>Guide d'utilisation</t>
  </si>
  <si>
    <t>Projet</t>
  </si>
  <si>
    <t>Initialisation</t>
  </si>
  <si>
    <t>Etude d'opportunité et approbation</t>
  </si>
  <si>
    <t>Préparation de la Charte Projet - Justification</t>
  </si>
  <si>
    <t>Rédaction de la Charte Projet</t>
  </si>
  <si>
    <t>Approbation de la Charte Projet</t>
  </si>
  <si>
    <t>Planification</t>
  </si>
  <si>
    <t>Rédaction du cahier des charges</t>
  </si>
  <si>
    <t>Etablissement du Planning</t>
  </si>
  <si>
    <t>Etablissement Plan de Communication</t>
  </si>
  <si>
    <t>Approbation Cahier des charges,Plan de communication, Plan de projet et Planning</t>
  </si>
  <si>
    <t>Réalisation</t>
  </si>
  <si>
    <t>Paramétrage et corrections Master Data</t>
  </si>
  <si>
    <t>Paramétrage, programmation et test Production</t>
  </si>
  <si>
    <t xml:space="preserve">Tests, corrections et validation du système </t>
  </si>
  <si>
    <t>Validation officielle par les utilisateurs</t>
  </si>
  <si>
    <t>Validation de la phase par le comité de direction</t>
  </si>
  <si>
    <t>Contrôle et suivi</t>
  </si>
  <si>
    <t>FORMATION DES UTILISATEURS</t>
  </si>
  <si>
    <t>Préparation et validation environnement pré-productif</t>
  </si>
  <si>
    <t>Déploiement</t>
  </si>
  <si>
    <t>Basculement et validation</t>
  </si>
  <si>
    <t>Validation Master Data</t>
  </si>
  <si>
    <t>Validation par les utilisateurs</t>
  </si>
  <si>
    <t>Décision de démarrage productif</t>
  </si>
  <si>
    <t>Démarrage productif</t>
  </si>
  <si>
    <t>Suivi bon fonctionnement, documentation et corrections</t>
  </si>
  <si>
    <t>Corrections Master Data</t>
  </si>
  <si>
    <t>Suivi par les utilisateurs</t>
  </si>
  <si>
    <t>PV Accusé de réception</t>
  </si>
  <si>
    <t>Clôture</t>
  </si>
  <si>
    <t>Documentation leçons apprises Projet</t>
  </si>
  <si>
    <t>Plan de corrections</t>
  </si>
  <si>
    <t>Réunion de clôture</t>
  </si>
  <si>
    <t>1.0</t>
  </si>
  <si>
    <t xml:space="preserve"> </t>
  </si>
  <si>
    <t>IsWeeksGantt</t>
  </si>
  <si>
    <t>IsMonthsGantt</t>
  </si>
  <si>
    <t>IsDaysGantt</t>
  </si>
  <si>
    <t>Prédécesseur</t>
  </si>
  <si>
    <t>DateProgression</t>
  </si>
  <si>
    <t>Date progression</t>
  </si>
  <si>
    <t>Today</t>
  </si>
  <si>
    <t>Gantt</t>
  </si>
  <si>
    <t>Thème activité</t>
  </si>
  <si>
    <t>Thème En tête</t>
  </si>
  <si>
    <t>Choisir la couleur des activités</t>
  </si>
  <si>
    <t>Bords Aujourd'hui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</si>
  <si>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</si>
  <si>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</si>
  <si>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</si>
  <si>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</si>
  <si>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</si>
  <si>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1. Ajout des activités et des tâches du projet</t>
  </si>
  <si>
    <t xml:space="preserve">Rendez-vous dans la feuille "Diagramme de Gantt" </t>
  </si>
  <si>
    <t>Dans la colonne "WBS : Work Breakdown Structure ou Structure de Découpage du Projet" : renseignez les activités de votre projet ainsi que les tâches qui en découlent en modifiant le texte exemple</t>
  </si>
  <si>
    <t>Pour ajouter une nouvelle activité, placez-vous sur une ligne vide en bas du tableau, puis cliquez sur le bouton "Ajouter une activité" et renseignez le nom de l'activité :</t>
  </si>
  <si>
    <t>Notez que vous pouvez ajouter une nouvelle ligne entre les lignes existantes.</t>
  </si>
  <si>
    <t>Ainsi, vous pouvez vous placer sur la ligne d'une activité au dessus de laquelle vous souhaitez créer une nouvelle activité, puis cliquer sur le bouton d'ajout.</t>
  </si>
  <si>
    <t>Procédez de même pour l'ajout des tâches.</t>
  </si>
  <si>
    <t>Pour supprimer une ligne, placez vous sur l'activité ou tâche à supprimer, puis cliquez sur le bouton "supprimer"</t>
  </si>
  <si>
    <t>Notez que vous pouvez faire une suppression multiple en sélectionnant les lignes à supprimer, puis en cliquant sur le bouton de suppression :</t>
  </si>
  <si>
    <r>
      <rPr>
        <b/>
        <sz val="12"/>
        <color rgb="FFFF0000"/>
        <rFont val="Candara"/>
        <family val="2"/>
      </rPr>
      <t>Attention</t>
    </r>
    <r>
      <rPr>
        <sz val="12"/>
        <color theme="1"/>
        <rFont val="Candara"/>
        <family val="2"/>
      </rPr>
      <t xml:space="preserve"> : Si vous prévoyez des tâches simultanées ou qui se chevauchent, pensez à modifier manuellement la durée de la tâche pour ajuster la deadline de façon à ce que la ressource ne soit pas "surbookée".</t>
    </r>
  </si>
  <si>
    <t>Si vous souhaitez convertir une tâche en activité et vice versa, placez-vous sur l'activité ou la tâche en question, puis cliquez sur le bouton "convertir à une activité/tâche"</t>
  </si>
  <si>
    <t>Notez manuellement la progression des tâches au fur et à mesure de leur avancement</t>
  </si>
  <si>
    <t>2. Création des dépendances</t>
  </si>
  <si>
    <t>Pour chaque tâche, notez le prédécesseur : c’est-à-direla tâche qui doit obligatoirement commencer avant le début de cette tâche</t>
  </si>
  <si>
    <t>Ces dépendances sont seulement pour votre référence. Elles ne s'afficheront pas sur le calendrier.</t>
  </si>
  <si>
    <t>De cette manière, si vous décalez la date de début d'une tâche, assurez-vous également de modifier la date de début de la tâche qui lui succède.</t>
  </si>
  <si>
    <t>3. Mise à jour du statut des activités et des tâches</t>
  </si>
  <si>
    <t>Rendez-vous dans la feuille "paramétrage" et renseignez les libellés des statuts d'avancement dans la colonne "planification" :</t>
  </si>
  <si>
    <t>Pour ajouter un nouveau statut, cliquez sur le signe (+) puis renseignez son libellé et attribuez une couleur de votre choix</t>
  </si>
  <si>
    <t>Notez que les couleurs foncées représentent l'avancement réel des tâches/activités, alors que les couleurs dégradées représentent la durée de la tâche/activité en question</t>
  </si>
  <si>
    <t>Pour supprimer un statut, utilisez le signe (x)</t>
  </si>
  <si>
    <t>Revenez à présent à la feuille "diagramme de Gantt" et affectez les bons statuts aux activités/tâches :</t>
  </si>
  <si>
    <t>4. Affectation des ressources</t>
  </si>
  <si>
    <t>Rendez-vous dans la feuille "ressources"</t>
  </si>
  <si>
    <t>Modifiez les données en mettant les informations concernant vos ressources.</t>
  </si>
  <si>
    <t>Vous pouvez ajouter une nouvelle ressource à la liste existant en modifiant la ligne vide en dessous du tableau :</t>
  </si>
  <si>
    <t>Revenez à la feuille "Diagramme de Gantt" et affectez les ressources aux différentes tâches en utilisant les listes déroulantes :</t>
  </si>
  <si>
    <t>5. Dates de début et durées des activités/tâches</t>
  </si>
  <si>
    <t xml:space="preserve">Mettez la date du début de chaque activité/tâche projet puis renseignez sa durée globale. </t>
  </si>
  <si>
    <t>Ce faisant, vous obtiendez la deadline qui prend en compte les jours ouvrables.</t>
  </si>
  <si>
    <t>Vous verrez également la barre de progression s'afficher sur le calendrier :</t>
  </si>
  <si>
    <r>
      <t xml:space="preserve">Notez que vous pouvez changer l'échelle de temps de </t>
    </r>
    <r>
      <rPr>
        <b/>
        <sz val="12"/>
        <color theme="1"/>
        <rFont val="Candara"/>
        <family val="2"/>
      </rPr>
      <t>Jour</t>
    </r>
    <r>
      <rPr>
        <sz val="12"/>
        <color theme="1"/>
        <rFont val="Candara"/>
        <family val="2"/>
      </rPr>
      <t xml:space="preserve"> à </t>
    </r>
    <r>
      <rPr>
        <b/>
        <sz val="12"/>
        <color theme="1"/>
        <rFont val="Candara"/>
        <family val="2"/>
      </rPr>
      <t>Semaine</t>
    </r>
    <r>
      <rPr>
        <sz val="12"/>
        <color theme="1"/>
        <rFont val="Candara"/>
        <family val="2"/>
      </rPr>
      <t xml:space="preserve"> ou à </t>
    </r>
    <r>
      <rPr>
        <b/>
        <sz val="12"/>
        <color theme="1"/>
        <rFont val="Candara"/>
        <family val="2"/>
      </rPr>
      <t>Mois</t>
    </r>
    <r>
      <rPr>
        <sz val="12"/>
        <color theme="1"/>
        <rFont val="Candara"/>
        <family val="2"/>
      </rPr>
      <t>.</t>
    </r>
  </si>
  <si>
    <t>En cliquant sur le bouton "Aujourd'hui", l'affichage du calendrier revient à la date actuelle :</t>
  </si>
  <si>
    <t>Jour de l’an</t>
  </si>
  <si>
    <t>Lundi de Pâques</t>
  </si>
  <si>
    <t>Fête du travail</t>
  </si>
  <si>
    <t>Jeudi de l’Ascension</t>
  </si>
  <si>
    <t>Lundi de Pentecôte</t>
  </si>
  <si>
    <t>Fête nationale</t>
  </si>
  <si>
    <t>Assomption</t>
  </si>
  <si>
    <t>La Toussaint</t>
  </si>
  <si>
    <t>Armistice</t>
  </si>
  <si>
    <t>Noël</t>
  </si>
  <si>
    <t>Jour férié</t>
  </si>
  <si>
    <t>Date</t>
  </si>
  <si>
    <t>LISTE DES JOURS FÉRIÉS EN 2023</t>
  </si>
  <si>
    <t>Commentaires</t>
  </si>
  <si>
    <t>Plan de charge</t>
  </si>
  <si>
    <t>Activité / tâche</t>
  </si>
  <si>
    <t>Co-auteur Olivier Robespierre (Sponsor)</t>
  </si>
  <si>
    <t>Estimation coûts/délais fonctionnels Finances</t>
  </si>
  <si>
    <t>Estimation coûts/délais fonctionnels Ventes</t>
  </si>
  <si>
    <t>Estimation coûts/délais fonctionnels Achats</t>
  </si>
  <si>
    <t>Estimation coûts/délais fonctionnels Logistique</t>
  </si>
  <si>
    <t>Estimation délais/ressources Infrastructure</t>
  </si>
  <si>
    <t>Estimation coûts/délais fonctionnels Production</t>
  </si>
  <si>
    <t>1.1-1.7</t>
  </si>
  <si>
    <t>1.8</t>
  </si>
  <si>
    <t>Comité de Direction Spécial</t>
  </si>
  <si>
    <t>Conception générale  Finances</t>
  </si>
  <si>
    <t>Participation du chef de projet</t>
  </si>
  <si>
    <t>2.2</t>
  </si>
  <si>
    <t>Conception générale Ventes</t>
  </si>
  <si>
    <t>Conception générale  Achats</t>
  </si>
  <si>
    <t>Conception générale  Logistique</t>
  </si>
  <si>
    <t>Conception générale  Infrastructure</t>
  </si>
  <si>
    <t>Conception générale  Production</t>
  </si>
  <si>
    <t>2.1-2.6</t>
  </si>
  <si>
    <t>En équipe avec coordinateurs SAP</t>
  </si>
  <si>
    <t>2.1-2.7</t>
  </si>
  <si>
    <t>Comité de pilotage et comité de Direction</t>
  </si>
  <si>
    <t>Paramétrage et tests unitaires FI/CO</t>
  </si>
  <si>
    <t>Paramétrage et tests unitaires Immobilisations</t>
  </si>
  <si>
    <t>Paramétrage et tests unitaires Achats</t>
  </si>
  <si>
    <t>Paramétrage et tests unitaires Enchères et Ariba</t>
  </si>
  <si>
    <t>Paramétrage et tests unitaires SD</t>
  </si>
  <si>
    <t>Paramétrage et tests unitaires MM</t>
  </si>
  <si>
    <t>Paramétrage et tests unitaires Export et Reporting</t>
  </si>
  <si>
    <t>Coordination réalisation et tests Finances</t>
  </si>
  <si>
    <t>Coordination réalisation et tests Ventes</t>
  </si>
  <si>
    <t>Coordination réalisation et tests Achats</t>
  </si>
  <si>
    <t>Coordination réalisation et tests Logistique</t>
  </si>
  <si>
    <t>Coordination réalisation et tests Production</t>
  </si>
  <si>
    <t>3.17</t>
  </si>
  <si>
    <t>3.1-3.11</t>
  </si>
  <si>
    <t>3.18</t>
  </si>
  <si>
    <t>Tests d'intégration et de consolidation FI/CO</t>
  </si>
  <si>
    <t>Tests d'intégration et de consolidation Immobilisations</t>
  </si>
  <si>
    <t>Tests d'intégration et de consolidation Achats</t>
  </si>
  <si>
    <t>Tests d'intégration et de consolidation Enchères et Ariba</t>
  </si>
  <si>
    <t>Tests d'intégration et de consolidation SD</t>
  </si>
  <si>
    <t>Tests d'intégration et de consolidation MM</t>
  </si>
  <si>
    <t>Tests d'intégration et de consolidation Export et Reporting</t>
  </si>
  <si>
    <t>Tests d'intégration et de consolidation Master Data</t>
  </si>
  <si>
    <t>Tests d'intégration et de consolidation Production</t>
  </si>
  <si>
    <t>Coordination tests d'intégration et de consolidation Finances</t>
  </si>
  <si>
    <t>Coordination tests d'intégration et de consolidation Ventes</t>
  </si>
  <si>
    <t>Coordination tests d'intégration et de consolidation Achats</t>
  </si>
  <si>
    <t>Coordination tests d'intégration et de consolidation Logistique</t>
  </si>
  <si>
    <t>Coordination tests d'intégration et de consolidation Production</t>
  </si>
  <si>
    <t xml:space="preserve">Tests d'intégration et consolidation, validation du système </t>
  </si>
  <si>
    <t>Plan à développer avec les coordinateurs</t>
  </si>
  <si>
    <t>4.1-4.17</t>
  </si>
  <si>
    <t>4.18-4.23</t>
  </si>
  <si>
    <t>4.24-4.39</t>
  </si>
  <si>
    <t>4.58</t>
  </si>
  <si>
    <t>4.40-4.57</t>
  </si>
  <si>
    <t>4.59</t>
  </si>
  <si>
    <t>Comité de Direction</t>
  </si>
  <si>
    <t>Conférence vidéo avec les décideurs</t>
  </si>
  <si>
    <t>4.60</t>
  </si>
  <si>
    <t>TOUS</t>
  </si>
  <si>
    <t>Clôture novembre</t>
  </si>
  <si>
    <t>4.61-4.79</t>
  </si>
  <si>
    <t>Clôture décembre</t>
  </si>
  <si>
    <t>4.61-4.80</t>
  </si>
  <si>
    <t>4.91</t>
  </si>
  <si>
    <t>Liste des corrections Finances</t>
  </si>
  <si>
    <t>Liste des corrections Ventes</t>
  </si>
  <si>
    <t>Liste des corrections Achats</t>
  </si>
  <si>
    <t>Liste des corrections Logistique</t>
  </si>
  <si>
    <t>Liste des corrections Production</t>
  </si>
  <si>
    <t>Documentation leçons apprises Finances</t>
  </si>
  <si>
    <t>Réunions spéciales</t>
  </si>
  <si>
    <t>Documentation leçons apprises Ventes</t>
  </si>
  <si>
    <t>Documentation leçons apprises Achats</t>
  </si>
  <si>
    <t>Documentation leçons apprises Logistique</t>
  </si>
  <si>
    <t>Documentation leçons apprises CMRL</t>
  </si>
  <si>
    <t>Décommissionnement anciens systèmes</t>
  </si>
  <si>
    <t>Hors périmètre</t>
  </si>
  <si>
    <t>5.1-5.13</t>
  </si>
  <si>
    <t>Disponibilité (%)</t>
  </si>
  <si>
    <t>De</t>
  </si>
  <si>
    <t>A</t>
  </si>
  <si>
    <t>Dispo en jours</t>
  </si>
  <si>
    <t>Jours planifiés</t>
  </si>
  <si>
    <t>Charge %</t>
  </si>
  <si>
    <t>Congés</t>
  </si>
  <si>
    <t>Ressource en sous-charge</t>
  </si>
  <si>
    <t>Ressource en surcharge</t>
  </si>
  <si>
    <t>Charge en J</t>
  </si>
  <si>
    <t>Libellé</t>
  </si>
  <si>
    <t>Couleur du % réalisé</t>
  </si>
  <si>
    <t>Couleur du % restant</t>
  </si>
  <si>
    <t>Etat global de toutes les activités</t>
  </si>
  <si>
    <t>Français</t>
  </si>
  <si>
    <t>Anglais</t>
  </si>
  <si>
    <t>Langue</t>
  </si>
  <si>
    <t>Settings</t>
  </si>
  <si>
    <t>User Guide</t>
  </si>
  <si>
    <t>Date of Creation</t>
  </si>
  <si>
    <t>Version Date</t>
  </si>
  <si>
    <t>Version Number</t>
  </si>
  <si>
    <t>Language</t>
  </si>
  <si>
    <t>Workload Plan</t>
  </si>
  <si>
    <t>Resources</t>
  </si>
  <si>
    <t>Label</t>
  </si>
  <si>
    <t>Color for % Completed</t>
  </si>
  <si>
    <t>Color for % Remaining</t>
  </si>
  <si>
    <t>In Progress</t>
  </si>
  <si>
    <t>Postponed</t>
  </si>
  <si>
    <t>Project</t>
  </si>
  <si>
    <t>LIST OF PUBLIC HOLIDAYS IN 2023</t>
  </si>
  <si>
    <t>Public Holiday</t>
  </si>
  <si>
    <t>New Year's Day</t>
  </si>
  <si>
    <t>Easter Monday</t>
  </si>
  <si>
    <t>Labor Day</t>
  </si>
  <si>
    <t>Victory in Europe Day (VE Day)</t>
  </si>
  <si>
    <t>Ascension Day</t>
  </si>
  <si>
    <t>Whit Monday</t>
  </si>
  <si>
    <t>National Day</t>
  </si>
  <si>
    <t>Assumption Day</t>
  </si>
  <si>
    <t>All Saints' Day</t>
  </si>
  <si>
    <t>Armistice Day</t>
  </si>
  <si>
    <t>Christmas Day</t>
  </si>
  <si>
    <t>PROGRESS STATUS</t>
  </si>
  <si>
    <t>STATUS D'AVANCEMENT</t>
  </si>
  <si>
    <t>RESOURCES SHEET</t>
  </si>
  <si>
    <t>Ajouter une ressource</t>
  </si>
  <si>
    <t>Supprimer une ressource</t>
  </si>
  <si>
    <t>Underloaded Resource</t>
  </si>
  <si>
    <t>Overloaded Resource</t>
  </si>
  <si>
    <t>Add a Resource</t>
  </si>
  <si>
    <t>Delete a Resource</t>
  </si>
  <si>
    <t>Project Manager</t>
  </si>
  <si>
    <t>Integration Manager</t>
  </si>
  <si>
    <t>Finance Coordinator</t>
  </si>
  <si>
    <t>Sales Coordinator</t>
  </si>
  <si>
    <t>Purchasing Coordinator</t>
  </si>
  <si>
    <t>Logistics Coordinator</t>
  </si>
  <si>
    <t>IT Director</t>
  </si>
  <si>
    <t>Change Manager</t>
  </si>
  <si>
    <t>SAP Finance FI/CO Expert</t>
  </si>
  <si>
    <t>SAP Asset Accounting Expert</t>
  </si>
  <si>
    <t>SAP Sales Expert</t>
  </si>
  <si>
    <t>SAP Purchasing Expert</t>
  </si>
  <si>
    <t>SAP Logistics Expert</t>
  </si>
  <si>
    <t>Master Data Expert</t>
  </si>
  <si>
    <t>Production Coordinator</t>
  </si>
  <si>
    <t>Testers and Validators</t>
  </si>
  <si>
    <t>Name</t>
  </si>
  <si>
    <t>Role</t>
  </si>
  <si>
    <t>Email Address</t>
  </si>
  <si>
    <t>Phone</t>
  </si>
  <si>
    <t>Availability (%)</t>
  </si>
  <si>
    <t>From</t>
  </si>
  <si>
    <t>To</t>
  </si>
  <si>
    <t>Availability in days</t>
  </si>
  <si>
    <t>Planned Days</t>
  </si>
  <si>
    <t>Workload %</t>
  </si>
  <si>
    <t>Leave</t>
  </si>
  <si>
    <t>Initialization</t>
  </si>
  <si>
    <t>Opportunity Study and Approval</t>
  </si>
  <si>
    <t>Project Charter Preparation - Justification</t>
  </si>
  <si>
    <t>Cost/Time Estimation - Finance Function</t>
  </si>
  <si>
    <t>Cost/Time Estimation - Sales Function</t>
  </si>
  <si>
    <t>Cost/Time Estimation - Purchasing Function</t>
  </si>
  <si>
    <t>Cost/Time Estimation - Logistics Function</t>
  </si>
  <si>
    <t>Time/Resources Estimation - Infrastructure</t>
  </si>
  <si>
    <t>Cost/Time Estimation - Production Function</t>
  </si>
  <si>
    <t>Project Charter Writing</t>
  </si>
  <si>
    <t>Project Charter Approval</t>
  </si>
  <si>
    <t>Planning</t>
  </si>
  <si>
    <t>General Design - Finance Function</t>
  </si>
  <si>
    <t>General Design - Sales Function</t>
  </si>
  <si>
    <t>General Design - Purchasing Function</t>
  </si>
  <si>
    <t>General Design - Logistics Function</t>
  </si>
  <si>
    <t>General Design - Infrastructure</t>
  </si>
  <si>
    <t>General Design - Production Function</t>
  </si>
  <si>
    <t>Specification Writing</t>
  </si>
  <si>
    <t>Planning Establishment</t>
  </si>
  <si>
    <t>Communication Plan Establishment</t>
  </si>
  <si>
    <t>Approval of Specifications, Communication Plan, Project Plan, and Schedule</t>
  </si>
  <si>
    <t>Execution</t>
  </si>
  <si>
    <t>FI/CO Parameterization and Unit Testing</t>
  </si>
  <si>
    <t>Asset Accounting Parameterization and Unit Testing</t>
  </si>
  <si>
    <t>Purchasing Parameterization and Unit Testing</t>
  </si>
  <si>
    <t>Auctions and Ariba Parameterization and Unit Testing</t>
  </si>
  <si>
    <t>SD Parameterization and Unit Testing</t>
  </si>
  <si>
    <t>MM Parameterization and Unit Testing</t>
  </si>
  <si>
    <t>Export and Reporting Parameterization and Unit Testing</t>
  </si>
  <si>
    <t>Master Data Parameterization and Corrections</t>
  </si>
  <si>
    <t>Production Parameterization, Programming, and Testing</t>
  </si>
  <si>
    <t>Finance Coordination of Implementation and Testing</t>
  </si>
  <si>
    <t>Sales Coordination of Implementation and Testing</t>
  </si>
  <si>
    <t>Purchasing Coordination of Implementation and Testing</t>
  </si>
  <si>
    <t>Logistics Coordination of Implementation and Testing</t>
  </si>
  <si>
    <t>Production Coordination of Implementation and Testing</t>
  </si>
  <si>
    <t>System Testing, Corrections, and Validation</t>
  </si>
  <si>
    <t>Official User Validation</t>
  </si>
  <si>
    <t>Phase Validation by Steering Committee</t>
  </si>
  <si>
    <t>Control and Monitoring</t>
  </si>
  <si>
    <t>FI/CO Integration and Consolidation Testing</t>
  </si>
  <si>
    <t>Asset Accounting Integration and Consolidation Testing</t>
  </si>
  <si>
    <t>Purchasing Integration and Consolidation Testing</t>
  </si>
  <si>
    <t>Auctions and Ariba Integration and Consolidation Testing</t>
  </si>
  <si>
    <t>SD Integration and Consolidation Testing</t>
  </si>
  <si>
    <t>MM Integration and Consolidation Testing</t>
  </si>
  <si>
    <t>Export and Reporting Integration and Consolidation Testing</t>
  </si>
  <si>
    <t>Master Data Integration and Consolidation Testing</t>
  </si>
  <si>
    <t>Production Integration and Consolidation Testing</t>
  </si>
  <si>
    <t>Finance Coordination of Integration and Consolidation Testing</t>
  </si>
  <si>
    <t>Sales Coordination of Integration and Consolidation Testing</t>
  </si>
  <si>
    <t>Purchasing Coordination of Integration and Consolidation Testing</t>
  </si>
  <si>
    <t>Logistics Coordination of Integration and Consolidation Testing</t>
  </si>
  <si>
    <t>Production Coordination of Integration and Consolidation Testing</t>
  </si>
  <si>
    <t>Integration and Consolidation Testing, System Validation</t>
  </si>
  <si>
    <t>USER TRAINING</t>
  </si>
  <si>
    <t>Preparation and Validation of Pre-Production Environment</t>
  </si>
  <si>
    <t>Deployment</t>
  </si>
  <si>
    <t>Switching and Validation</t>
  </si>
  <si>
    <t>Master Data Validation</t>
  </si>
  <si>
    <t>User Validation</t>
  </si>
  <si>
    <t>Decision for Productive Start</t>
  </si>
  <si>
    <t>Productive Start</t>
  </si>
  <si>
    <t>Monitoring System Performance, Documentation, and Corrections</t>
  </si>
  <si>
    <t>Master Data Corrections</t>
  </si>
  <si>
    <t>User Monitoring</t>
  </si>
  <si>
    <t>November Closure</t>
  </si>
  <si>
    <t>December Closure</t>
  </si>
  <si>
    <t>Acknowledgment Meeting</t>
  </si>
  <si>
    <t>Closure</t>
  </si>
  <si>
    <t>Finance Corrections List</t>
  </si>
  <si>
    <t>Sales Corrections List</t>
  </si>
  <si>
    <t>Purchasing Corrections List</t>
  </si>
  <si>
    <t>Logistics Corrections List</t>
  </si>
  <si>
    <t>Production Corrections List</t>
  </si>
  <si>
    <t>Finance Lessons Learned Documentation</t>
  </si>
  <si>
    <t>Sales Lessons Learned Documentation</t>
  </si>
  <si>
    <t>Purchasing Lessons Learned Documentation</t>
  </si>
  <si>
    <t>Logistics Lessons Learned Documentation</t>
  </si>
  <si>
    <t>CMRL Lessons Learned Documentation</t>
  </si>
  <si>
    <t>Project Lessons Learned Documentation</t>
  </si>
  <si>
    <t>Correction Plan</t>
  </si>
  <si>
    <t>Decommissioning of Old Systems</t>
  </si>
  <si>
    <t>Closing Meeting</t>
  </si>
  <si>
    <t>Co-author Olivier Robespierre (Sponsor)</t>
  </si>
  <si>
    <t>Special Management Committee</t>
  </si>
  <si>
    <t>Project Manager's Participation</t>
  </si>
  <si>
    <t>In collaboration with SAP coordinators</t>
  </si>
  <si>
    <t>Steering Committee and Management Committee</t>
  </si>
  <si>
    <t>Plan to be developed with coordinators</t>
  </si>
  <si>
    <t>Video conference with decision-makers</t>
  </si>
  <si>
    <t>Special Meetings</t>
  </si>
  <si>
    <t>Out of Scope</t>
  </si>
  <si>
    <t>Activity / Task</t>
  </si>
  <si>
    <t>Status</t>
  </si>
  <si>
    <t>Predecessor</t>
  </si>
  <si>
    <t>Assigned to</t>
  </si>
  <si>
    <t>Comments</t>
  </si>
  <si>
    <t>Start Date</t>
  </si>
  <si>
    <t>Ajouter une activité</t>
  </si>
  <si>
    <t>Ajouter une tâche</t>
  </si>
  <si>
    <t>Convertir à une activité / tâche</t>
  </si>
  <si>
    <t>Supprimer</t>
  </si>
  <si>
    <t>Add an Activity</t>
  </si>
  <si>
    <t>Add a Task</t>
  </si>
  <si>
    <t>Convert to an Activity / Task</t>
  </si>
  <si>
    <t>Delete</t>
  </si>
  <si>
    <t>Project Name / Code</t>
  </si>
  <si>
    <t>Reference</t>
  </si>
  <si>
    <t>Portfolio Name / Code</t>
  </si>
  <si>
    <t>PMO (Project Management Office)</t>
  </si>
  <si>
    <t>Overall Status of all Activities</t>
  </si>
  <si>
    <t>Effort in J</t>
  </si>
  <si>
    <t>Jour</t>
  </si>
  <si>
    <t>Day</t>
  </si>
  <si>
    <t>Semaine</t>
  </si>
  <si>
    <t>Week</t>
  </si>
  <si>
    <t>Mois</t>
  </si>
  <si>
    <t>Month</t>
  </si>
  <si>
    <t>Aujourd'hui</t>
  </si>
  <si>
    <t>TODO</t>
  </si>
  <si>
    <t>In Hold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</si>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</sst>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"/>
  </numFmts>
  <fonts count="3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6"/>
      <color theme="9" tint="-0.499984740745262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6"/>
      <color theme="1"/>
      <name val="Candara"/>
      <family val="2"/>
    </font>
    <font>
      <b/>
      <sz val="12"/>
      <color rgb="FFFF0000"/>
      <name val="Candara"/>
      <family val="2"/>
    </font>
    <font>
      <b/>
      <sz val="12"/>
      <color theme="1"/>
      <name val="Candara"/>
      <family val="2"/>
    </font>
    <font>
      <sz val="9.9"/>
      <color theme="2" tint="-0.749992370372631"/>
      <name val="Arial"/>
      <family val="2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sz val="14"/>
      <color theme="1" tint="0.1499984740745262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4"/>
      <color theme="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868E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0B4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9DAFF1"/>
        <bgColor indexed="64"/>
      </patternFill>
    </fill>
    <fill>
      <patternFill patternType="solid">
        <fgColor rgb="FFFFE38B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lightUp">
        <bgColor theme="2" tint="-0.249977111117893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 style="thin">
        <color rgb="FF91E0FF"/>
      </bottom>
      <diagonal/>
    </border>
    <border>
      <left/>
      <right/>
      <top/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 style="thin">
        <color rgb="FF91E0FF"/>
      </top>
      <bottom style="thin">
        <color rgb="FF91E0FF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9"/>
      </left>
      <right style="thin">
        <color theme="0" tint="-4.9989318521683403E-2"/>
      </right>
      <top style="thin">
        <color theme="9"/>
      </top>
      <bottom style="thin">
        <color theme="0" tint="-4.9989318521683403E-2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41">
    <xf numFmtId="0" fontId="0" fillId="0" borderId="0" xfId="0"/>
    <xf numFmtId="0" fontId="0" fillId="0" borderId="0" xfId="0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4" fontId="4" fillId="8" borderId="0" xfId="0" applyNumberFormat="1" applyFont="1" applyFill="1" applyAlignment="1">
      <alignment horizontal="left" vertical="center"/>
    </xf>
    <xf numFmtId="164" fontId="4" fillId="9" borderId="0" xfId="0" applyNumberFormat="1" applyFont="1" applyFill="1" applyAlignment="1">
      <alignment horizontal="left" vertical="center"/>
    </xf>
    <xf numFmtId="0" fontId="13" fillId="10" borderId="4" xfId="0" applyFont="1" applyFill="1" applyBorder="1" applyAlignment="1">
      <alignment vertical="center"/>
    </xf>
    <xf numFmtId="0" fontId="16" fillId="12" borderId="0" xfId="0" applyFont="1" applyFill="1" applyAlignment="1">
      <alignment horizontal="left" vertical="center"/>
    </xf>
    <xf numFmtId="14" fontId="16" fillId="12" borderId="0" xfId="0" applyNumberFormat="1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16" fillId="12" borderId="7" xfId="0" applyFont="1" applyFill="1" applyBorder="1" applyAlignment="1">
      <alignment vertical="center"/>
    </xf>
    <xf numFmtId="0" fontId="16" fillId="12" borderId="0" xfId="0" applyFont="1" applyFill="1" applyAlignment="1">
      <alignment vertical="center"/>
    </xf>
    <xf numFmtId="0" fontId="8" fillId="0" borderId="0" xfId="0" applyFont="1"/>
    <xf numFmtId="0" fontId="7" fillId="2" borderId="8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9" fontId="10" fillId="0" borderId="0" xfId="1" applyFont="1" applyFill="1" applyAlignment="1" applyProtection="1">
      <alignment horizontal="center" vertical="center"/>
      <protection locked="0"/>
    </xf>
    <xf numFmtId="0" fontId="15" fillId="11" borderId="5" xfId="0" applyFont="1" applyFill="1" applyBorder="1" applyAlignment="1" applyProtection="1">
      <alignment vertical="center"/>
      <protection locked="0"/>
    </xf>
    <xf numFmtId="0" fontId="13" fillId="10" borderId="4" xfId="0" applyFont="1" applyFill="1" applyBorder="1" applyAlignment="1" applyProtection="1">
      <alignment vertical="center"/>
      <protection locked="0"/>
    </xf>
    <xf numFmtId="0" fontId="10" fillId="0" borderId="0" xfId="0" applyFont="1"/>
    <xf numFmtId="0" fontId="11" fillId="0" borderId="0" xfId="0" applyFont="1" applyAlignment="1">
      <alignment horizontal="center" vertical="top"/>
    </xf>
    <xf numFmtId="1" fontId="4" fillId="8" borderId="0" xfId="0" applyNumberFormat="1" applyFont="1" applyFill="1" applyAlignment="1">
      <alignment horizontal="center" vertical="center"/>
    </xf>
    <xf numFmtId="1" fontId="4" fillId="9" borderId="0" xfId="0" applyNumberFormat="1" applyFont="1" applyFill="1" applyAlignment="1">
      <alignment horizontal="center" vertical="center"/>
    </xf>
    <xf numFmtId="0" fontId="14" fillId="11" borderId="5" xfId="0" applyFont="1" applyFill="1" applyBorder="1" applyAlignment="1">
      <alignment horizontal="left" vertical="center"/>
    </xf>
    <xf numFmtId="0" fontId="19" fillId="9" borderId="0" xfId="0" applyFont="1" applyFill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19" fillId="8" borderId="13" xfId="0" applyFont="1" applyFill="1" applyBorder="1" applyAlignment="1">
      <alignment horizontal="center" vertical="center"/>
    </xf>
    <xf numFmtId="0" fontId="19" fillId="8" borderId="12" xfId="0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14" fontId="22" fillId="0" borderId="0" xfId="0" applyNumberFormat="1" applyFont="1"/>
    <xf numFmtId="14" fontId="22" fillId="0" borderId="0" xfId="0" applyNumberFormat="1" applyFont="1" applyAlignment="1">
      <alignment vertical="center"/>
    </xf>
    <xf numFmtId="14" fontId="21" fillId="0" borderId="0" xfId="0" applyNumberFormat="1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4" fontId="20" fillId="9" borderId="0" xfId="0" applyNumberFormat="1" applyFont="1" applyFill="1" applyAlignment="1">
      <alignment vertical="center"/>
    </xf>
    <xf numFmtId="14" fontId="20" fillId="8" borderId="0" xfId="0" applyNumberFormat="1" applyFont="1" applyFill="1" applyAlignment="1">
      <alignment vertical="center"/>
    </xf>
    <xf numFmtId="1" fontId="4" fillId="9" borderId="0" xfId="0" applyNumberFormat="1" applyFont="1" applyFill="1" applyAlignment="1">
      <alignment horizontal="left" vertical="center"/>
    </xf>
    <xf numFmtId="1" fontId="4" fillId="8" borderId="0" xfId="0" applyNumberFormat="1" applyFont="1" applyFill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5" fillId="18" borderId="0" xfId="0" applyFont="1" applyFill="1" applyAlignment="1">
      <alignment vertical="top"/>
    </xf>
    <xf numFmtId="0" fontId="26" fillId="18" borderId="0" xfId="0" applyFont="1" applyFill="1" applyAlignment="1">
      <alignment vertical="top"/>
    </xf>
    <xf numFmtId="0" fontId="27" fillId="18" borderId="0" xfId="0" applyFont="1" applyFill="1"/>
    <xf numFmtId="0" fontId="28" fillId="18" borderId="0" xfId="0" applyFont="1" applyFill="1"/>
    <xf numFmtId="0" fontId="0" fillId="18" borderId="0" xfId="0" applyFill="1"/>
    <xf numFmtId="0" fontId="29" fillId="18" borderId="0" xfId="0" applyFont="1" applyFill="1" applyAlignment="1">
      <alignment vertical="center"/>
    </xf>
    <xf numFmtId="0" fontId="27" fillId="18" borderId="0" xfId="0" applyFont="1" applyFill="1" applyAlignment="1">
      <alignment vertical="center"/>
    </xf>
    <xf numFmtId="0" fontId="28" fillId="18" borderId="0" xfId="0" applyFont="1" applyFill="1" applyAlignment="1">
      <alignment vertical="center"/>
    </xf>
    <xf numFmtId="0" fontId="17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wrapText="1"/>
    </xf>
    <xf numFmtId="14" fontId="32" fillId="0" borderId="0" xfId="0" applyNumberFormat="1" applyFont="1" applyAlignment="1">
      <alignment horizontal="center" vertical="center" wrapText="1"/>
    </xf>
    <xf numFmtId="15" fontId="32" fillId="0" borderId="0" xfId="0" applyNumberFormat="1" applyFont="1" applyAlignment="1">
      <alignment horizontal="left" vertical="center" wrapText="1"/>
    </xf>
    <xf numFmtId="0" fontId="33" fillId="0" borderId="0" xfId="0" applyFont="1"/>
    <xf numFmtId="9" fontId="0" fillId="0" borderId="0" xfId="1" applyFont="1"/>
    <xf numFmtId="9" fontId="9" fillId="3" borderId="1" xfId="1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1" applyNumberFormat="1" applyFont="1"/>
    <xf numFmtId="0" fontId="13" fillId="10" borderId="4" xfId="1" applyNumberFormat="1" applyFont="1" applyFill="1" applyBorder="1" applyAlignment="1">
      <alignment vertical="center"/>
    </xf>
    <xf numFmtId="0" fontId="2" fillId="8" borderId="3" xfId="1" applyNumberFormat="1" applyFont="1" applyFill="1" applyBorder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4" fontId="34" fillId="18" borderId="0" xfId="1" applyNumberFormat="1" applyFont="1" applyFill="1" applyBorder="1" applyAlignment="1" applyProtection="1">
      <alignment horizontal="center" vertical="center" wrapText="1"/>
      <protection locked="0"/>
    </xf>
    <xf numFmtId="1" fontId="34" fillId="18" borderId="0" xfId="0" applyNumberFormat="1" applyFont="1" applyFill="1" applyAlignment="1" applyProtection="1">
      <alignment horizontal="center" vertical="center" wrapText="1"/>
      <protection locked="0"/>
    </xf>
    <xf numFmtId="14" fontId="34" fillId="0" borderId="0" xfId="1" applyNumberFormat="1" applyFont="1" applyFill="1" applyBorder="1" applyAlignment="1" applyProtection="1">
      <alignment horizontal="center" vertical="center" wrapText="1"/>
      <protection locked="0"/>
    </xf>
    <xf numFmtId="1" fontId="34" fillId="0" borderId="0" xfId="0" applyNumberFormat="1" applyFont="1" applyAlignment="1" applyProtection="1">
      <alignment horizontal="center" vertical="center" wrapText="1"/>
      <protection locked="0"/>
    </xf>
    <xf numFmtId="9" fontId="10" fillId="0" borderId="0" xfId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0" fillId="6" borderId="0" xfId="0" applyFont="1" applyFill="1" applyAlignment="1">
      <alignment vertical="center"/>
    </xf>
    <xf numFmtId="0" fontId="35" fillId="4" borderId="0" xfId="0" applyFont="1" applyFill="1" applyAlignment="1">
      <alignment horizontal="center" vertical="center" wrapText="1" readingOrder="1"/>
    </xf>
    <xf numFmtId="0" fontId="14" fillId="11" borderId="22" xfId="0" applyFont="1" applyFill="1" applyBorder="1" applyAlignment="1">
      <alignment vertical="center"/>
    </xf>
    <xf numFmtId="0" fontId="14" fillId="11" borderId="23" xfId="0" applyFont="1" applyFill="1" applyBorder="1" applyAlignment="1">
      <alignment vertical="center"/>
    </xf>
    <xf numFmtId="0" fontId="10" fillId="0" borderId="24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36" fillId="0" borderId="25" xfId="0" applyFont="1" applyBorder="1" applyAlignment="1">
      <alignment vertical="center"/>
    </xf>
    <xf numFmtId="0" fontId="6" fillId="4" borderId="2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6" borderId="25" xfId="0" applyFont="1" applyFill="1" applyBorder="1" applyAlignment="1">
      <alignment vertical="center"/>
    </xf>
    <xf numFmtId="0" fontId="3" fillId="8" borderId="14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37" fillId="19" borderId="20" xfId="0" applyFont="1" applyFill="1" applyBorder="1" applyAlignment="1">
      <alignment horizontal="centerContinuous" vertical="center"/>
    </xf>
    <xf numFmtId="14" fontId="37" fillId="19" borderId="20" xfId="0" applyNumberFormat="1" applyFont="1" applyFill="1" applyBorder="1" applyAlignment="1">
      <alignment horizontal="center" vertical="center"/>
    </xf>
    <xf numFmtId="10" fontId="37" fillId="19" borderId="20" xfId="0" applyNumberFormat="1" applyFont="1" applyFill="1" applyBorder="1" applyAlignment="1">
      <alignment horizontal="centerContinuous" vertical="center"/>
    </xf>
    <xf numFmtId="0" fontId="0" fillId="20" borderId="0" xfId="0" applyFill="1" applyAlignment="1">
      <alignment horizontal="center" vertical="center"/>
    </xf>
    <xf numFmtId="0" fontId="0" fillId="20" borderId="0" xfId="0" applyFill="1"/>
    <xf numFmtId="0" fontId="13" fillId="20" borderId="4" xfId="0" applyFont="1" applyFill="1" applyBorder="1" applyAlignment="1">
      <alignment vertical="center"/>
    </xf>
    <xf numFmtId="0" fontId="9" fillId="20" borderId="1" xfId="0" applyFont="1" applyFill="1" applyBorder="1" applyAlignment="1">
      <alignment horizontal="center" vertical="center"/>
    </xf>
    <xf numFmtId="0" fontId="37" fillId="20" borderId="20" xfId="0" applyFont="1" applyFill="1" applyBorder="1" applyAlignment="1">
      <alignment horizontal="centerContinuous" vertical="center"/>
    </xf>
    <xf numFmtId="0" fontId="0" fillId="20" borderId="0" xfId="0" applyFill="1" applyAlignment="1">
      <alignment horizontal="center" vertical="center" wrapText="1"/>
    </xf>
    <xf numFmtId="0" fontId="10" fillId="20" borderId="0" xfId="0" applyFont="1" applyFill="1" applyAlignment="1">
      <alignment horizontal="center" vertical="center"/>
    </xf>
    <xf numFmtId="0" fontId="6" fillId="13" borderId="26" xfId="0" applyFont="1" applyFill="1" applyBorder="1" applyAlignment="1">
      <alignment vertical="center"/>
    </xf>
    <xf numFmtId="0" fontId="6" fillId="14" borderId="26" xfId="0" applyFont="1" applyFill="1" applyBorder="1" applyAlignment="1">
      <alignment vertical="center"/>
    </xf>
    <xf numFmtId="0" fontId="6" fillId="15" borderId="26" xfId="0" applyFont="1" applyFill="1" applyBorder="1" applyAlignment="1">
      <alignment vertical="center"/>
    </xf>
    <xf numFmtId="0" fontId="7" fillId="16" borderId="8" xfId="0" applyFont="1" applyFill="1" applyBorder="1" applyAlignment="1">
      <alignment horizontal="left"/>
    </xf>
    <xf numFmtId="0" fontId="0" fillId="0" borderId="0" xfId="0" applyAlignment="1">
      <alignment horizontal="left" vertical="center"/>
    </xf>
    <xf numFmtId="0" fontId="36" fillId="0" borderId="0" xfId="0" applyFont="1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18" fillId="10" borderId="4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 vertical="center"/>
    </xf>
    <xf numFmtId="0" fontId="17" fillId="17" borderId="17" xfId="0" applyFont="1" applyFill="1" applyBorder="1" applyAlignment="1">
      <alignment horizontal="center" vertical="center"/>
    </xf>
    <xf numFmtId="0" fontId="38" fillId="10" borderId="4" xfId="0" applyFont="1" applyFill="1" applyBorder="1" applyAlignment="1">
      <alignment horizontal="center" vertical="center"/>
    </xf>
    <xf numFmtId="0" fontId="17" fillId="17" borderId="28" xfId="0" applyFont="1" applyFill="1" applyBorder="1" applyAlignment="1">
      <alignment horizontal="center" vertical="center"/>
    </xf>
    <xf numFmtId="0" fontId="17" fillId="17" borderId="27" xfId="0" applyFont="1" applyFill="1" applyBorder="1" applyAlignment="1">
      <alignment horizontal="center" vertical="center"/>
    </xf>
    <xf numFmtId="0" fontId="36" fillId="0" borderId="25" xfId="0" applyFont="1" applyBorder="1" applyAlignment="1">
      <alignment horizontal="left" vertical="center"/>
    </xf>
    <xf numFmtId="0" fontId="6" fillId="21" borderId="25" xfId="0" applyFont="1" applyFill="1" applyBorder="1" applyAlignment="1">
      <alignment horizontal="left" vertical="center"/>
    </xf>
    <xf numFmtId="164" fontId="2" fillId="8" borderId="9" xfId="0" applyNumberFormat="1" applyFont="1" applyFill="1" applyBorder="1" applyAlignment="1">
      <alignment horizontal="center" vertical="center"/>
    </xf>
    <xf numFmtId="164" fontId="2" fillId="8" borderId="10" xfId="0" applyNumberFormat="1" applyFont="1" applyFill="1" applyBorder="1" applyAlignment="1">
      <alignment horizontal="center" vertical="center"/>
    </xf>
    <xf numFmtId="164" fontId="2" fillId="9" borderId="10" xfId="0" applyNumberFormat="1" applyFont="1" applyFill="1" applyBorder="1" applyAlignment="1">
      <alignment horizontal="center" vertical="center"/>
    </xf>
    <xf numFmtId="164" fontId="2" fillId="9" borderId="11" xfId="0" applyNumberFormat="1" applyFont="1" applyFill="1" applyBorder="1" applyAlignment="1">
      <alignment horizontal="center" vertical="center"/>
    </xf>
    <xf numFmtId="164" fontId="2" fillId="9" borderId="9" xfId="0" applyNumberFormat="1" applyFont="1" applyFill="1" applyBorder="1" applyAlignment="1">
      <alignment horizontal="center" vertical="center"/>
    </xf>
    <xf numFmtId="164" fontId="2" fillId="8" borderId="11" xfId="0" applyNumberFormat="1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28" fillId="18" borderId="0" xfId="0" applyFont="1" applyFill="1" applyAlignment="1">
      <alignment horizontal="left" vertical="center" wrapText="1"/>
    </xf>
    <xf numFmtId="0" fontId="16" fillId="12" borderId="0" xfId="0" applyFont="1" applyFill="1" applyAlignment="1">
      <alignment horizontal="left" vertical="center"/>
    </xf>
    <xf numFmtId="0" fontId="16" fillId="12" borderId="7" xfId="0" applyFont="1" applyFill="1" applyBorder="1" applyAlignment="1">
      <alignment horizontal="left" vertical="center"/>
    </xf>
    <xf numFmtId="14" fontId="18" fillId="10" borderId="4" xfId="0" applyNumberFormat="1" applyFont="1" applyFill="1" applyBorder="1" applyAlignment="1" applyProtection="1">
      <alignment horizontal="center" vertical="center"/>
      <protection locked="0"/>
    </xf>
    <xf numFmtId="0" fontId="14" fillId="11" borderId="5" xfId="0" applyFont="1" applyFill="1" applyBorder="1" applyAlignment="1">
      <alignment horizontal="left" vertical="center"/>
    </xf>
    <xf numFmtId="14" fontId="16" fillId="12" borderId="0" xfId="0" applyNumberFormat="1" applyFont="1" applyFill="1" applyAlignment="1" applyProtection="1">
      <alignment horizontal="left" vertical="center"/>
      <protection locked="0"/>
    </xf>
    <xf numFmtId="0" fontId="16" fillId="12" borderId="0" xfId="0" applyFont="1" applyFill="1" applyAlignment="1" applyProtection="1">
      <alignment horizontal="left" vertical="center"/>
      <protection locked="0"/>
    </xf>
    <xf numFmtId="0" fontId="11" fillId="11" borderId="5" xfId="0" applyFont="1" applyFill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/>
    </xf>
    <xf numFmtId="0" fontId="16" fillId="12" borderId="7" xfId="0" applyFont="1" applyFill="1" applyBorder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14" fontId="16" fillId="12" borderId="0" xfId="0" applyNumberFormat="1" applyFont="1" applyFill="1" applyAlignment="1">
      <alignment horizontal="center" vertical="center"/>
    </xf>
    <xf numFmtId="0" fontId="10" fillId="18" borderId="0" xfId="0" applyFont="1" applyFill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/>
    </xf>
    <xf numFmtId="0" fontId="17" fillId="17" borderId="21" xfId="0" applyFont="1" applyFill="1" applyBorder="1" applyAlignment="1">
      <alignment horizontal="center"/>
    </xf>
    <xf numFmtId="0" fontId="17" fillId="17" borderId="17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168"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b/>
        <i val="0"/>
        <color rgb="FF00B050"/>
      </font>
      <fill>
        <patternFill>
          <fgColor indexed="64"/>
          <bgColor rgb="FFF1F7ED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92D05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E38B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C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9DAFF1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4868E5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8989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0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92D050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b/>
        <i val="0"/>
        <color rgb="FF00B050"/>
      </font>
      <fill>
        <patternFill>
          <fgColor indexed="64"/>
          <bgColor rgb="FFF1F7ED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92D05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E38B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C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9DAFF1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4868E5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8989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0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92D050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border outline="0">
        <left style="thin">
          <color theme="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/>
      </border>
    </dxf>
    <dxf>
      <border outline="0">
        <bottom style="thin">
          <color theme="9"/>
        </bottom>
      </border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5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B3B3"/>
        </patternFill>
      </fill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lightUp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0"/>
      </font>
      <fill>
        <patternFill>
          <fgColor indexed="64"/>
          <bgColor rgb="FF92D050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b/>
        <i val="0"/>
        <color rgb="FF00B050"/>
      </font>
      <fill>
        <patternFill>
          <fgColor indexed="64"/>
          <bgColor rgb="FFF1F7ED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92D05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E38B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C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9DAFF1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4868E5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8989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FF0000"/>
        </patternFill>
      </fill>
      <border>
        <left/>
        <right/>
      </border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2" defaultTableStyle="TableStyleMedium2" defaultPivotStyle="PivotStyleLight16">
    <tableStyle name="TableStyleLight14 2" pivot="0" count="9" xr9:uid="{C803ECF4-81F2-48DA-A591-0A545A829943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secondRowStripe" dxfId="161"/>
      <tableStyleElement type="firstColumnStripe" dxfId="160"/>
      <tableStyleElement type="secondColumnStripe" dxfId="159"/>
    </tableStyle>
    <tableStyle name="TableStyleLight14 2 2" pivot="0" count="9" xr9:uid="{AC5A6F65-C9C4-4955-81C3-AF4FEE86B463}">
      <tableStyleElement type="wholeTable" dxfId="158"/>
      <tableStyleElement type="headerRow" dxfId="157"/>
      <tableStyleElement type="totalRow" dxfId="156"/>
      <tableStyleElement type="firstColumn" dxfId="155"/>
      <tableStyleElement type="lastColumn" dxfId="154"/>
      <tableStyleElement type="firstRowStripe" dxfId="153"/>
      <tableStyleElement type="secondRowStripe" dxfId="152"/>
      <tableStyleElement type="firstColumnStripe" dxfId="151"/>
      <tableStyleElement type="secondColumnStripe" dxfId="150"/>
    </tableStyle>
  </tableStyles>
  <colors>
    <mruColors>
      <color rgb="FFFF8989"/>
      <color rgb="FFFFB3B3"/>
      <color rgb="FFFF9B9B"/>
      <color rgb="FF008000"/>
      <color rgb="FFF1F7ED"/>
      <color rgb="FFFFE38B"/>
      <color rgb="FF9DAFF1"/>
      <color rgb="FF87F997"/>
      <color rgb="FF55FD6D"/>
      <color rgb="FF53F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fmlaLink="Backend!$C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Lines="2" dropStyle="combo" dx="26" fmlaLink="$N$4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3" Type="http://schemas.openxmlformats.org/officeDocument/2006/relationships/image" Target="../media/image24.png"/><Relationship Id="rId7" Type="http://schemas.openxmlformats.org/officeDocument/2006/relationships/image" Target="../media/image26.png"/><Relationship Id="rId12" Type="http://schemas.openxmlformats.org/officeDocument/2006/relationships/image" Target="../media/image31.sv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1.png"/><Relationship Id="rId11" Type="http://schemas.openxmlformats.org/officeDocument/2006/relationships/image" Target="../media/image30.png"/><Relationship Id="rId5" Type="http://schemas.openxmlformats.org/officeDocument/2006/relationships/hyperlink" Target="https://blog-gestion-de-projet.com/docs/kit-management-projet/planification/plan-de-charge/" TargetMode="External"/><Relationship Id="rId10" Type="http://schemas.openxmlformats.org/officeDocument/2006/relationships/image" Target="../media/image29.svg"/><Relationship Id="rId4" Type="http://schemas.openxmlformats.org/officeDocument/2006/relationships/image" Target="../media/image25.svg"/><Relationship Id="rId9" Type="http://schemas.openxmlformats.org/officeDocument/2006/relationships/image" Target="../media/image2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blog-gestion-de-projet.com/docs/kit-management-projet/planification/plan-de-charge/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svg"/><Relationship Id="rId3" Type="http://schemas.openxmlformats.org/officeDocument/2006/relationships/image" Target="../media/image32.png"/><Relationship Id="rId7" Type="http://schemas.openxmlformats.org/officeDocument/2006/relationships/image" Target="../media/image36.svg"/><Relationship Id="rId2" Type="http://schemas.openxmlformats.org/officeDocument/2006/relationships/hyperlink" Target="https://blog-gestion-de-projet.com/docs/kit-management-projet/planification/plan-de-charge/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35.svg"/><Relationship Id="rId5" Type="http://schemas.openxmlformats.org/officeDocument/2006/relationships/image" Target="../media/image34.png"/><Relationship Id="rId4" Type="http://schemas.openxmlformats.org/officeDocument/2006/relationships/image" Target="../media/image3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486586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358140</xdr:colOff>
      <xdr:row>3</xdr:row>
      <xdr:rowOff>60960</xdr:rowOff>
    </xdr:from>
    <xdr:to>
      <xdr:col>12</xdr:col>
      <xdr:colOff>132900</xdr:colOff>
      <xdr:row>3</xdr:row>
      <xdr:rowOff>312245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3962400" y="746760"/>
          <a:ext cx="5619300" cy="251285"/>
          <a:chOff x="3984432" y="853807"/>
          <a:chExt cx="6647866" cy="255176"/>
        </a:xfrm>
      </xdr:grpSpPr>
      <xdr:sp macro="[0]!NavBar" textlink="">
        <xdr:nvSpPr>
          <xdr:cNvPr id="4" name="BtnGuide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984432" y="853807"/>
            <a:ext cx="1442338" cy="252000"/>
          </a:xfrm>
          <a:prstGeom prst="roundRect">
            <a:avLst/>
          </a:prstGeom>
          <a:solidFill>
            <a:srgbClr val="F4792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5" name="BtnGant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5469729" y="856983"/>
            <a:ext cx="1655949" cy="252000"/>
          </a:xfrm>
          <a:prstGeom prst="roundRect">
            <a:avLst/>
          </a:prstGeom>
          <a:solidFill>
            <a:srgbClr val="0082B3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Plan de</a:t>
            </a:r>
            <a:r>
              <a:rPr lang="en-GB" sz="1100" b="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charge</a:t>
            </a:r>
            <a:endParaRPr lang="en-US" sz="1050">
              <a:effectLst/>
            </a:endParaRPr>
          </a:p>
        </xdr:txBody>
      </xdr:sp>
      <xdr:sp macro="[0]!NavBar" textlink="">
        <xdr:nvSpPr>
          <xdr:cNvPr id="6" name="BtnRessources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7192228" y="854080"/>
            <a:ext cx="1866555" cy="252000"/>
          </a:xfrm>
          <a:prstGeom prst="roundRect">
            <a:avLst/>
          </a:prstGeom>
          <a:solidFill>
            <a:schemeClr val="accent6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Ressources</a:t>
            </a:r>
          </a:p>
        </xdr:txBody>
      </xdr:sp>
      <xdr:sp macro="[0]!NavBar" textlink="">
        <xdr:nvSpPr>
          <xdr:cNvPr id="7" name="BtnSettings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9125498" y="855200"/>
            <a:ext cx="1506800" cy="252000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</xdr:grpSp>
    <xdr:clientData/>
  </xdr:twoCellAnchor>
  <xdr:twoCellAnchor editAs="oneCell">
    <xdr:from>
      <xdr:col>1</xdr:col>
      <xdr:colOff>15240</xdr:colOff>
      <xdr:row>7</xdr:row>
      <xdr:rowOff>85353</xdr:rowOff>
    </xdr:from>
    <xdr:to>
      <xdr:col>10</xdr:col>
      <xdr:colOff>1338872</xdr:colOff>
      <xdr:row>19</xdr:row>
      <xdr:rowOff>41349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" y="1754133"/>
          <a:ext cx="8638832" cy="215055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21</xdr:row>
      <xdr:rowOff>215538</xdr:rowOff>
    </xdr:from>
    <xdr:to>
      <xdr:col>13</xdr:col>
      <xdr:colOff>882412</xdr:colOff>
      <xdr:row>21</xdr:row>
      <xdr:rowOff>449749</xdr:rowOff>
    </xdr:to>
    <xdr:sp macro="" textlink="">
      <xdr:nvSpPr>
        <xdr:cNvPr id="9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904576" y="4490358"/>
          <a:ext cx="1828716" cy="234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22</xdr:row>
      <xdr:rowOff>99060</xdr:rowOff>
    </xdr:from>
    <xdr:to>
      <xdr:col>9</xdr:col>
      <xdr:colOff>770849</xdr:colOff>
      <xdr:row>26</xdr:row>
      <xdr:rowOff>39063</xdr:rowOff>
    </xdr:to>
    <xdr:pic>
      <xdr:nvPicPr>
        <xdr:cNvPr id="10" name="Image 5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2880" y="4876800"/>
          <a:ext cx="6691589" cy="671523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32</xdr:row>
      <xdr:rowOff>22778</xdr:rowOff>
    </xdr:from>
    <xdr:to>
      <xdr:col>10</xdr:col>
      <xdr:colOff>174246</xdr:colOff>
      <xdr:row>49</xdr:row>
      <xdr:rowOff>108059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74320" y="6789338"/>
          <a:ext cx="7367526" cy="3194241"/>
          <a:chOff x="640080" y="6819818"/>
          <a:chExt cx="7375146" cy="3194241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844040" y="6819818"/>
            <a:ext cx="6171186" cy="3194241"/>
            <a:chOff x="160020" y="6667418"/>
            <a:chExt cx="6171186" cy="3194241"/>
          </a:xfrm>
        </xdr:grpSpPr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0020" y="6667418"/>
              <a:ext cx="6171186" cy="3194241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41020" y="7581900"/>
              <a:ext cx="3169920" cy="182880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cxnSp macro="">
        <xdr:nvCxnSpPr>
          <xdr:cNvPr id="13" name="Connecteur droit avec flèch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1371600" y="7856220"/>
            <a:ext cx="822960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640080" y="771144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FF0000"/>
                </a:solidFill>
              </a:rPr>
              <a:t>Activité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647700" y="800862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92D050"/>
                </a:solidFill>
              </a:rPr>
              <a:t>Tâche</a:t>
            </a:r>
          </a:p>
        </xdr:txBody>
      </xdr:sp>
      <xdr:cxnSp macro="">
        <xdr:nvCxnSpPr>
          <xdr:cNvPr id="16" name="Connecteur droit avec flèch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 flipV="1">
            <a:off x="1318260" y="8016240"/>
            <a:ext cx="868680" cy="129540"/>
          </a:xfrm>
          <a:prstGeom prst="straightConnector1">
            <a:avLst/>
          </a:prstGeom>
          <a:ln>
            <a:solidFill>
              <a:srgbClr val="92D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42672</xdr:colOff>
      <xdr:row>52</xdr:row>
      <xdr:rowOff>30480</xdr:rowOff>
    </xdr:from>
    <xdr:to>
      <xdr:col>7</xdr:col>
      <xdr:colOff>315404</xdr:colOff>
      <xdr:row>67</xdr:row>
      <xdr:rowOff>39499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02692" y="10469880"/>
          <a:ext cx="4494212" cy="2752219"/>
          <a:chOff x="202692" y="10454640"/>
          <a:chExt cx="4494212" cy="2752219"/>
        </a:xfrm>
      </xdr:grpSpPr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2692" y="10454640"/>
            <a:ext cx="4494212" cy="2752219"/>
          </a:xfrm>
          <a:prstGeom prst="rect">
            <a:avLst/>
          </a:prstGeom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36220" y="13014960"/>
            <a:ext cx="281940" cy="17526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28600" y="10843260"/>
            <a:ext cx="998220" cy="28194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15241</xdr:colOff>
      <xdr:row>70</xdr:row>
      <xdr:rowOff>45720</xdr:rowOff>
    </xdr:from>
    <xdr:to>
      <xdr:col>6</xdr:col>
      <xdr:colOff>457201</xdr:colOff>
      <xdr:row>82</xdr:row>
      <xdr:rowOff>170882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261" y="13807440"/>
          <a:ext cx="3886200" cy="2319722"/>
          <a:chOff x="175261" y="13761720"/>
          <a:chExt cx="3886200" cy="2319722"/>
        </a:xfrm>
      </xdr:grpSpPr>
      <xdr:pic>
        <xdr:nvPicPr>
          <xdr:cNvPr id="24" name="Imag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5261" y="13761720"/>
            <a:ext cx="3886200" cy="2319722"/>
          </a:xfrm>
          <a:prstGeom prst="rect">
            <a:avLst/>
          </a:prstGeom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13360" y="157353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90500" y="14150340"/>
            <a:ext cx="1021080" cy="2514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22860</xdr:colOff>
      <xdr:row>107</xdr:row>
      <xdr:rowOff>33354</xdr:rowOff>
    </xdr:from>
    <xdr:to>
      <xdr:col>13</xdr:col>
      <xdr:colOff>91440</xdr:colOff>
      <xdr:row>119</xdr:row>
      <xdr:rowOff>150106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82880" y="20927394"/>
          <a:ext cx="10751820" cy="2311312"/>
          <a:chOff x="182880" y="16675434"/>
          <a:chExt cx="10759440" cy="2311312"/>
        </a:xfrm>
      </xdr:grpSpPr>
      <xdr:pic>
        <xdr:nvPicPr>
          <xdr:cNvPr id="28" name="Imag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2880" y="16675434"/>
            <a:ext cx="4891216" cy="2311312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t="1250" r="1055"/>
          <a:stretch/>
        </xdr:blipFill>
        <xdr:spPr>
          <a:xfrm>
            <a:off x="6179820" y="16763372"/>
            <a:ext cx="4762500" cy="2194807"/>
          </a:xfrm>
          <a:prstGeom prst="rect">
            <a:avLst/>
          </a:prstGeom>
        </xdr:spPr>
      </xdr:pic>
      <xdr:sp macro="" textlink="">
        <xdr:nvSpPr>
          <xdr:cNvPr id="30" name="Flèche : droi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303520" y="17663160"/>
            <a:ext cx="556260" cy="33528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202680" y="18592800"/>
            <a:ext cx="333756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28601" y="186309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99060</xdr:colOff>
      <xdr:row>154</xdr:row>
      <xdr:rowOff>73224</xdr:rowOff>
    </xdr:from>
    <xdr:to>
      <xdr:col>5</xdr:col>
      <xdr:colOff>323448</xdr:colOff>
      <xdr:row>162</xdr:row>
      <xdr:rowOff>142619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99060" y="29730264"/>
          <a:ext cx="2457048" cy="1562915"/>
          <a:chOff x="99060" y="19793784"/>
          <a:chExt cx="2457048" cy="1562915"/>
        </a:xfrm>
      </xdr:grpSpPr>
      <xdr:pic>
        <xdr:nvPicPr>
          <xdr:cNvPr id="34" name="Imag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99060" y="19793784"/>
            <a:ext cx="2457048" cy="1562915"/>
          </a:xfrm>
          <a:prstGeom prst="rect">
            <a:avLst/>
          </a:prstGeom>
        </xdr:spPr>
      </xdr:pic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75260" y="20139660"/>
            <a:ext cx="1150620" cy="1173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53340</xdr:colOff>
      <xdr:row>168</xdr:row>
      <xdr:rowOff>31127</xdr:rowOff>
    </xdr:from>
    <xdr:to>
      <xdr:col>7</xdr:col>
      <xdr:colOff>759310</xdr:colOff>
      <xdr:row>179</xdr:row>
      <xdr:rowOff>165393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" y="32355167"/>
          <a:ext cx="4927450" cy="2145946"/>
        </a:xfrm>
        <a:prstGeom prst="rect">
          <a:avLst/>
        </a:prstGeom>
      </xdr:spPr>
    </xdr:pic>
    <xdr:clientData/>
  </xdr:twoCellAnchor>
  <xdr:twoCellAnchor>
    <xdr:from>
      <xdr:col>1</xdr:col>
      <xdr:colOff>45720</xdr:colOff>
      <xdr:row>236</xdr:row>
      <xdr:rowOff>28464</xdr:rowOff>
    </xdr:from>
    <xdr:to>
      <xdr:col>10</xdr:col>
      <xdr:colOff>1130129</xdr:colOff>
      <xdr:row>247</xdr:row>
      <xdr:rowOff>35819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205740" y="45885624"/>
          <a:ext cx="8391989" cy="2186675"/>
          <a:chOff x="205740" y="25616424"/>
          <a:chExt cx="8399609" cy="2186675"/>
        </a:xfrm>
      </xdr:grpSpPr>
      <xdr:pic>
        <xdr:nvPicPr>
          <xdr:cNvPr id="38" name="Imag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5740" y="25616424"/>
            <a:ext cx="8399609" cy="2186675"/>
          </a:xfrm>
          <a:prstGeom prst="rect">
            <a:avLst/>
          </a:prstGeom>
        </xdr:spPr>
      </xdr:pic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804160" y="26647140"/>
            <a:ext cx="5783580" cy="1043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45721</xdr:colOff>
      <xdr:row>249</xdr:row>
      <xdr:rowOff>58129</xdr:rowOff>
    </xdr:from>
    <xdr:to>
      <xdr:col>9</xdr:col>
      <xdr:colOff>952501</xdr:colOff>
      <xdr:row>261</xdr:row>
      <xdr:rowOff>76450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205741" y="48490849"/>
          <a:ext cx="6842760" cy="2395761"/>
          <a:chOff x="205741" y="28221649"/>
          <a:chExt cx="6850380" cy="2395761"/>
        </a:xfrm>
      </xdr:grpSpPr>
      <xdr:pic>
        <xdr:nvPicPr>
          <xdr:cNvPr id="41" name="Imag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5741" y="28221649"/>
            <a:ext cx="6850380" cy="2395761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792980" y="28262580"/>
            <a:ext cx="137922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154598</xdr:colOff>
      <xdr:row>263</xdr:row>
      <xdr:rowOff>83820</xdr:rowOff>
    </xdr:from>
    <xdr:to>
      <xdr:col>10</xdr:col>
      <xdr:colOff>787205</xdr:colOff>
      <xdr:row>278</xdr:row>
      <xdr:rowOff>76200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54598" y="51290220"/>
          <a:ext cx="8100207" cy="2948940"/>
          <a:chOff x="154598" y="31021020"/>
          <a:chExt cx="8107827" cy="2948940"/>
        </a:xfrm>
      </xdr:grpSpPr>
      <xdr:grpSp>
        <xdr:nvGrpSpPr>
          <xdr:cNvPr id="44" name="Group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154598" y="31021020"/>
            <a:ext cx="8107827" cy="2946503"/>
            <a:chOff x="154598" y="31021020"/>
            <a:chExt cx="8107827" cy="2946503"/>
          </a:xfrm>
        </xdr:grpSpPr>
        <xdr:pic>
          <xdr:nvPicPr>
            <xdr:cNvPr id="46" name="Image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4598" y="31021020"/>
              <a:ext cx="8107827" cy="2946503"/>
            </a:xfrm>
            <a:prstGeom prst="rect">
              <a:avLst/>
            </a:prstGeom>
          </xdr:spPr>
        </xdr:pic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3543300" y="31081980"/>
              <a:ext cx="853440" cy="2362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1958340" y="31379160"/>
            <a:ext cx="175260" cy="2590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13476</xdr:colOff>
      <xdr:row>182</xdr:row>
      <xdr:rowOff>106680</xdr:rowOff>
    </xdr:from>
    <xdr:to>
      <xdr:col>9</xdr:col>
      <xdr:colOff>446405</xdr:colOff>
      <xdr:row>195</xdr:row>
      <xdr:rowOff>129053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577"/>
        <a:stretch/>
      </xdr:blipFill>
      <xdr:spPr>
        <a:xfrm>
          <a:off x="173496" y="35234880"/>
          <a:ext cx="6376529" cy="2399813"/>
        </a:xfrm>
        <a:prstGeom prst="rect">
          <a:avLst/>
        </a:prstGeom>
      </xdr:spPr>
    </xdr:pic>
    <xdr:clientData/>
  </xdr:twoCellAnchor>
  <xdr:twoCellAnchor editAs="oneCell">
    <xdr:from>
      <xdr:col>0</xdr:col>
      <xdr:colOff>130722</xdr:colOff>
      <xdr:row>197</xdr:row>
      <xdr:rowOff>53340</xdr:rowOff>
    </xdr:from>
    <xdr:to>
      <xdr:col>9</xdr:col>
      <xdr:colOff>757091</xdr:colOff>
      <xdr:row>216</xdr:row>
      <xdr:rowOff>104200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0722" y="38153340"/>
          <a:ext cx="6729989" cy="352558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217</xdr:row>
      <xdr:rowOff>38100</xdr:rowOff>
    </xdr:from>
    <xdr:to>
      <xdr:col>9</xdr:col>
      <xdr:colOff>801766</xdr:colOff>
      <xdr:row>232</xdr:row>
      <xdr:rowOff>22860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360" y="42100500"/>
          <a:ext cx="6692026" cy="272796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87</xdr:row>
      <xdr:rowOff>14468</xdr:rowOff>
    </xdr:from>
    <xdr:to>
      <xdr:col>13</xdr:col>
      <xdr:colOff>1191704</xdr:colOff>
      <xdr:row>103</xdr:row>
      <xdr:rowOff>26168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2880" y="16946108"/>
          <a:ext cx="11852084" cy="3181620"/>
          <a:chOff x="182880" y="16946108"/>
          <a:chExt cx="11859704" cy="3181620"/>
        </a:xfrm>
      </xdr:grpSpPr>
      <xdr:pic>
        <xdr:nvPicPr>
          <xdr:cNvPr id="52" name="Imag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2880" y="16946108"/>
            <a:ext cx="4706432" cy="3173947"/>
          </a:xfrm>
          <a:prstGeom prst="rect">
            <a:avLst/>
          </a:prstGeom>
        </xdr:spPr>
      </xdr:pic>
      <xdr:pic>
        <xdr:nvPicPr>
          <xdr:cNvPr id="53" name="Imag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589020" y="17937480"/>
            <a:ext cx="2284557" cy="1209471"/>
          </a:xfrm>
          <a:prstGeom prst="rect">
            <a:avLst/>
          </a:prstGeom>
        </xdr:spPr>
      </xdr:pic>
      <xdr:pic>
        <xdr:nvPicPr>
          <xdr:cNvPr id="54" name="Imag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6899242" y="17000220"/>
            <a:ext cx="5143342" cy="3127508"/>
          </a:xfrm>
          <a:prstGeom prst="rect">
            <a:avLst/>
          </a:prstGeom>
        </xdr:spPr>
      </xdr:pic>
      <xdr:sp macro="" textlink="">
        <xdr:nvSpPr>
          <xdr:cNvPr id="55" name="Flèche : droit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6187440" y="18371820"/>
            <a:ext cx="457200" cy="3429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4267200" y="18867120"/>
            <a:ext cx="68580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7620</xdr:colOff>
      <xdr:row>135</xdr:row>
      <xdr:rowOff>29966</xdr:rowOff>
    </xdr:from>
    <xdr:to>
      <xdr:col>9</xdr:col>
      <xdr:colOff>73287</xdr:colOff>
      <xdr:row>148</xdr:row>
      <xdr:rowOff>121505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67640" y="26120846"/>
          <a:ext cx="6001647" cy="2468979"/>
          <a:chOff x="167640" y="23514806"/>
          <a:chExt cx="6009267" cy="2468979"/>
        </a:xfrm>
      </xdr:grpSpPr>
      <xdr:pic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67640" y="23514806"/>
            <a:ext cx="6009267" cy="2468979"/>
          </a:xfrm>
          <a:prstGeom prst="rect">
            <a:avLst/>
          </a:prstGeom>
        </xdr:spPr>
      </xdr:pic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290060" y="24414480"/>
            <a:ext cx="762000" cy="1554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38101</xdr:colOff>
      <xdr:row>121</xdr:row>
      <xdr:rowOff>76200</xdr:rowOff>
    </xdr:from>
    <xdr:to>
      <xdr:col>9</xdr:col>
      <xdr:colOff>533401</xdr:colOff>
      <xdr:row>131</xdr:row>
      <xdr:rowOff>60631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198121" y="23545800"/>
          <a:ext cx="6431280" cy="1813231"/>
          <a:chOff x="198121" y="23149560"/>
          <a:chExt cx="6438900" cy="1813231"/>
        </a:xfrm>
      </xdr:grpSpPr>
      <xdr:pic>
        <xdr:nvPicPr>
          <xdr:cNvPr id="61" name="Imag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2410" r="160"/>
          <a:stretch/>
        </xdr:blipFill>
        <xdr:spPr>
          <a:xfrm>
            <a:off x="198121" y="23149560"/>
            <a:ext cx="6438900" cy="1813231"/>
          </a:xfrm>
          <a:prstGeom prst="rect">
            <a:avLst/>
          </a:prstGeom>
        </xdr:spPr>
      </xdr:pic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2110740" y="23957280"/>
            <a:ext cx="67056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73680" y="23957280"/>
            <a:ext cx="1341120" cy="1600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38100</xdr:rowOff>
    </xdr:from>
    <xdr:to>
      <xdr:col>6</xdr:col>
      <xdr:colOff>1120140</xdr:colOff>
      <xdr:row>5</xdr:row>
      <xdr:rowOff>152400</xdr:rowOff>
    </xdr:to>
    <xdr:sp macro="[0]!AddProject" textlink="">
      <xdr:nvSpPr>
        <xdr:cNvPr id="2" name="BtnAddProjec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0" y="1089660"/>
          <a:ext cx="1440180" cy="304800"/>
        </a:xfrm>
        <a:prstGeom prst="roundRect">
          <a:avLst/>
        </a:prstGeom>
        <a:gradFill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7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Ajouter une activité</a:t>
          </a:r>
        </a:p>
      </xdr:txBody>
    </xdr:sp>
    <xdr:clientData/>
  </xdr:twoCellAnchor>
  <xdr:twoCellAnchor editAs="oneCell">
    <xdr:from>
      <xdr:col>8</xdr:col>
      <xdr:colOff>506127</xdr:colOff>
      <xdr:row>4</xdr:row>
      <xdr:rowOff>38100</xdr:rowOff>
    </xdr:from>
    <xdr:to>
      <xdr:col>9</xdr:col>
      <xdr:colOff>731520</xdr:colOff>
      <xdr:row>5</xdr:row>
      <xdr:rowOff>152400</xdr:rowOff>
    </xdr:to>
    <xdr:sp macro="[0]!DeleteProject" textlink="">
      <xdr:nvSpPr>
        <xdr:cNvPr id="3" name="BtnDeleteProjec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017167" y="1089660"/>
          <a:ext cx="1048353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Supprimer</a:t>
          </a:r>
        </a:p>
      </xdr:txBody>
    </xdr:sp>
    <xdr:clientData/>
  </xdr:twoCellAnchor>
  <xdr:twoCellAnchor editAs="oneCell">
    <xdr:from>
      <xdr:col>6</xdr:col>
      <xdr:colOff>1197288</xdr:colOff>
      <xdr:row>4</xdr:row>
      <xdr:rowOff>38100</xdr:rowOff>
    </xdr:from>
    <xdr:to>
      <xdr:col>6</xdr:col>
      <xdr:colOff>2537460</xdr:colOff>
      <xdr:row>5</xdr:row>
      <xdr:rowOff>152400</xdr:rowOff>
    </xdr:to>
    <xdr:sp macro="[0]!AddProject" textlink="">
      <xdr:nvSpPr>
        <xdr:cNvPr id="5" name="BtnAddSubProjec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07828" y="1089660"/>
          <a:ext cx="1340172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Ajouter une tâche</a:t>
          </a:r>
        </a:p>
      </xdr:txBody>
    </xdr:sp>
    <xdr:clientData/>
  </xdr:twoCellAnchor>
  <xdr:twoCellAnchor editAs="oneCell">
    <xdr:from>
      <xdr:col>6</xdr:col>
      <xdr:colOff>2628900</xdr:colOff>
      <xdr:row>4</xdr:row>
      <xdr:rowOff>38100</xdr:rowOff>
    </xdr:from>
    <xdr:to>
      <xdr:col>8</xdr:col>
      <xdr:colOff>427626</xdr:colOff>
      <xdr:row>5</xdr:row>
      <xdr:rowOff>152400</xdr:rowOff>
    </xdr:to>
    <xdr:sp macro="[0]!ConvertToProject" textlink="">
      <xdr:nvSpPr>
        <xdr:cNvPr id="6" name="BtnConvertProjec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139440" y="1089660"/>
          <a:ext cx="1799226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Convertir à une activité / tâche</a:t>
          </a:r>
        </a:p>
      </xdr:txBody>
    </xdr:sp>
    <xdr:clientData/>
  </xdr:twoCellAnchor>
  <xdr:twoCellAnchor editAs="oneCell">
    <xdr:from>
      <xdr:col>38</xdr:col>
      <xdr:colOff>79020</xdr:colOff>
      <xdr:row>3</xdr:row>
      <xdr:rowOff>73800</xdr:rowOff>
    </xdr:from>
    <xdr:to>
      <xdr:col>39</xdr:col>
      <xdr:colOff>83820</xdr:colOff>
      <xdr:row>3</xdr:row>
      <xdr:rowOff>304800</xdr:rowOff>
    </xdr:to>
    <xdr:pic macro="[0]!UpdateStartingDate">
      <xdr:nvPicPr>
        <xdr:cNvPr id="10" name="BtnNext" descr="Caret Righ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24760" y="759600"/>
          <a:ext cx="233400" cy="231000"/>
        </a:xfrm>
        <a:prstGeom prst="rect">
          <a:avLst/>
        </a:prstGeom>
      </xdr:spPr>
    </xdr:pic>
    <xdr:clientData/>
  </xdr:twoCellAnchor>
  <xdr:twoCellAnchor editAs="oneCell">
    <xdr:from>
      <xdr:col>33</xdr:col>
      <xdr:colOff>144780</xdr:colOff>
      <xdr:row>3</xdr:row>
      <xdr:rowOff>76200</xdr:rowOff>
    </xdr:from>
    <xdr:to>
      <xdr:col>34</xdr:col>
      <xdr:colOff>157200</xdr:colOff>
      <xdr:row>3</xdr:row>
      <xdr:rowOff>309600</xdr:rowOff>
    </xdr:to>
    <xdr:pic macro="[0]!UpdateStartingDate">
      <xdr:nvPicPr>
        <xdr:cNvPr id="7" name="BtnPrev" descr="Caret Right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4584680" y="762000"/>
          <a:ext cx="233400" cy="233400"/>
        </a:xfrm>
        <a:prstGeom prst="rect">
          <a:avLst/>
        </a:prstGeom>
      </xdr:spPr>
    </xdr:pic>
    <xdr:clientData/>
  </xdr:twoCellAnchor>
  <xdr:twoCellAnchor editAs="oneCell">
    <xdr:from>
      <xdr:col>25</xdr:col>
      <xdr:colOff>137160</xdr:colOff>
      <xdr:row>3</xdr:row>
      <xdr:rowOff>45719</xdr:rowOff>
    </xdr:from>
    <xdr:to>
      <xdr:col>29</xdr:col>
      <xdr:colOff>175260</xdr:colOff>
      <xdr:row>3</xdr:row>
      <xdr:rowOff>312420</xdr:rowOff>
    </xdr:to>
    <xdr:sp macro="[0]!GoToToday" textlink="">
      <xdr:nvSpPr>
        <xdr:cNvPr id="11" name="BtnDeleteProjec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4043660" y="731519"/>
          <a:ext cx="960120" cy="26670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Aujourd'hui</a:t>
          </a:r>
        </a:p>
      </xdr:txBody>
    </xdr:sp>
    <xdr:clientData/>
  </xdr:twoCellAnchor>
  <xdr:twoCellAnchor editAs="oneCell">
    <xdr:from>
      <xdr:col>28</xdr:col>
      <xdr:colOff>156273</xdr:colOff>
      <xdr:row>3</xdr:row>
      <xdr:rowOff>45719</xdr:rowOff>
    </xdr:from>
    <xdr:to>
      <xdr:col>29</xdr:col>
      <xdr:colOff>138650</xdr:colOff>
      <xdr:row>3</xdr:row>
      <xdr:rowOff>285999</xdr:rowOff>
    </xdr:to>
    <xdr:pic macro="[0]!GoToToday">
      <xdr:nvPicPr>
        <xdr:cNvPr id="9" name="Graphic 8" descr="Flip calendar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474253" y="731519"/>
          <a:ext cx="203357" cy="240280"/>
        </a:xfrm>
        <a:prstGeom prst="rect">
          <a:avLst/>
        </a:prstGeom>
      </xdr:spPr>
    </xdr:pic>
    <xdr:clientData/>
  </xdr:twoCellAnchor>
  <xdr:twoCellAnchor editAs="absolute">
    <xdr:from>
      <xdr:col>7</xdr:col>
      <xdr:colOff>198120</xdr:colOff>
      <xdr:row>3</xdr:row>
      <xdr:rowOff>53340</xdr:rowOff>
    </xdr:from>
    <xdr:to>
      <xdr:col>8</xdr:col>
      <xdr:colOff>679811</xdr:colOff>
      <xdr:row>3</xdr:row>
      <xdr:rowOff>301497</xdr:rowOff>
    </xdr:to>
    <xdr:sp macro="" textlink="">
      <xdr:nvSpPr>
        <xdr:cNvPr id="14" name="BtnGuid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970020" y="73914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8</xdr:col>
      <xdr:colOff>716173</xdr:colOff>
      <xdr:row>3</xdr:row>
      <xdr:rowOff>56468</xdr:rowOff>
    </xdr:from>
    <xdr:to>
      <xdr:col>10</xdr:col>
      <xdr:colOff>90890</xdr:colOff>
      <xdr:row>3</xdr:row>
      <xdr:rowOff>304625</xdr:rowOff>
    </xdr:to>
    <xdr:sp macro="[0]!NavBar" textlink="">
      <xdr:nvSpPr>
        <xdr:cNvPr id="15" name="BtnGant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5227213" y="74226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Plan de charge</a:t>
          </a:r>
        </a:p>
      </xdr:txBody>
    </xdr:sp>
    <xdr:clientData/>
  </xdr:twoCellAnchor>
  <xdr:twoCellAnchor editAs="absolute">
    <xdr:from>
      <xdr:col>10</xdr:col>
      <xdr:colOff>147219</xdr:colOff>
      <xdr:row>3</xdr:row>
      <xdr:rowOff>53609</xdr:rowOff>
    </xdr:from>
    <xdr:to>
      <xdr:col>10</xdr:col>
      <xdr:colOff>1727118</xdr:colOff>
      <xdr:row>3</xdr:row>
      <xdr:rowOff>301766</xdr:rowOff>
    </xdr:to>
    <xdr:sp macro="[0]!NavBar" textlink="">
      <xdr:nvSpPr>
        <xdr:cNvPr id="16" name="BtnRessources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685179" y="73940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10</xdr:col>
      <xdr:colOff>1783587</xdr:colOff>
      <xdr:row>3</xdr:row>
      <xdr:rowOff>54712</xdr:rowOff>
    </xdr:from>
    <xdr:to>
      <xdr:col>12</xdr:col>
      <xdr:colOff>41460</xdr:colOff>
      <xdr:row>3</xdr:row>
      <xdr:rowOff>302869</xdr:rowOff>
    </xdr:to>
    <xdr:sp macro="[0]!NavBar" textlink="">
      <xdr:nvSpPr>
        <xdr:cNvPr id="17" name="BtnSettings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321547" y="74051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2208706</xdr:colOff>
      <xdr:row>2</xdr:row>
      <xdr:rowOff>60960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60960</xdr:colOff>
          <xdr:row>3</xdr:row>
          <xdr:rowOff>106680</xdr:rowOff>
        </xdr:from>
        <xdr:to>
          <xdr:col>47</xdr:col>
          <xdr:colOff>38100</xdr:colOff>
          <xdr:row>3</xdr:row>
          <xdr:rowOff>266700</xdr:rowOff>
        </xdr:to>
        <xdr:sp macro="" textlink="">
          <xdr:nvSpPr>
            <xdr:cNvPr id="1027" name="Option Button 3" descr="Da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3</xdr:row>
          <xdr:rowOff>106680</xdr:rowOff>
        </xdr:from>
        <xdr:to>
          <xdr:col>50</xdr:col>
          <xdr:colOff>144780</xdr:colOff>
          <xdr:row>3</xdr:row>
          <xdr:rowOff>266700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99060</xdr:colOff>
          <xdr:row>3</xdr:row>
          <xdr:rowOff>114300</xdr:rowOff>
        </xdr:from>
        <xdr:to>
          <xdr:col>53</xdr:col>
          <xdr:colOff>76200</xdr:colOff>
          <xdr:row>3</xdr:row>
          <xdr:rowOff>274320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Mois</a:t>
              </a:r>
            </a:p>
          </xdr:txBody>
        </xdr:sp>
        <xdr:clientData/>
      </xdr:twoCellAnchor>
    </mc:Choice>
    <mc:Fallback/>
  </mc:AlternateContent>
  <xdr:twoCellAnchor editAs="oneCell">
    <xdr:from>
      <xdr:col>40</xdr:col>
      <xdr:colOff>7620</xdr:colOff>
      <xdr:row>3</xdr:row>
      <xdr:rowOff>68580</xdr:rowOff>
    </xdr:from>
    <xdr:to>
      <xdr:col>41</xdr:col>
      <xdr:colOff>17640</xdr:colOff>
      <xdr:row>3</xdr:row>
      <xdr:rowOff>307200</xdr:rowOff>
    </xdr:to>
    <xdr:pic macro="[0]!UpdateStartingDate">
      <xdr:nvPicPr>
        <xdr:cNvPr id="19" name="BtnNextSpeed" descr="Chevron arrows outlin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34360" y="754380"/>
          <a:ext cx="238620" cy="238620"/>
        </a:xfrm>
        <a:prstGeom prst="rect">
          <a:avLst/>
        </a:prstGeom>
      </xdr:spPr>
    </xdr:pic>
    <xdr:clientData/>
  </xdr:twoCellAnchor>
  <xdr:twoCellAnchor editAs="oneCell">
    <xdr:from>
      <xdr:col>31</xdr:col>
      <xdr:colOff>157620</xdr:colOff>
      <xdr:row>3</xdr:row>
      <xdr:rowOff>73800</xdr:rowOff>
    </xdr:from>
    <xdr:to>
      <xdr:col>32</xdr:col>
      <xdr:colOff>160020</xdr:colOff>
      <xdr:row>3</xdr:row>
      <xdr:rowOff>312420</xdr:rowOff>
    </xdr:to>
    <xdr:pic macro="[0]!UpdateStartingDate">
      <xdr:nvPicPr>
        <xdr:cNvPr id="23" name="BtnPrevSpeed" descr="Chevron arrows outline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4216520" y="759600"/>
          <a:ext cx="238620" cy="238620"/>
        </a:xfrm>
        <a:prstGeom prst="rect">
          <a:avLst/>
        </a:prstGeom>
      </xdr:spPr>
    </xdr:pic>
    <xdr:clientData/>
  </xdr:twoCellAnchor>
  <xdr:twoCellAnchor editAs="absolute">
    <xdr:from>
      <xdr:col>14</xdr:col>
      <xdr:colOff>259080</xdr:colOff>
      <xdr:row>4</xdr:row>
      <xdr:rowOff>45720</xdr:rowOff>
    </xdr:from>
    <xdr:to>
      <xdr:col>14</xdr:col>
      <xdr:colOff>556260</xdr:colOff>
      <xdr:row>5</xdr:row>
      <xdr:rowOff>152400</xdr:rowOff>
    </xdr:to>
    <xdr:pic macro="[0]!maximize">
      <xdr:nvPicPr>
        <xdr:cNvPr id="22" name="Graphic 21" descr="Browser window outline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330940" y="1097280"/>
          <a:ext cx="297180" cy="2971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1661160</xdr:colOff>
      <xdr:row>3</xdr:row>
      <xdr:rowOff>60960</xdr:rowOff>
    </xdr:from>
    <xdr:to>
      <xdr:col>4</xdr:col>
      <xdr:colOff>763631</xdr:colOff>
      <xdr:row>3</xdr:row>
      <xdr:rowOff>309117</xdr:rowOff>
    </xdr:to>
    <xdr:sp macro="" textlink="">
      <xdr:nvSpPr>
        <xdr:cNvPr id="10" name="BtnGuid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962400" y="74676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799993</xdr:colOff>
      <xdr:row>3</xdr:row>
      <xdr:rowOff>64088</xdr:rowOff>
    </xdr:from>
    <xdr:to>
      <xdr:col>5</xdr:col>
      <xdr:colOff>410930</xdr:colOff>
      <xdr:row>3</xdr:row>
      <xdr:rowOff>312245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219593" y="74988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Plan de charge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467259</xdr:colOff>
      <xdr:row>3</xdr:row>
      <xdr:rowOff>61229</xdr:rowOff>
    </xdr:from>
    <xdr:to>
      <xdr:col>6</xdr:col>
      <xdr:colOff>919398</xdr:colOff>
      <xdr:row>3</xdr:row>
      <xdr:rowOff>309386</xdr:rowOff>
    </xdr:to>
    <xdr:sp macro="[0]!NavBar" textlink="">
      <xdr:nvSpPr>
        <xdr:cNvPr id="12" name="BtnRessource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677559" y="74702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6</xdr:col>
      <xdr:colOff>975867</xdr:colOff>
      <xdr:row>3</xdr:row>
      <xdr:rowOff>62332</xdr:rowOff>
    </xdr:from>
    <xdr:to>
      <xdr:col>8</xdr:col>
      <xdr:colOff>171000</xdr:colOff>
      <xdr:row>3</xdr:row>
      <xdr:rowOff>310489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313927" y="74813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418006</xdr:colOff>
      <xdr:row>2</xdr:row>
      <xdr:rowOff>60960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1124156</xdr:colOff>
      <xdr:row>4</xdr:row>
      <xdr:rowOff>53340</xdr:rowOff>
    </xdr:from>
    <xdr:to>
      <xdr:col>3</xdr:col>
      <xdr:colOff>881214</xdr:colOff>
      <xdr:row>5</xdr:row>
      <xdr:rowOff>61920</xdr:rowOff>
    </xdr:to>
    <xdr:sp macro="[0]!DeleteRow" textlink="">
      <xdr:nvSpPr>
        <xdr:cNvPr id="2" name="BtnDeleteRessourc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87096" y="1104900"/>
          <a:ext cx="1395358" cy="24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Supprimer une ressource</a:t>
          </a:r>
        </a:p>
      </xdr:txBody>
    </xdr:sp>
    <xdr:clientData/>
  </xdr:twoCellAnchor>
  <xdr:twoCellAnchor>
    <xdr:from>
      <xdr:col>1</xdr:col>
      <xdr:colOff>9192</xdr:colOff>
      <xdr:row>4</xdr:row>
      <xdr:rowOff>53340</xdr:rowOff>
    </xdr:from>
    <xdr:to>
      <xdr:col>2</xdr:col>
      <xdr:colOff>980461</xdr:colOff>
      <xdr:row>5</xdr:row>
      <xdr:rowOff>60960</xdr:rowOff>
    </xdr:to>
    <xdr:sp macro="[0]!AddRow" textlink="">
      <xdr:nvSpPr>
        <xdr:cNvPr id="3" name="BtnAddRessourc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9212" y="1104900"/>
          <a:ext cx="1474189" cy="2438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Ajouter une ressource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1340026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1059180</xdr:colOff>
      <xdr:row>3</xdr:row>
      <xdr:rowOff>76200</xdr:rowOff>
    </xdr:from>
    <xdr:to>
      <xdr:col>5</xdr:col>
      <xdr:colOff>154031</xdr:colOff>
      <xdr:row>3</xdr:row>
      <xdr:rowOff>324357</xdr:rowOff>
    </xdr:to>
    <xdr:sp macro="" textlink="">
      <xdr:nvSpPr>
        <xdr:cNvPr id="10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985260" y="76200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190393</xdr:colOff>
      <xdr:row>3</xdr:row>
      <xdr:rowOff>79328</xdr:rowOff>
    </xdr:from>
    <xdr:to>
      <xdr:col>5</xdr:col>
      <xdr:colOff>1592030</xdr:colOff>
      <xdr:row>3</xdr:row>
      <xdr:rowOff>327485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242453" y="76512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Plan de charge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1648359</xdr:colOff>
      <xdr:row>3</xdr:row>
      <xdr:rowOff>76469</xdr:rowOff>
    </xdr:from>
    <xdr:to>
      <xdr:col>7</xdr:col>
      <xdr:colOff>233598</xdr:colOff>
      <xdr:row>3</xdr:row>
      <xdr:rowOff>324626</xdr:rowOff>
    </xdr:to>
    <xdr:sp macro="[0]!NavBar" textlink="">
      <xdr:nvSpPr>
        <xdr:cNvPr id="12" name="BtnRessource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6700419" y="76226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7</xdr:col>
      <xdr:colOff>290067</xdr:colOff>
      <xdr:row>3</xdr:row>
      <xdr:rowOff>77572</xdr:rowOff>
    </xdr:from>
    <xdr:to>
      <xdr:col>10</xdr:col>
      <xdr:colOff>353880</xdr:colOff>
      <xdr:row>3</xdr:row>
      <xdr:rowOff>325729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336787" y="76337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1</xdr:col>
      <xdr:colOff>99060</xdr:colOff>
      <xdr:row>5</xdr:row>
      <xdr:rowOff>38520</xdr:rowOff>
    </xdr:from>
    <xdr:to>
      <xdr:col>1</xdr:col>
      <xdr:colOff>225060</xdr:colOff>
      <xdr:row>5</xdr:row>
      <xdr:rowOff>164520</xdr:rowOff>
    </xdr:to>
    <xdr:pic macro="[0]!AddRow">
      <xdr:nvPicPr>
        <xdr:cNvPr id="4" name="BtnAddStatut" descr="Add with solid fil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1940" y="128058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296760</xdr:colOff>
      <xdr:row>5</xdr:row>
      <xdr:rowOff>38100</xdr:rowOff>
    </xdr:from>
    <xdr:to>
      <xdr:col>1</xdr:col>
      <xdr:colOff>422760</xdr:colOff>
      <xdr:row>5</xdr:row>
      <xdr:rowOff>164100</xdr:rowOff>
    </xdr:to>
    <xdr:pic macro="[0]!DeleteRow">
      <xdr:nvPicPr>
        <xdr:cNvPr id="6" name="BtnDeleteStatut" descr="Close with solid fil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9640" y="128016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5</xdr:col>
      <xdr:colOff>83820</xdr:colOff>
      <xdr:row>5</xdr:row>
      <xdr:rowOff>30900</xdr:rowOff>
    </xdr:from>
    <xdr:to>
      <xdr:col>5</xdr:col>
      <xdr:colOff>209820</xdr:colOff>
      <xdr:row>5</xdr:row>
      <xdr:rowOff>156900</xdr:rowOff>
    </xdr:to>
    <xdr:pic macro="[0]!AddRow">
      <xdr:nvPicPr>
        <xdr:cNvPr id="3" name="BtnAddHolidays" descr="Add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5135880" y="127296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5</xdr:col>
      <xdr:colOff>281520</xdr:colOff>
      <xdr:row>5</xdr:row>
      <xdr:rowOff>30480</xdr:rowOff>
    </xdr:from>
    <xdr:to>
      <xdr:col>5</xdr:col>
      <xdr:colOff>407520</xdr:colOff>
      <xdr:row>5</xdr:row>
      <xdr:rowOff>156480</xdr:rowOff>
    </xdr:to>
    <xdr:pic macro="[0]!DeleteRow">
      <xdr:nvPicPr>
        <xdr:cNvPr id="5" name="BtnDeleteHolidays" descr="Close with solid fil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33580" y="1272540"/>
          <a:ext cx="126000" cy="12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137160</xdr:colOff>
          <xdr:row>3</xdr:row>
          <xdr:rowOff>76200</xdr:rowOff>
        </xdr:from>
        <xdr:to>
          <xdr:col>13</xdr:col>
          <xdr:colOff>1706880</xdr:colOff>
          <xdr:row>3</xdr:row>
          <xdr:rowOff>289560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F8160-0941-4A2C-8CA9-2A59834675A6}" name="TabProjet" displayName="TabProjet" ref="B13:BT153" totalsRowShown="0" headerRowDxfId="135" dataDxfId="134">
  <autoFilter ref="B13:BT153" xr:uid="{05DF8160-0941-4A2C-8CA9-2A59834675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</autoFilter>
  <tableColumns count="71">
    <tableColumn id="14" xr3:uid="{5E011378-D9B2-434B-8C74-F135916C3B11}" name="ID" dataDxfId="133">
      <calculatedColumnFormula>TabProjet[[#This Row],[IDProj]] &amp; TabProjet[[#This Row],[Point]] &amp; TabProjet[[#This Row],[IDSubProj]]</calculatedColumnFormula>
    </tableColumn>
    <tableColumn id="10" xr3:uid="{33A82585-DB2B-44E7-9275-AC5EA3E490AD}" name="Is Project" dataDxfId="132"/>
    <tableColumn id="1" xr3:uid="{FE19D7F9-7E68-477A-9689-CF570B0CBD84}" name="IDProj" dataDxfId="131">
      <calculatedColumnFormula>IF(ISNUMBER($D13),IF(TabProjet[[#This Row],[Is Project]] &lt;&gt;"",$D13+1,$D13),1)</calculatedColumnFormula>
    </tableColumn>
    <tableColumn id="13" xr3:uid="{34D588B9-69A7-4DD6-9144-63A6C05548E2}" name="Point" dataDxfId="130">
      <calculatedColumnFormula>IF(TabProjet[[#This Row],[Is Project]] &lt;&gt; "","",".")</calculatedColumnFormula>
    </tableColumn>
    <tableColumn id="12" xr3:uid="{8E1E4098-54BE-46AD-B12D-71E75D8BD0CE}" name="IDSubProj" dataDxfId="129">
      <calculatedColumnFormula>IFERROR(IF(TabProjet[[#This Row],[Is Project]]= "",$F13+1,""),1)</calculatedColumnFormula>
    </tableColumn>
    <tableColumn id="2" xr3:uid="{0DC6E036-CB5E-414E-9CA8-266B3754BCD1}" name="WBS - Activité / tâche" dataDxfId="128"/>
    <tableColumn id="4" xr3:uid="{846A1FE2-670F-48D4-89E3-C9AA6A19E048}" name="Thème" dataDxfId="127"/>
    <tableColumn id="3" xr3:uid="{35CD4987-ACB6-45CF-AAD0-19E3EDF4F0EA}" name="Dépendance" dataDxfId="126"/>
    <tableColumn id="5" xr3:uid="{B550C590-A3FE-48AF-BB0E-063E77405E77}" name="Attribuée à" dataDxfId="125"/>
    <tableColumn id="72" xr3:uid="{14C3A2C8-9954-422B-AD4D-75EFC337B48C}" name="Commentaires" dataDxfId="124"/>
    <tableColumn id="6" xr3:uid="{C1DF1DE8-DA2D-42A1-876D-A89759A0A7D4}" name="Début" dataDxfId="123">
      <calculatedColumnFormula>IF(MinStartDate(TabProjet[[#This Row],[ID]]) = 0, "", MinStartDate(TabProjet[[#This Row],[ID]]))</calculatedColumnFormula>
    </tableColumn>
    <tableColumn id="7" xr3:uid="{619A5E6C-C991-44B9-BB7F-5FFE4F514E1A}" name="Charge en J" dataDxfId="122">
      <calculatedColumnFormula>IFERROR(NETWORKDAYS(TabProjet[[#This Row],[Début]],TabProjet[[#This Row],[Deadline]]) + 1, "")</calculatedColumnFormula>
    </tableColumn>
    <tableColumn id="8" xr3:uid="{4418214A-69B5-4A83-BB1E-68E3FBFEE5F9}" name="Deadline" dataDxfId="121">
      <calculatedColumnFormula>IF(MaxDeadlineDate(TabProjet[[#This Row],[ID]]) = 0, "", MaxDeadlineDate(TabProjet[[#This Row],[ID]]))</calculatedColumnFormula>
    </tableColumn>
    <tableColumn id="9" xr3:uid="{E8064D66-7F1B-4C31-B3FF-FE61BF297092}" name="Progression" dataDxfId="120">
      <calculatedColumnFormula>IFERROR(AVERAGEIFS(TabProjet[Progression],TabProjet[Is Project],"",TabProjet[IDProj],TabProjet[[#This Row],[IDProj]]), 0)</calculatedColumnFormula>
    </tableColumn>
    <tableColumn id="70" xr3:uid="{56153E82-49D2-4089-B648-FD26678A5F04}" name="DateProgression" dataDxfId="119">
      <calculatedColumnFormula>TabProjet[[#This Row],[Début]]+(TabProjet[[#This Row],[Deadline]]-TabProjet[[#This Row],[Début]])*TabProjet[[#This Row],[Progression]]</calculatedColumnFormula>
    </tableColumn>
    <tableColumn id="11" xr3:uid="{31432459-77F0-400C-A56A-BA793D1066C7}" name="C0" dataDxfId="118"/>
    <tableColumn id="15" xr3:uid="{A5B38087-7AFC-4AB0-8100-9372428A0E44}" name="C1" dataDxfId="117"/>
    <tableColumn id="16" xr3:uid="{B23790DD-5CDC-4299-9BA3-EA7078D58C29}" name="C2" dataDxfId="116"/>
    <tableColumn id="17" xr3:uid="{9FCA9906-4703-4027-8369-7642905F7878}" name="C3" dataDxfId="115"/>
    <tableColumn id="18" xr3:uid="{7AE1C3A6-11C7-4214-B913-7F121F5D6C7B}" name="C4" dataDxfId="114"/>
    <tableColumn id="19" xr3:uid="{8C44A9B6-9EBE-42E7-9B1D-FA0534549368}" name="C5" dataDxfId="113"/>
    <tableColumn id="20" xr3:uid="{87BA93D9-060D-4DF9-8F7D-6A328E124F67}" name="C6" dataDxfId="112"/>
    <tableColumn id="21" xr3:uid="{F99F8ECE-1C3D-460C-A623-13250BEE51C7}" name="C7" dataDxfId="111"/>
    <tableColumn id="22" xr3:uid="{1FF8D443-22DD-48F3-B6CA-D39A5A800528}" name="C8" dataDxfId="110"/>
    <tableColumn id="23" xr3:uid="{F484ACDD-0357-448C-AAAF-8EFD2F112C21}" name="C9" dataDxfId="109"/>
    <tableColumn id="24" xr3:uid="{D77918AC-D8C3-47F6-940F-23E9F862DFB4}" name="C10" dataDxfId="108"/>
    <tableColumn id="25" xr3:uid="{50105DDE-4B56-456E-AACC-96EA350589C9}" name="C11" dataDxfId="107"/>
    <tableColumn id="26" xr3:uid="{B2B59E45-AC72-4482-B319-6C470EF73FCC}" name="C12" dataDxfId="106"/>
    <tableColumn id="27" xr3:uid="{A98AAD45-773D-48D9-B17A-EBFE31094BF5}" name="C13" dataDxfId="105"/>
    <tableColumn id="28" xr3:uid="{02FB93AA-8564-4D97-9E88-9D5F115FDBB8}" name="C14" dataDxfId="104"/>
    <tableColumn id="29" xr3:uid="{67B40E81-2761-4680-9AD0-B88C5CEA56A4}" name="C15" dataDxfId="103"/>
    <tableColumn id="30" xr3:uid="{4B7AA26B-D1F3-433A-A10C-845E847FC590}" name="C16" dataDxfId="102"/>
    <tableColumn id="31" xr3:uid="{3A280D40-A246-482A-9DBA-F68739E2C569}" name="C17" dataDxfId="101"/>
    <tableColumn id="32" xr3:uid="{AFD60292-9287-4481-A74F-E50C283A55C7}" name="C18" dataDxfId="100"/>
    <tableColumn id="33" xr3:uid="{198BD112-8E4C-4DDC-9072-A767C6CF05C2}" name="C19" dataDxfId="99"/>
    <tableColumn id="34" xr3:uid="{A8B34248-735F-432E-B459-5BD601F5FC8D}" name="C20" dataDxfId="98"/>
    <tableColumn id="35" xr3:uid="{37BD5FCF-B4D2-4E4D-9451-F12D50244F92}" name="C21" dataDxfId="97"/>
    <tableColumn id="36" xr3:uid="{25040C5B-4F3F-4ED0-BA07-E99BF0777818}" name="C22" dataDxfId="96"/>
    <tableColumn id="37" xr3:uid="{62AA482E-3E43-4765-8EF5-091BDC6F5225}" name="C23" dataDxfId="95"/>
    <tableColumn id="38" xr3:uid="{6189A7D6-D058-4992-BAAD-5648451DBE7B}" name="C24" dataDxfId="94"/>
    <tableColumn id="39" xr3:uid="{03075F3A-DC5D-45FB-97E2-813443679335}" name="C25" dataDxfId="93"/>
    <tableColumn id="40" xr3:uid="{1CAE1948-896E-41F8-BE21-A71BC9DC3F62}" name="C26" dataDxfId="92"/>
    <tableColumn id="41" xr3:uid="{0F9253E4-3E01-4F9C-B378-4E5395D92C17}" name="C27" dataDxfId="91"/>
    <tableColumn id="42" xr3:uid="{790F122F-27AD-426B-B13F-CD3FD8585104}" name="C28" dataDxfId="90"/>
    <tableColumn id="43" xr3:uid="{914053C2-B3E8-4720-BDEB-C49C4AC4B50C}" name="C29" dataDxfId="89"/>
    <tableColumn id="44" xr3:uid="{EA343FC2-4F25-4069-A46E-F4AEA2D1FB0D}" name="C30" dataDxfId="88"/>
    <tableColumn id="45" xr3:uid="{47B7D432-8691-4365-A12D-A95EBA7CE5BF}" name="C31" dataDxfId="87"/>
    <tableColumn id="46" xr3:uid="{E79689C4-C517-47F1-8241-23FD91CA3AF8}" name="C32" dataDxfId="86"/>
    <tableColumn id="47" xr3:uid="{2FA4D317-3D5C-44EF-A807-7C79CA6DE08F}" name="C33" dataDxfId="85"/>
    <tableColumn id="48" xr3:uid="{E0495E75-DC25-41A2-B74D-D75A5B814720}" name="C34" dataDxfId="84"/>
    <tableColumn id="49" xr3:uid="{391ADC20-5896-4360-93CD-0DC4113C861A}" name="C35" dataDxfId="83"/>
    <tableColumn id="50" xr3:uid="{D3068C68-0745-4B1A-9B51-7B8AE775A3C2}" name="C36" dataDxfId="82"/>
    <tableColumn id="51" xr3:uid="{87A37F2E-DC1F-4465-8265-57453ACCFA7D}" name="C37" dataDxfId="81"/>
    <tableColumn id="52" xr3:uid="{0C143BFE-C15F-4E3B-9257-D864E72AC3C7}" name="C38" dataDxfId="80"/>
    <tableColumn id="53" xr3:uid="{23B57741-D513-4B43-B61B-413AAD1DF505}" name="C39" dataDxfId="79"/>
    <tableColumn id="54" xr3:uid="{D4C5FDA7-640B-430F-A37A-34C1B0974FEA}" name="C40" dataDxfId="78"/>
    <tableColumn id="55" xr3:uid="{967EE029-FD3C-4B14-BFA2-01A8A6B13DF9}" name="C41" dataDxfId="77"/>
    <tableColumn id="56" xr3:uid="{FAB6B7EC-6A7F-4477-B654-6EE17469CD28}" name="C42" dataDxfId="76"/>
    <tableColumn id="57" xr3:uid="{04A76D1B-58C8-4134-8675-7F798C7CC071}" name="C43" dataDxfId="75"/>
    <tableColumn id="58" xr3:uid="{EF3EBBF3-8E90-4165-93CB-931208884994}" name="C44" dataDxfId="74"/>
    <tableColumn id="59" xr3:uid="{12DCEA53-9568-4DC1-AE4A-7FDBC5F91F6A}" name="C45" dataDxfId="73"/>
    <tableColumn id="60" xr3:uid="{B32091E3-23E2-4838-B370-F5F4F6AF4391}" name="C46" dataDxfId="72"/>
    <tableColumn id="61" xr3:uid="{941493BE-7E41-40EB-A92A-13E61CA793DF}" name="C47" dataDxfId="71"/>
    <tableColumn id="62" xr3:uid="{624092EB-DE2D-4103-9DC8-D735247BE38A}" name="C48" dataDxfId="70"/>
    <tableColumn id="63" xr3:uid="{C341EF51-157C-40D4-BAAB-7C160B7054C1}" name="C49" dataDxfId="69"/>
    <tableColumn id="64" xr3:uid="{DA4D28A5-88DF-4407-AC1D-C4D1E96BB2BD}" name="C50" dataDxfId="68"/>
    <tableColumn id="65" xr3:uid="{718614D1-EAA2-417F-8582-419F6FC18C4F}" name="C51" dataDxfId="67"/>
    <tableColumn id="66" xr3:uid="{67253AB3-C9EC-48C3-AEC5-8D53411CA06F}" name="C52" dataDxfId="66"/>
    <tableColumn id="67" xr3:uid="{5EBAF0C3-6EC7-4A9B-9FA3-C1CA444A0E60}" name="C53" dataDxfId="65"/>
    <tableColumn id="68" xr3:uid="{D6C0FAE2-93FB-4C8B-A3F0-F0F163FBA4B9}" name="C54" dataDxfId="64"/>
    <tableColumn id="69" xr3:uid="{0417A7FC-6F57-4FC6-B561-A4886A53AC9E}" name="C55" dataDxfId="63"/>
  </tableColumns>
  <tableStyleInfo name="TableStyleLight14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978040-378B-44A7-A370-D6D8D3A5BB83}" name="TabRessources" displayName="TabRessources" ref="B8:M29" totalsRowShown="0" headerRowDxfId="59" dataDxfId="58">
  <autoFilter ref="B8:M29" xr:uid="{93978040-378B-44A7-A370-D6D8D3A5BB8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2F146574-BA5B-401C-9840-E3B0EDCB9FF8}" name="ID" dataDxfId="57"/>
    <tableColumn id="2" xr3:uid="{0A2F1EAA-514E-48A0-85C6-40CCBC89800D}" name="Nom" dataDxfId="56"/>
    <tableColumn id="3" xr3:uid="{39DAF2E1-08D8-4417-8B18-55FF9AB05155}" name="Rôle" dataDxfId="55"/>
    <tableColumn id="4" xr3:uid="{FC891D65-1FFB-4C70-9F8A-9075401EFDAA}" name="Adresse email" dataDxfId="54"/>
    <tableColumn id="5" xr3:uid="{92A95227-A4F0-42DC-B2D4-5F92A23D39EF}" name="Téléphone" dataDxfId="53"/>
    <tableColumn id="6" xr3:uid="{02932C60-4256-4516-AEC8-39FF199019C5}" name="Disponibilité (%)" dataDxfId="52"/>
    <tableColumn id="7" xr3:uid="{252D1288-0ED7-436A-BE13-0D6389ED1A00}" name="De" dataDxfId="51"/>
    <tableColumn id="8" xr3:uid="{0266EA2B-E6AC-4AD9-93DB-74155AA7B0FC}" name="A" dataDxfId="50"/>
    <tableColumn id="9" xr3:uid="{A534327B-3FAE-4E75-B340-EBB61018E944}" name="Dispo en jours" dataDxfId="49">
      <calculatedColumnFormula>(NETWORKDAYS(TabRessources[[#This Row],[De]],TabRessources[[#This Row],[A]])-TabRessources[[#This Row],[Congés]])*TabRessources[[#This Row],[Disponibilité (%)]]</calculatedColumnFormula>
    </tableColumn>
    <tableColumn id="10" xr3:uid="{74183D52-2B2B-4439-8AA1-0B05CFC7CDD7}" name="Jours planifiés" dataDxfId="48">
      <calculatedColumnFormula>SUMIF(TabProjet[Attribuée à],TabRessources[[#This Row],[Nom]],TabProjet[Charge en J])</calculatedColumnFormula>
    </tableColumn>
    <tableColumn id="11" xr3:uid="{77B32740-E5C3-49AE-9E1D-2D08E467B590}" name="Charge %" dataDxfId="47">
      <calculatedColumnFormula>TabRessources[[#This Row],[Jours planifiés]]/TabRessources[[#This Row],[Dispo en jours]]</calculatedColumnFormula>
    </tableColumn>
    <tableColumn id="12" xr3:uid="{0C278DBD-E61F-432E-A0C8-04CE4B02314F}" name="Congés" dataDxfId="46"/>
  </tableColumns>
  <tableStyleInfo name="TableStyleLight14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3F210-AA72-4E4F-8C81-A40297988F38}" name="TabMonthYearTheme" displayName="TabMonthYearTheme" ref="AP8:AP10" totalsRowShown="0" headerRowDxfId="45" dataDxfId="44">
  <autoFilter ref="AP8:AP10" xr:uid="{3253F210-AA72-4E4F-8C81-A40297988F38}">
    <filterColumn colId="0" hiddenButton="1"/>
  </autoFilter>
  <tableColumns count="1">
    <tableColumn id="1" xr3:uid="{E4B9B9C9-4A8A-4CC5-9DE7-282289B33A24}" name="Thème En tête" dataDxfId="43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39C064-9A60-465D-93B2-CEA0134111AB}" name="TabOffDays" displayName="TabOffDays" ref="F9:G20" totalsRowShown="0" headerRowDxfId="42" dataDxfId="41">
  <autoFilter ref="F9:G20" xr:uid="{9039C064-9A60-465D-93B2-CEA0134111AB}">
    <filterColumn colId="0" hiddenButton="1"/>
    <filterColumn colId="1" hiddenButton="1"/>
  </autoFilter>
  <tableColumns count="2">
    <tableColumn id="1" xr3:uid="{9C09A659-7942-4217-B871-10C3086E0A90}" name="Jour férié" dataDxfId="40"/>
    <tableColumn id="2" xr3:uid="{649B3904-9FE1-49EE-8314-92C233A88246}" name="Date" dataDxfId="39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AE7077-BCA7-47B4-BE33-871A2B6DE0BB}" name="TabTheme" displayName="TabTheme" ref="B9:D13" totalsRowShown="0" headerRowDxfId="38" tableBorderDxfId="37">
  <autoFilter ref="B9:D13" xr:uid="{A3AE7077-BCA7-47B4-BE33-871A2B6DE0BB}">
    <filterColumn colId="0" hiddenButton="1"/>
    <filterColumn colId="1" hiddenButton="1"/>
    <filterColumn colId="2" hiddenButton="1"/>
  </autoFilter>
  <tableColumns count="3">
    <tableColumn id="1" xr3:uid="{89CB2397-5491-47E2-B604-4D9ADEEC4FE1}" name="Libellé" dataDxfId="36"/>
    <tableColumn id="2" xr3:uid="{7C385A6C-B288-4FBE-9A81-BC18C7F9256B}" name="Couleur du % réalisé" dataDxfId="35"/>
    <tableColumn id="3" xr3:uid="{BA2BED1D-DB7E-49A2-A902-97B63C252F93}" name="Couleur du % restant" dataDxfId="34"/>
  </tableColumns>
  <tableStyleInfo name="TableStyleLight14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3B2AA-8936-40E1-9308-2768BB980A54}" name="TabLangue" displayName="TabLangue" ref="A1:B182" totalsRowShown="0" headerRowDxfId="31" dataDxfId="30">
  <autoFilter ref="A1:B182" xr:uid="{B193B2AA-8936-40E1-9308-2768BB980A54}"/>
  <sortState xmlns:xlrd2="http://schemas.microsoft.com/office/spreadsheetml/2017/richdata2" ref="A2:B47">
    <sortCondition ref="A1:A47"/>
  </sortState>
  <tableColumns count="2">
    <tableColumn id="1" xr3:uid="{016788BC-7B55-4BFE-A6B7-984D8B3AA09B}" name="Français" dataDxfId="29"/>
    <tableColumn id="2" xr3:uid="{B140B66A-6DC3-4F4C-AD03-E91D3D93BFAD}" name="Anglais" dataDxfId="2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A22A46-F5BD-48C2-9858-E8CCD6EF60F2}" name="TabLang" displayName="TabLang" ref="F1:F3" totalsRowShown="0">
  <autoFilter ref="F1:F3" xr:uid="{52A22A46-F5BD-48C2-9858-E8CCD6EF60F2}"/>
  <tableColumns count="1">
    <tableColumn id="1" xr3:uid="{78D7EE77-9D5E-4677-A92E-E8B7582D7E8F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9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89A76-7A94-4732-B0DC-80CCE068BC4C}">
  <sheetPr codeName="ShGuide">
    <tabColor theme="5" tint="0.39997558519241921"/>
  </sheetPr>
  <dimension ref="B1:R389"/>
  <sheetViews>
    <sheetView showGridLines="0" workbookViewId="0">
      <selection activeCell="M12" sqref="M12"/>
    </sheetView>
  </sheetViews>
  <sheetFormatPr baseColWidth="10" defaultColWidth="8.88671875" defaultRowHeight="14.4" x14ac:dyDescent="0.3"/>
  <cols>
    <col min="1" max="1" width="2.33203125" customWidth="1"/>
    <col min="2" max="2" width="3.5546875" customWidth="1"/>
    <col min="6" max="6" width="20" customWidth="1"/>
    <col min="7" max="8" width="11.33203125" customWidth="1"/>
    <col min="9" max="9" width="13.6640625" customWidth="1"/>
    <col min="10" max="11" width="20" customWidth="1"/>
    <col min="13" max="13" width="20.33203125" customWidth="1"/>
    <col min="14" max="14" width="19.6640625" customWidth="1"/>
  </cols>
  <sheetData>
    <row r="1" spans="2:14" ht="18" customHeight="1" x14ac:dyDescent="0.3">
      <c r="F1" s="1"/>
      <c r="G1" s="1"/>
      <c r="H1" s="1"/>
      <c r="I1" s="1"/>
      <c r="J1" s="1"/>
      <c r="K1" s="1"/>
      <c r="L1" s="1"/>
      <c r="M1" s="13" t="s">
        <v>95</v>
      </c>
      <c r="N1" s="9">
        <v>44893</v>
      </c>
    </row>
    <row r="2" spans="2:14" ht="18" customHeight="1" x14ac:dyDescent="0.3">
      <c r="F2" s="1"/>
      <c r="G2" s="1"/>
      <c r="H2" s="1"/>
      <c r="I2" s="1"/>
      <c r="J2" s="1"/>
      <c r="K2" s="1"/>
      <c r="L2" s="1"/>
      <c r="M2" s="13" t="s">
        <v>96</v>
      </c>
      <c r="N2" s="8"/>
    </row>
    <row r="3" spans="2:14" ht="18" customHeight="1" thickBot="1" x14ac:dyDescent="0.35">
      <c r="F3" s="1"/>
      <c r="G3" s="1"/>
      <c r="H3" s="1"/>
      <c r="I3" s="1"/>
      <c r="J3" s="1"/>
      <c r="K3" s="1"/>
      <c r="L3" s="1"/>
      <c r="M3" s="12" t="s">
        <v>97</v>
      </c>
      <c r="N3" s="8" t="s">
        <v>98</v>
      </c>
    </row>
    <row r="4" spans="2:14" ht="28.95" customHeight="1" thickTop="1" thickBot="1" x14ac:dyDescent="0.35">
      <c r="B4" s="7"/>
      <c r="C4" s="7" t="s">
        <v>153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2:14" ht="15" thickTop="1" x14ac:dyDescent="0.3"/>
    <row r="6" spans="2:14" ht="18" x14ac:dyDescent="0.3">
      <c r="B6" s="47" t="s">
        <v>202</v>
      </c>
    </row>
    <row r="7" spans="2:14" ht="15.6" x14ac:dyDescent="0.3">
      <c r="B7" s="48" t="s">
        <v>203</v>
      </c>
    </row>
    <row r="21" spans="2:18" ht="18" x14ac:dyDescent="0.35">
      <c r="B21" s="49" t="s">
        <v>204</v>
      </c>
      <c r="C21" s="50"/>
      <c r="D21" s="50"/>
      <c r="E21" s="50"/>
      <c r="F21" s="50"/>
      <c r="G21" s="50"/>
      <c r="H21" s="50"/>
      <c r="I21" s="50"/>
      <c r="J21" s="50"/>
      <c r="K21" s="50"/>
      <c r="L21" s="51"/>
      <c r="M21" s="51"/>
      <c r="N21" s="51"/>
      <c r="O21" s="51"/>
      <c r="P21" s="51"/>
      <c r="Q21" s="51"/>
      <c r="R21" s="51"/>
    </row>
    <row r="22" spans="2:18" ht="39.6" customHeight="1" x14ac:dyDescent="0.3">
      <c r="B22" s="122" t="s">
        <v>205</v>
      </c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</row>
    <row r="28" spans="2:18" ht="21" x14ac:dyDescent="0.3">
      <c r="B28" s="52" t="s">
        <v>206</v>
      </c>
    </row>
    <row r="29" spans="2:18" ht="18" x14ac:dyDescent="0.3">
      <c r="B29" s="53" t="s">
        <v>207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</row>
    <row r="30" spans="2:18" ht="15.6" customHeight="1" x14ac:dyDescent="0.3">
      <c r="B30" s="54" t="s">
        <v>208</v>
      </c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</row>
    <row r="31" spans="2:18" ht="15.6" customHeight="1" x14ac:dyDescent="0.3">
      <c r="B31" s="54" t="s">
        <v>209</v>
      </c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</row>
    <row r="52" spans="2:2" ht="15.6" x14ac:dyDescent="0.3">
      <c r="B52" s="54" t="s">
        <v>210</v>
      </c>
    </row>
    <row r="69" spans="2:2" ht="15.6" x14ac:dyDescent="0.3">
      <c r="B69" s="54" t="s">
        <v>211</v>
      </c>
    </row>
    <row r="70" spans="2:2" ht="15.6" x14ac:dyDescent="0.3">
      <c r="B70" s="54" t="s">
        <v>212</v>
      </c>
    </row>
    <row r="84" spans="2:2" ht="15.6" x14ac:dyDescent="0.3">
      <c r="B84" s="54" t="s">
        <v>213</v>
      </c>
    </row>
    <row r="85" spans="2:2" ht="15.6" x14ac:dyDescent="0.3">
      <c r="B85" s="54"/>
    </row>
    <row r="86" spans="2:2" ht="15.6" x14ac:dyDescent="0.3">
      <c r="B86" s="54" t="s">
        <v>214</v>
      </c>
    </row>
    <row r="87" spans="2:2" ht="15.6" x14ac:dyDescent="0.3">
      <c r="B87" s="54" t="s">
        <v>215</v>
      </c>
    </row>
    <row r="88" spans="2:2" ht="15.6" x14ac:dyDescent="0.3">
      <c r="B88" s="54"/>
    </row>
    <row r="89" spans="2:2" ht="15.6" x14ac:dyDescent="0.3">
      <c r="B89" s="54"/>
    </row>
    <row r="90" spans="2:2" ht="15.6" x14ac:dyDescent="0.3">
      <c r="B90" s="54"/>
    </row>
    <row r="91" spans="2:2" ht="15.6" x14ac:dyDescent="0.3">
      <c r="B91" s="54"/>
    </row>
    <row r="92" spans="2:2" ht="15.6" x14ac:dyDescent="0.3">
      <c r="B92" s="54"/>
    </row>
    <row r="93" spans="2:2" ht="15.6" x14ac:dyDescent="0.3">
      <c r="B93" s="54"/>
    </row>
    <row r="94" spans="2:2" ht="15.6" x14ac:dyDescent="0.3">
      <c r="B94" s="54"/>
    </row>
    <row r="95" spans="2:2" ht="15.6" x14ac:dyDescent="0.3">
      <c r="B95" s="54"/>
    </row>
    <row r="96" spans="2:2" ht="15.6" x14ac:dyDescent="0.3">
      <c r="B96" s="54"/>
    </row>
    <row r="97" spans="2:2" ht="15.6" x14ac:dyDescent="0.3">
      <c r="B97" s="54"/>
    </row>
    <row r="98" spans="2:2" ht="15.6" x14ac:dyDescent="0.3">
      <c r="B98" s="54"/>
    </row>
    <row r="99" spans="2:2" ht="15.6" x14ac:dyDescent="0.3">
      <c r="B99" s="54"/>
    </row>
    <row r="100" spans="2:2" ht="15.6" x14ac:dyDescent="0.3">
      <c r="B100" s="54"/>
    </row>
    <row r="101" spans="2:2" ht="15.6" x14ac:dyDescent="0.3">
      <c r="B101" s="54"/>
    </row>
    <row r="102" spans="2:2" ht="15.6" x14ac:dyDescent="0.3">
      <c r="B102" s="54"/>
    </row>
    <row r="103" spans="2:2" ht="15.6" x14ac:dyDescent="0.3">
      <c r="B103" s="54"/>
    </row>
    <row r="104" spans="2:2" ht="15.6" x14ac:dyDescent="0.3">
      <c r="B104" s="54"/>
    </row>
    <row r="105" spans="2:2" ht="15.6" x14ac:dyDescent="0.3">
      <c r="B105" s="54" t="s">
        <v>216</v>
      </c>
    </row>
    <row r="106" spans="2:2" ht="15.6" x14ac:dyDescent="0.3">
      <c r="B106" s="54"/>
    </row>
    <row r="107" spans="2:2" ht="15.6" x14ac:dyDescent="0.3">
      <c r="B107" s="54" t="s">
        <v>217</v>
      </c>
    </row>
    <row r="121" spans="2:2" ht="15.6" x14ac:dyDescent="0.3">
      <c r="B121" s="54" t="s">
        <v>218</v>
      </c>
    </row>
    <row r="134" spans="2:2" ht="18" x14ac:dyDescent="0.3">
      <c r="B134" s="53" t="s">
        <v>219</v>
      </c>
    </row>
    <row r="135" spans="2:2" ht="15.6" x14ac:dyDescent="0.3">
      <c r="B135" s="54" t="s">
        <v>220</v>
      </c>
    </row>
    <row r="150" spans="2:2" ht="15.6" x14ac:dyDescent="0.3">
      <c r="B150" s="54" t="s">
        <v>221</v>
      </c>
    </row>
    <row r="151" spans="2:2" ht="15.6" x14ac:dyDescent="0.3">
      <c r="B151" s="54" t="s">
        <v>222</v>
      </c>
    </row>
    <row r="153" spans="2:2" ht="18" x14ac:dyDescent="0.3">
      <c r="B153" s="53" t="s">
        <v>223</v>
      </c>
    </row>
    <row r="154" spans="2:2" ht="15.6" x14ac:dyDescent="0.3">
      <c r="B154" s="54" t="s">
        <v>224</v>
      </c>
    </row>
    <row r="155" spans="2:2" ht="15.6" x14ac:dyDescent="0.3">
      <c r="B155" s="54"/>
    </row>
    <row r="156" spans="2:2" ht="15.6" x14ac:dyDescent="0.3">
      <c r="B156" s="54"/>
    </row>
    <row r="164" spans="2:2" ht="15.6" x14ac:dyDescent="0.3">
      <c r="B164" s="54" t="s">
        <v>225</v>
      </c>
    </row>
    <row r="165" spans="2:2" ht="15.6" x14ac:dyDescent="0.3">
      <c r="B165" s="54" t="s">
        <v>226</v>
      </c>
    </row>
    <row r="166" spans="2:2" ht="15.6" x14ac:dyDescent="0.3">
      <c r="B166" s="54" t="s">
        <v>227</v>
      </c>
    </row>
    <row r="167" spans="2:2" ht="15.6" x14ac:dyDescent="0.3">
      <c r="B167" s="54"/>
    </row>
    <row r="168" spans="2:2" ht="15.6" x14ac:dyDescent="0.3">
      <c r="B168" s="54" t="s">
        <v>228</v>
      </c>
    </row>
    <row r="169" spans="2:2" ht="15.6" x14ac:dyDescent="0.3">
      <c r="B169" s="54"/>
    </row>
    <row r="170" spans="2:2" ht="15.6" x14ac:dyDescent="0.3">
      <c r="B170" s="54"/>
    </row>
    <row r="171" spans="2:2" ht="15.6" x14ac:dyDescent="0.3">
      <c r="B171" s="54"/>
    </row>
    <row r="172" spans="2:2" ht="15.6" x14ac:dyDescent="0.3">
      <c r="B172" s="54"/>
    </row>
    <row r="173" spans="2:2" ht="15.6" x14ac:dyDescent="0.3">
      <c r="B173" s="54"/>
    </row>
    <row r="174" spans="2:2" ht="15.6" x14ac:dyDescent="0.3">
      <c r="B174" s="54"/>
    </row>
    <row r="175" spans="2:2" ht="15.6" x14ac:dyDescent="0.3">
      <c r="B175" s="54"/>
    </row>
    <row r="176" spans="2:2" ht="15.6" x14ac:dyDescent="0.3">
      <c r="B176" s="54"/>
    </row>
    <row r="177" spans="2:2" ht="15.6" x14ac:dyDescent="0.3">
      <c r="B177" s="54"/>
    </row>
    <row r="178" spans="2:2" ht="15.6" x14ac:dyDescent="0.3">
      <c r="B178" s="54"/>
    </row>
    <row r="179" spans="2:2" ht="15.6" x14ac:dyDescent="0.3">
      <c r="B179" s="54"/>
    </row>
    <row r="180" spans="2:2" ht="15.6" x14ac:dyDescent="0.3">
      <c r="B180" s="54"/>
    </row>
    <row r="181" spans="2:2" ht="18" x14ac:dyDescent="0.3">
      <c r="B181" s="53" t="s">
        <v>229</v>
      </c>
    </row>
    <row r="182" spans="2:2" ht="15.6" x14ac:dyDescent="0.3">
      <c r="B182" s="54" t="s">
        <v>230</v>
      </c>
    </row>
    <row r="183" spans="2:2" ht="15.6" x14ac:dyDescent="0.3">
      <c r="B183" s="54"/>
    </row>
    <row r="184" spans="2:2" ht="15.6" x14ac:dyDescent="0.3">
      <c r="B184" s="54"/>
    </row>
    <row r="185" spans="2:2" ht="15.6" x14ac:dyDescent="0.3">
      <c r="B185" s="54"/>
    </row>
    <row r="186" spans="2:2" ht="15.6" x14ac:dyDescent="0.3">
      <c r="B186" s="54"/>
    </row>
    <row r="187" spans="2:2" ht="15.6" x14ac:dyDescent="0.3">
      <c r="B187" s="54"/>
    </row>
    <row r="188" spans="2:2" ht="15.6" x14ac:dyDescent="0.3">
      <c r="B188" s="54"/>
    </row>
    <row r="189" spans="2:2" ht="15.6" x14ac:dyDescent="0.3">
      <c r="B189" s="54"/>
    </row>
    <row r="190" spans="2:2" ht="15.6" x14ac:dyDescent="0.3">
      <c r="B190" s="54"/>
    </row>
    <row r="191" spans="2:2" ht="15.6" x14ac:dyDescent="0.3">
      <c r="B191" s="54"/>
    </row>
    <row r="192" spans="2:2" ht="15.6" x14ac:dyDescent="0.3">
      <c r="B192" s="54"/>
    </row>
    <row r="193" spans="2:2" ht="15.6" x14ac:dyDescent="0.3">
      <c r="B193" s="54"/>
    </row>
    <row r="194" spans="2:2" ht="15.6" x14ac:dyDescent="0.3">
      <c r="B194" s="54"/>
    </row>
    <row r="195" spans="2:2" ht="15.6" x14ac:dyDescent="0.3">
      <c r="B195" s="54"/>
    </row>
    <row r="196" spans="2:2" ht="15.6" x14ac:dyDescent="0.3">
      <c r="B196" s="54" t="s">
        <v>231</v>
      </c>
    </row>
    <row r="197" spans="2:2" ht="15.6" x14ac:dyDescent="0.3">
      <c r="B197" s="54" t="s">
        <v>232</v>
      </c>
    </row>
    <row r="198" spans="2:2" ht="15.6" x14ac:dyDescent="0.3">
      <c r="B198" s="54"/>
    </row>
    <row r="199" spans="2:2" ht="15.6" x14ac:dyDescent="0.3">
      <c r="B199" s="54"/>
    </row>
    <row r="200" spans="2:2" ht="15.6" x14ac:dyDescent="0.3">
      <c r="B200" s="54"/>
    </row>
    <row r="201" spans="2:2" ht="15.6" x14ac:dyDescent="0.3">
      <c r="B201" s="54"/>
    </row>
    <row r="202" spans="2:2" ht="15.6" x14ac:dyDescent="0.3">
      <c r="B202" s="54"/>
    </row>
    <row r="203" spans="2:2" ht="15.6" x14ac:dyDescent="0.3">
      <c r="B203" s="54"/>
    </row>
    <row r="204" spans="2:2" ht="15.6" x14ac:dyDescent="0.3">
      <c r="B204" s="54"/>
    </row>
    <row r="205" spans="2:2" ht="15.6" x14ac:dyDescent="0.3">
      <c r="B205" s="54"/>
    </row>
    <row r="206" spans="2:2" ht="15.6" x14ac:dyDescent="0.3">
      <c r="B206" s="54"/>
    </row>
    <row r="207" spans="2:2" ht="15.6" x14ac:dyDescent="0.3">
      <c r="B207" s="54"/>
    </row>
    <row r="208" spans="2:2" ht="15.6" x14ac:dyDescent="0.3">
      <c r="B208" s="54"/>
    </row>
    <row r="209" spans="2:2" ht="15.6" x14ac:dyDescent="0.3">
      <c r="B209" s="54"/>
    </row>
    <row r="210" spans="2:2" ht="15.6" x14ac:dyDescent="0.3">
      <c r="B210" s="54"/>
    </row>
    <row r="211" spans="2:2" ht="15.6" x14ac:dyDescent="0.3">
      <c r="B211" s="54"/>
    </row>
    <row r="212" spans="2:2" ht="15.6" x14ac:dyDescent="0.3">
      <c r="B212" s="54"/>
    </row>
    <row r="213" spans="2:2" ht="15.6" x14ac:dyDescent="0.3">
      <c r="B213" s="54"/>
    </row>
    <row r="214" spans="2:2" ht="15.6" x14ac:dyDescent="0.3">
      <c r="B214" s="54"/>
    </row>
    <row r="215" spans="2:2" ht="15.6" x14ac:dyDescent="0.3">
      <c r="B215" s="54"/>
    </row>
    <row r="216" spans="2:2" ht="15.6" x14ac:dyDescent="0.3">
      <c r="B216" s="54"/>
    </row>
    <row r="217" spans="2:2" ht="15.6" x14ac:dyDescent="0.3">
      <c r="B217" s="54" t="s">
        <v>233</v>
      </c>
    </row>
    <row r="218" spans="2:2" ht="15.6" x14ac:dyDescent="0.3">
      <c r="B218" s="54"/>
    </row>
    <row r="219" spans="2:2" ht="15.6" x14ac:dyDescent="0.3">
      <c r="B219" s="54"/>
    </row>
    <row r="220" spans="2:2" ht="15.6" x14ac:dyDescent="0.3">
      <c r="B220" s="54"/>
    </row>
    <row r="221" spans="2:2" ht="15.6" x14ac:dyDescent="0.3">
      <c r="B221" s="54"/>
    </row>
    <row r="222" spans="2:2" ht="15.6" x14ac:dyDescent="0.3">
      <c r="B222" s="54"/>
    </row>
    <row r="223" spans="2:2" ht="15.6" x14ac:dyDescent="0.3">
      <c r="B223" s="54"/>
    </row>
    <row r="224" spans="2:2" ht="15.6" x14ac:dyDescent="0.3">
      <c r="B224" s="54"/>
    </row>
    <row r="225" spans="2:2" ht="15.6" x14ac:dyDescent="0.3">
      <c r="B225" s="54"/>
    </row>
    <row r="226" spans="2:2" ht="15.6" x14ac:dyDescent="0.3">
      <c r="B226" s="54"/>
    </row>
    <row r="227" spans="2:2" ht="15.6" x14ac:dyDescent="0.3">
      <c r="B227" s="54"/>
    </row>
    <row r="228" spans="2:2" ht="15.6" x14ac:dyDescent="0.3">
      <c r="B228" s="54"/>
    </row>
    <row r="229" spans="2:2" ht="15.6" x14ac:dyDescent="0.3">
      <c r="B229" s="54"/>
    </row>
    <row r="230" spans="2:2" ht="15.6" x14ac:dyDescent="0.3">
      <c r="B230" s="54"/>
    </row>
    <row r="231" spans="2:2" ht="15.6" x14ac:dyDescent="0.3">
      <c r="B231" s="54"/>
    </row>
    <row r="232" spans="2:2" ht="15.6" x14ac:dyDescent="0.3">
      <c r="B232" s="54"/>
    </row>
    <row r="233" spans="2:2" ht="18" x14ac:dyDescent="0.3">
      <c r="B233" s="53" t="s">
        <v>234</v>
      </c>
    </row>
    <row r="234" spans="2:2" ht="15.6" x14ac:dyDescent="0.3">
      <c r="B234" s="54" t="s">
        <v>235</v>
      </c>
    </row>
    <row r="235" spans="2:2" ht="15.6" x14ac:dyDescent="0.3">
      <c r="B235" s="54" t="s">
        <v>236</v>
      </c>
    </row>
    <row r="236" spans="2:2" ht="15.6" x14ac:dyDescent="0.3">
      <c r="B236" s="54" t="s">
        <v>237</v>
      </c>
    </row>
    <row r="237" spans="2:2" ht="15.6" x14ac:dyDescent="0.3">
      <c r="B237" s="54"/>
    </row>
    <row r="238" spans="2:2" ht="15.6" x14ac:dyDescent="0.3">
      <c r="B238" s="54"/>
    </row>
    <row r="239" spans="2:2" ht="15.6" x14ac:dyDescent="0.3">
      <c r="B239" s="54"/>
    </row>
    <row r="240" spans="2:2" ht="15.6" x14ac:dyDescent="0.3">
      <c r="B240" s="54"/>
    </row>
    <row r="241" spans="2:2" ht="15.6" x14ac:dyDescent="0.3">
      <c r="B241" s="54"/>
    </row>
    <row r="242" spans="2:2" ht="15.6" x14ac:dyDescent="0.3">
      <c r="B242" s="54"/>
    </row>
    <row r="243" spans="2:2" ht="15.6" x14ac:dyDescent="0.3">
      <c r="B243" s="54"/>
    </row>
    <row r="244" spans="2:2" ht="15.6" x14ac:dyDescent="0.3">
      <c r="B244" s="54"/>
    </row>
    <row r="245" spans="2:2" ht="15.6" x14ac:dyDescent="0.3">
      <c r="B245" s="54"/>
    </row>
    <row r="246" spans="2:2" ht="15.6" x14ac:dyDescent="0.3">
      <c r="B246" s="54"/>
    </row>
    <row r="247" spans="2:2" ht="15.6" x14ac:dyDescent="0.3">
      <c r="B247" s="54"/>
    </row>
    <row r="248" spans="2:2" ht="15.6" x14ac:dyDescent="0.3">
      <c r="B248" s="54"/>
    </row>
    <row r="249" spans="2:2" ht="15.6" x14ac:dyDescent="0.3">
      <c r="B249" s="54" t="s">
        <v>238</v>
      </c>
    </row>
    <row r="250" spans="2:2" ht="15.6" x14ac:dyDescent="0.3">
      <c r="B250" s="54"/>
    </row>
    <row r="251" spans="2:2" ht="15.6" x14ac:dyDescent="0.3">
      <c r="B251" s="54"/>
    </row>
    <row r="252" spans="2:2" ht="15.6" x14ac:dyDescent="0.3">
      <c r="B252" s="54"/>
    </row>
    <row r="253" spans="2:2" ht="15.6" x14ac:dyDescent="0.3">
      <c r="B253" s="54"/>
    </row>
    <row r="254" spans="2:2" ht="15.6" x14ac:dyDescent="0.3">
      <c r="B254" s="54"/>
    </row>
    <row r="255" spans="2:2" ht="15.6" x14ac:dyDescent="0.3">
      <c r="B255" s="54"/>
    </row>
    <row r="256" spans="2:2" ht="15.6" x14ac:dyDescent="0.3">
      <c r="B256" s="54"/>
    </row>
    <row r="257" spans="2:2" ht="15.6" x14ac:dyDescent="0.3">
      <c r="B257" s="54"/>
    </row>
    <row r="258" spans="2:2" ht="15.6" x14ac:dyDescent="0.3">
      <c r="B258" s="54"/>
    </row>
    <row r="259" spans="2:2" ht="15.6" x14ac:dyDescent="0.3">
      <c r="B259" s="54"/>
    </row>
    <row r="260" spans="2:2" ht="15.6" x14ac:dyDescent="0.3">
      <c r="B260" s="54"/>
    </row>
    <row r="261" spans="2:2" ht="15.6" x14ac:dyDescent="0.3">
      <c r="B261" s="54"/>
    </row>
    <row r="262" spans="2:2" ht="15.6" x14ac:dyDescent="0.3">
      <c r="B262" s="54"/>
    </row>
    <row r="263" spans="2:2" ht="15.6" x14ac:dyDescent="0.3">
      <c r="B263" s="54" t="s">
        <v>239</v>
      </c>
    </row>
    <row r="265" spans="2:2" ht="15.6" x14ac:dyDescent="0.3">
      <c r="B265" s="54"/>
    </row>
    <row r="266" spans="2:2" ht="15.6" x14ac:dyDescent="0.3">
      <c r="B266" s="54"/>
    </row>
    <row r="267" spans="2:2" ht="15.6" x14ac:dyDescent="0.3">
      <c r="B267" s="54"/>
    </row>
    <row r="268" spans="2:2" ht="15.6" x14ac:dyDescent="0.3">
      <c r="B268" s="54"/>
    </row>
    <row r="269" spans="2:2" ht="15.6" x14ac:dyDescent="0.3">
      <c r="B269" s="54"/>
    </row>
    <row r="270" spans="2:2" ht="15.6" x14ac:dyDescent="0.3">
      <c r="B270" s="54"/>
    </row>
    <row r="271" spans="2:2" ht="15.6" x14ac:dyDescent="0.3">
      <c r="B271" s="54"/>
    </row>
    <row r="272" spans="2:2" ht="15.6" x14ac:dyDescent="0.3">
      <c r="B272" s="54"/>
    </row>
    <row r="273" spans="2:2" ht="15.6" x14ac:dyDescent="0.3">
      <c r="B273" s="54"/>
    </row>
    <row r="274" spans="2:2" ht="15.6" x14ac:dyDescent="0.3">
      <c r="B274" s="54"/>
    </row>
    <row r="275" spans="2:2" ht="15.6" x14ac:dyDescent="0.3">
      <c r="B275" s="54"/>
    </row>
    <row r="276" spans="2:2" ht="15.6" x14ac:dyDescent="0.3">
      <c r="B276" s="54"/>
    </row>
    <row r="277" spans="2:2" ht="15.6" x14ac:dyDescent="0.3">
      <c r="B277" s="54"/>
    </row>
    <row r="278" spans="2:2" ht="15.6" x14ac:dyDescent="0.3">
      <c r="B278" s="54"/>
    </row>
    <row r="279" spans="2:2" ht="15.6" x14ac:dyDescent="0.3">
      <c r="B279" s="54"/>
    </row>
    <row r="280" spans="2:2" ht="15.6" x14ac:dyDescent="0.3">
      <c r="B280" s="54"/>
    </row>
    <row r="281" spans="2:2" ht="15.6" x14ac:dyDescent="0.3">
      <c r="B281" s="54"/>
    </row>
    <row r="282" spans="2:2" ht="15.6" x14ac:dyDescent="0.3">
      <c r="B282" s="54"/>
    </row>
    <row r="283" spans="2:2" ht="15.6" x14ac:dyDescent="0.3">
      <c r="B283" s="54"/>
    </row>
    <row r="284" spans="2:2" ht="15.6" x14ac:dyDescent="0.3">
      <c r="B284" s="54"/>
    </row>
    <row r="285" spans="2:2" ht="15.6" x14ac:dyDescent="0.3">
      <c r="B285" s="54"/>
    </row>
    <row r="286" spans="2:2" ht="15.6" x14ac:dyDescent="0.3">
      <c r="B286" s="54"/>
    </row>
    <row r="287" spans="2:2" ht="15.6" x14ac:dyDescent="0.3">
      <c r="B287" s="54"/>
    </row>
    <row r="288" spans="2:2" ht="15.6" x14ac:dyDescent="0.3">
      <c r="B288" s="54"/>
    </row>
    <row r="289" spans="2:2" ht="15.6" x14ac:dyDescent="0.3">
      <c r="B289" s="54"/>
    </row>
    <row r="290" spans="2:2" ht="15.6" x14ac:dyDescent="0.3">
      <c r="B290" s="54"/>
    </row>
    <row r="291" spans="2:2" ht="15.6" x14ac:dyDescent="0.3">
      <c r="B291" s="54"/>
    </row>
    <row r="292" spans="2:2" ht="15.6" x14ac:dyDescent="0.3">
      <c r="B292" s="54"/>
    </row>
    <row r="293" spans="2:2" ht="15.6" x14ac:dyDescent="0.3">
      <c r="B293" s="54"/>
    </row>
    <row r="294" spans="2:2" ht="15.6" x14ac:dyDescent="0.3">
      <c r="B294" s="54"/>
    </row>
    <row r="295" spans="2:2" ht="15.6" x14ac:dyDescent="0.3">
      <c r="B295" s="54"/>
    </row>
    <row r="296" spans="2:2" ht="15.6" x14ac:dyDescent="0.3">
      <c r="B296" s="54"/>
    </row>
    <row r="297" spans="2:2" ht="15.6" x14ac:dyDescent="0.3">
      <c r="B297" s="54"/>
    </row>
    <row r="298" spans="2:2" ht="15.6" x14ac:dyDescent="0.3">
      <c r="B298" s="54"/>
    </row>
    <row r="299" spans="2:2" ht="15.6" x14ac:dyDescent="0.3">
      <c r="B299" s="54"/>
    </row>
    <row r="300" spans="2:2" ht="15.6" x14ac:dyDescent="0.3">
      <c r="B300" s="54"/>
    </row>
    <row r="301" spans="2:2" ht="15.6" x14ac:dyDescent="0.3">
      <c r="B301" s="54"/>
    </row>
    <row r="302" spans="2:2" ht="15.6" x14ac:dyDescent="0.3">
      <c r="B302" s="54"/>
    </row>
    <row r="303" spans="2:2" ht="15.6" x14ac:dyDescent="0.3">
      <c r="B303" s="54"/>
    </row>
    <row r="304" spans="2:2" ht="15.6" x14ac:dyDescent="0.3">
      <c r="B304" s="54"/>
    </row>
    <row r="305" spans="2:2" ht="15.6" x14ac:dyDescent="0.3">
      <c r="B305" s="54"/>
    </row>
    <row r="306" spans="2:2" ht="15.6" x14ac:dyDescent="0.3">
      <c r="B306" s="54"/>
    </row>
    <row r="307" spans="2:2" ht="15.6" x14ac:dyDescent="0.3">
      <c r="B307" s="54"/>
    </row>
    <row r="308" spans="2:2" ht="15.6" x14ac:dyDescent="0.3">
      <c r="B308" s="54"/>
    </row>
    <row r="309" spans="2:2" ht="15.6" x14ac:dyDescent="0.3">
      <c r="B309" s="54"/>
    </row>
    <row r="310" spans="2:2" ht="15.6" x14ac:dyDescent="0.3">
      <c r="B310" s="54"/>
    </row>
    <row r="311" spans="2:2" ht="15.6" x14ac:dyDescent="0.3">
      <c r="B311" s="54"/>
    </row>
    <row r="312" spans="2:2" ht="15.6" x14ac:dyDescent="0.3">
      <c r="B312" s="54"/>
    </row>
    <row r="313" spans="2:2" ht="15.6" x14ac:dyDescent="0.3">
      <c r="B313" s="54"/>
    </row>
    <row r="314" spans="2:2" ht="15.6" x14ac:dyDescent="0.3">
      <c r="B314" s="54"/>
    </row>
    <row r="315" spans="2:2" ht="15.6" x14ac:dyDescent="0.3">
      <c r="B315" s="54"/>
    </row>
    <row r="316" spans="2:2" ht="15.6" x14ac:dyDescent="0.3">
      <c r="B316" s="54"/>
    </row>
    <row r="317" spans="2:2" ht="15.6" x14ac:dyDescent="0.3">
      <c r="B317" s="54"/>
    </row>
    <row r="318" spans="2:2" ht="15.6" x14ac:dyDescent="0.3">
      <c r="B318" s="54"/>
    </row>
    <row r="319" spans="2:2" ht="15.6" x14ac:dyDescent="0.3">
      <c r="B319" s="54"/>
    </row>
    <row r="320" spans="2:2" ht="15.6" x14ac:dyDescent="0.3">
      <c r="B320" s="54"/>
    </row>
    <row r="321" spans="2:2" ht="15.6" x14ac:dyDescent="0.3">
      <c r="B321" s="54"/>
    </row>
    <row r="322" spans="2:2" ht="15.6" x14ac:dyDescent="0.3">
      <c r="B322" s="54"/>
    </row>
    <row r="323" spans="2:2" ht="15.6" x14ac:dyDescent="0.3">
      <c r="B323" s="54"/>
    </row>
    <row r="324" spans="2:2" ht="15.6" x14ac:dyDescent="0.3">
      <c r="B324" s="54"/>
    </row>
    <row r="325" spans="2:2" ht="15.6" x14ac:dyDescent="0.3">
      <c r="B325" s="54"/>
    </row>
    <row r="326" spans="2:2" ht="15.6" x14ac:dyDescent="0.3">
      <c r="B326" s="54"/>
    </row>
    <row r="327" spans="2:2" ht="15.6" x14ac:dyDescent="0.3">
      <c r="B327" s="54"/>
    </row>
    <row r="328" spans="2:2" ht="15.6" x14ac:dyDescent="0.3">
      <c r="B328" s="54"/>
    </row>
    <row r="329" spans="2:2" ht="15.6" x14ac:dyDescent="0.3">
      <c r="B329" s="54"/>
    </row>
    <row r="330" spans="2:2" ht="15.6" x14ac:dyDescent="0.3">
      <c r="B330" s="54"/>
    </row>
    <row r="331" spans="2:2" ht="15.6" x14ac:dyDescent="0.3">
      <c r="B331" s="54"/>
    </row>
    <row r="332" spans="2:2" ht="15.6" x14ac:dyDescent="0.3">
      <c r="B332" s="54"/>
    </row>
    <row r="333" spans="2:2" ht="15.6" x14ac:dyDescent="0.3">
      <c r="B333" s="54"/>
    </row>
    <row r="334" spans="2:2" ht="15.6" x14ac:dyDescent="0.3">
      <c r="B334" s="54"/>
    </row>
    <row r="335" spans="2:2" ht="15.6" x14ac:dyDescent="0.3">
      <c r="B335" s="54"/>
    </row>
    <row r="336" spans="2:2" ht="15.6" x14ac:dyDescent="0.3">
      <c r="B336" s="54"/>
    </row>
    <row r="337" spans="2:2" ht="15.6" x14ac:dyDescent="0.3">
      <c r="B337" s="54"/>
    </row>
    <row r="338" spans="2:2" ht="15.6" x14ac:dyDescent="0.3">
      <c r="B338" s="54"/>
    </row>
    <row r="339" spans="2:2" ht="15.6" x14ac:dyDescent="0.3">
      <c r="B339" s="54"/>
    </row>
    <row r="340" spans="2:2" ht="15.6" x14ac:dyDescent="0.3">
      <c r="B340" s="54"/>
    </row>
    <row r="341" spans="2:2" ht="15.6" x14ac:dyDescent="0.3">
      <c r="B341" s="54"/>
    </row>
    <row r="342" spans="2:2" ht="15.6" x14ac:dyDescent="0.3">
      <c r="B342" s="54"/>
    </row>
    <row r="343" spans="2:2" ht="15.6" x14ac:dyDescent="0.3">
      <c r="B343" s="54"/>
    </row>
    <row r="344" spans="2:2" ht="15.6" x14ac:dyDescent="0.3">
      <c r="B344" s="54"/>
    </row>
    <row r="345" spans="2:2" ht="15.6" x14ac:dyDescent="0.3">
      <c r="B345" s="54"/>
    </row>
    <row r="346" spans="2:2" ht="15.6" x14ac:dyDescent="0.3">
      <c r="B346" s="54"/>
    </row>
    <row r="347" spans="2:2" ht="15.6" x14ac:dyDescent="0.3">
      <c r="B347" s="54"/>
    </row>
    <row r="348" spans="2:2" ht="15.6" x14ac:dyDescent="0.3">
      <c r="B348" s="54"/>
    </row>
    <row r="349" spans="2:2" ht="15.6" x14ac:dyDescent="0.3">
      <c r="B349" s="54"/>
    </row>
    <row r="350" spans="2:2" ht="15.6" x14ac:dyDescent="0.3">
      <c r="B350" s="54"/>
    </row>
    <row r="351" spans="2:2" ht="15.6" x14ac:dyDescent="0.3">
      <c r="B351" s="54"/>
    </row>
    <row r="352" spans="2:2" ht="15.6" x14ac:dyDescent="0.3">
      <c r="B352" s="54"/>
    </row>
    <row r="353" spans="2:2" ht="15.6" x14ac:dyDescent="0.3">
      <c r="B353" s="54"/>
    </row>
    <row r="354" spans="2:2" ht="15.6" x14ac:dyDescent="0.3">
      <c r="B354" s="54"/>
    </row>
    <row r="355" spans="2:2" ht="15.6" x14ac:dyDescent="0.3">
      <c r="B355" s="54"/>
    </row>
    <row r="356" spans="2:2" ht="15.6" x14ac:dyDescent="0.3">
      <c r="B356" s="54"/>
    </row>
    <row r="357" spans="2:2" ht="15.6" x14ac:dyDescent="0.3">
      <c r="B357" s="54"/>
    </row>
    <row r="358" spans="2:2" ht="15.6" x14ac:dyDescent="0.3">
      <c r="B358" s="54"/>
    </row>
    <row r="359" spans="2:2" ht="15.6" x14ac:dyDescent="0.3">
      <c r="B359" s="54"/>
    </row>
    <row r="360" spans="2:2" ht="15.6" x14ac:dyDescent="0.3">
      <c r="B360" s="54"/>
    </row>
    <row r="361" spans="2:2" ht="15.6" x14ac:dyDescent="0.3">
      <c r="B361" s="54"/>
    </row>
    <row r="362" spans="2:2" ht="15.6" x14ac:dyDescent="0.3">
      <c r="B362" s="54"/>
    </row>
    <row r="363" spans="2:2" ht="15.6" x14ac:dyDescent="0.3">
      <c r="B363" s="54"/>
    </row>
    <row r="364" spans="2:2" ht="15.6" x14ac:dyDescent="0.3">
      <c r="B364" s="54"/>
    </row>
    <row r="365" spans="2:2" ht="15.6" x14ac:dyDescent="0.3">
      <c r="B365" s="54"/>
    </row>
    <row r="366" spans="2:2" ht="15.6" x14ac:dyDescent="0.3">
      <c r="B366" s="54"/>
    </row>
    <row r="367" spans="2:2" ht="15.6" x14ac:dyDescent="0.3">
      <c r="B367" s="54"/>
    </row>
    <row r="368" spans="2:2" ht="15.6" x14ac:dyDescent="0.3">
      <c r="B368" s="54"/>
    </row>
    <row r="369" spans="2:2" ht="15.6" x14ac:dyDescent="0.3">
      <c r="B369" s="54"/>
    </row>
    <row r="370" spans="2:2" ht="15.6" x14ac:dyDescent="0.3">
      <c r="B370" s="54"/>
    </row>
    <row r="371" spans="2:2" ht="15.6" x14ac:dyDescent="0.3">
      <c r="B371" s="54"/>
    </row>
    <row r="372" spans="2:2" ht="15.6" x14ac:dyDescent="0.3">
      <c r="B372" s="54"/>
    </row>
    <row r="373" spans="2:2" ht="15.6" x14ac:dyDescent="0.3">
      <c r="B373" s="54"/>
    </row>
    <row r="374" spans="2:2" ht="15.6" x14ac:dyDescent="0.3">
      <c r="B374" s="54"/>
    </row>
    <row r="375" spans="2:2" ht="15.6" x14ac:dyDescent="0.3">
      <c r="B375" s="54"/>
    </row>
    <row r="376" spans="2:2" ht="15.6" x14ac:dyDescent="0.3">
      <c r="B376" s="54"/>
    </row>
    <row r="377" spans="2:2" ht="15.6" x14ac:dyDescent="0.3">
      <c r="B377" s="54"/>
    </row>
    <row r="378" spans="2:2" ht="15.6" x14ac:dyDescent="0.3">
      <c r="B378" s="54"/>
    </row>
    <row r="379" spans="2:2" ht="15.6" x14ac:dyDescent="0.3">
      <c r="B379" s="54"/>
    </row>
    <row r="380" spans="2:2" ht="15.6" x14ac:dyDescent="0.3">
      <c r="B380" s="54"/>
    </row>
    <row r="381" spans="2:2" ht="15.6" x14ac:dyDescent="0.3">
      <c r="B381" s="54"/>
    </row>
    <row r="382" spans="2:2" ht="15.6" x14ac:dyDescent="0.3">
      <c r="B382" s="54"/>
    </row>
    <row r="383" spans="2:2" ht="15.6" x14ac:dyDescent="0.3">
      <c r="B383" s="54"/>
    </row>
    <row r="384" spans="2:2" ht="15.6" x14ac:dyDescent="0.3">
      <c r="B384" s="54"/>
    </row>
    <row r="385" spans="2:2" ht="15.6" x14ac:dyDescent="0.3">
      <c r="B385" s="54"/>
    </row>
    <row r="386" spans="2:2" ht="15.6" x14ac:dyDescent="0.3">
      <c r="B386" s="54"/>
    </row>
    <row r="387" spans="2:2" ht="15.6" x14ac:dyDescent="0.3">
      <c r="B387" s="54"/>
    </row>
    <row r="388" spans="2:2" ht="15.6" x14ac:dyDescent="0.3">
      <c r="B388" s="54"/>
    </row>
    <row r="389" spans="2:2" ht="15.6" x14ac:dyDescent="0.3">
      <c r="B389" s="54"/>
    </row>
  </sheetData>
  <mergeCells count="1">
    <mergeCell ref="B22:R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6F488-6BA2-4AE3-8E35-9D6990AF057B}">
  <sheetPr codeName="ShGantt">
    <tabColor theme="4" tint="0.39997558519241921"/>
  </sheetPr>
  <dimension ref="B1:BT153"/>
  <sheetViews>
    <sheetView showGridLines="0" tabSelected="1" topLeftCell="K1" zoomScaleNormal="100" workbookViewId="0">
      <selection activeCell="AY4" sqref="AY4"/>
    </sheetView>
  </sheetViews>
  <sheetFormatPr baseColWidth="10" defaultColWidth="8.88671875" defaultRowHeight="14.4" x14ac:dyDescent="0.3"/>
  <cols>
    <col min="1" max="1" width="2.88671875" customWidth="1"/>
    <col min="2" max="2" width="4.5546875" bestFit="1" customWidth="1"/>
    <col min="3" max="3" width="8.6640625" style="93" hidden="1" customWidth="1"/>
    <col min="4" max="4" width="6.33203125" style="93" hidden="1" customWidth="1"/>
    <col min="5" max="5" width="5.44140625" style="93" hidden="1" customWidth="1"/>
    <col min="6" max="6" width="9.44140625" style="94" hidden="1" customWidth="1"/>
    <col min="7" max="7" width="47.5546875" customWidth="1"/>
    <col min="8" max="8" width="10.6640625" customWidth="1"/>
    <col min="9" max="9" width="12" customWidth="1"/>
    <col min="10" max="10" width="17.5546875" customWidth="1"/>
    <col min="11" max="11" width="32.6640625" customWidth="1"/>
    <col min="12" max="12" width="11.33203125" customWidth="1"/>
    <col min="13" max="13" width="10.33203125" customWidth="1"/>
    <col min="14" max="14" width="11.6640625" customWidth="1"/>
    <col min="15" max="15" width="11.109375" style="60" customWidth="1"/>
    <col min="16" max="16" width="15.33203125" hidden="1" customWidth="1"/>
    <col min="17" max="17" width="3.33203125" customWidth="1"/>
    <col min="18" max="18" width="3.21875" customWidth="1"/>
    <col min="19" max="20" width="3.109375" customWidth="1"/>
    <col min="21" max="72" width="3.21875" customWidth="1"/>
    <col min="73" max="73" width="1.44140625" customWidth="1"/>
  </cols>
  <sheetData>
    <row r="1" spans="2:72" ht="18" customHeight="1" x14ac:dyDescent="0.3">
      <c r="H1" s="126" t="s">
        <v>87</v>
      </c>
      <c r="I1" s="126"/>
      <c r="J1" s="18" t="s">
        <v>91</v>
      </c>
      <c r="K1" s="80" t="s">
        <v>89</v>
      </c>
      <c r="L1" s="129" t="s">
        <v>93</v>
      </c>
      <c r="M1" s="129"/>
      <c r="P1" s="24"/>
      <c r="Q1" s="60"/>
      <c r="R1" s="123" t="s">
        <v>95</v>
      </c>
      <c r="S1" s="123"/>
      <c r="T1" s="123"/>
      <c r="U1" s="123"/>
      <c r="V1" s="123"/>
      <c r="W1" s="123"/>
      <c r="X1" s="127">
        <v>44893</v>
      </c>
      <c r="Y1" s="127"/>
      <c r="Z1" s="127"/>
      <c r="AA1" s="127"/>
      <c r="AB1" s="127"/>
    </row>
    <row r="2" spans="2:72" ht="18" customHeight="1" x14ac:dyDescent="0.3">
      <c r="H2" s="126" t="s">
        <v>88</v>
      </c>
      <c r="I2" s="126"/>
      <c r="J2" s="18" t="s">
        <v>92</v>
      </c>
      <c r="K2" s="81" t="s">
        <v>90</v>
      </c>
      <c r="L2" s="130" t="s">
        <v>94</v>
      </c>
      <c r="M2" s="130"/>
      <c r="P2" s="24"/>
      <c r="Q2" s="60"/>
      <c r="R2" s="123" t="s">
        <v>96</v>
      </c>
      <c r="S2" s="123"/>
      <c r="T2" s="123"/>
      <c r="U2" s="123"/>
      <c r="V2" s="123"/>
      <c r="W2" s="123"/>
      <c r="X2" s="128"/>
      <c r="Y2" s="128"/>
      <c r="Z2" s="128"/>
      <c r="AA2" s="128"/>
      <c r="AB2" s="128"/>
      <c r="AS2" s="38"/>
    </row>
    <row r="3" spans="2:72" ht="18" customHeight="1" thickBot="1" x14ac:dyDescent="0.35">
      <c r="M3" s="1"/>
      <c r="O3" s="63"/>
      <c r="Q3" s="35"/>
      <c r="R3" s="124" t="s">
        <v>97</v>
      </c>
      <c r="S3" s="124"/>
      <c r="T3" s="124"/>
      <c r="U3" s="124"/>
      <c r="V3" s="124"/>
      <c r="W3" s="124"/>
      <c r="X3" s="128" t="s">
        <v>98</v>
      </c>
      <c r="Y3" s="128"/>
      <c r="Z3" s="128"/>
      <c r="AA3" s="128"/>
      <c r="AB3" s="128"/>
      <c r="AQ3" s="36"/>
      <c r="AR3" s="36"/>
      <c r="AS3" s="36"/>
      <c r="AW3" s="37"/>
    </row>
    <row r="4" spans="2:72" ht="28.95" customHeight="1" thickTop="1" thickBot="1" x14ac:dyDescent="0.35">
      <c r="B4" s="7"/>
      <c r="C4" s="95"/>
      <c r="D4" s="95"/>
      <c r="E4" s="95"/>
      <c r="F4" s="95"/>
      <c r="G4" s="19" t="s">
        <v>254</v>
      </c>
      <c r="H4" s="7"/>
      <c r="I4" s="7"/>
      <c r="J4" s="7"/>
      <c r="K4" s="7"/>
      <c r="L4" s="7"/>
      <c r="M4" s="7"/>
      <c r="N4" s="7"/>
      <c r="O4" s="64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25">
        <v>45053</v>
      </c>
      <c r="AJ4" s="125"/>
      <c r="AK4" s="125"/>
      <c r="AL4" s="125"/>
      <c r="AM4" s="125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</row>
    <row r="5" spans="2:72" ht="15" thickTop="1" x14ac:dyDescent="0.3">
      <c r="O5" s="63"/>
      <c r="Q5" s="5" t="str">
        <f>UPPER(TEXT(DATE(YEAR($Q$8), MONTH($Q$8), DAY($Q$8)-WEEKDAY($Q$8, 2) + 1),"mmmm"))</f>
        <v>MAI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6" t="str">
        <f>UPPER(TEXT(DATE(YEAR($AS$8), MONTH($AS$8), DAY($AS$8)-WEEKDAY($AS$8, 2) + 1),"mmmm"))</f>
        <v>JUIN</v>
      </c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</row>
    <row r="6" spans="2:72" ht="14.4" customHeight="1" x14ac:dyDescent="0.3">
      <c r="L6" s="33"/>
      <c r="O6" s="63"/>
      <c r="Q6" s="42" t="str">
        <f>RIGHT("0000" &amp; YEAR($Q$8), 4)</f>
        <v>2023</v>
      </c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1" t="str">
        <f>RIGHT("0000" &amp; YEAR($AS$8), 4)</f>
        <v>2023</v>
      </c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</row>
    <row r="7" spans="2:72" hidden="1" x14ac:dyDescent="0.3">
      <c r="M7" s="1"/>
      <c r="O7" s="63"/>
      <c r="P7">
        <v>11</v>
      </c>
      <c r="Q7" s="22">
        <v>5</v>
      </c>
      <c r="R7" s="22">
        <v>5</v>
      </c>
      <c r="S7" s="22">
        <v>5</v>
      </c>
      <c r="T7" s="22">
        <v>5</v>
      </c>
      <c r="U7" s="22">
        <v>5</v>
      </c>
      <c r="V7" s="22">
        <v>5</v>
      </c>
      <c r="W7" s="22">
        <v>5</v>
      </c>
      <c r="X7" s="22">
        <v>5</v>
      </c>
      <c r="Y7" s="22">
        <v>5</v>
      </c>
      <c r="Z7" s="22">
        <v>5</v>
      </c>
      <c r="AA7" s="22">
        <v>5</v>
      </c>
      <c r="AB7" s="22">
        <v>5</v>
      </c>
      <c r="AC7" s="22">
        <v>5</v>
      </c>
      <c r="AD7" s="22">
        <v>5</v>
      </c>
      <c r="AE7" s="22">
        <v>5</v>
      </c>
      <c r="AF7" s="22">
        <v>5</v>
      </c>
      <c r="AG7" s="22">
        <v>5</v>
      </c>
      <c r="AH7" s="22">
        <v>5</v>
      </c>
      <c r="AI7" s="22">
        <v>5</v>
      </c>
      <c r="AJ7" s="22">
        <v>5</v>
      </c>
      <c r="AK7" s="22">
        <v>5</v>
      </c>
      <c r="AL7" s="22">
        <v>5</v>
      </c>
      <c r="AM7" s="22">
        <v>5</v>
      </c>
      <c r="AN7" s="22">
        <v>5</v>
      </c>
      <c r="AO7" s="22">
        <v>5</v>
      </c>
      <c r="AP7" s="22">
        <v>5</v>
      </c>
      <c r="AQ7" s="22">
        <v>5</v>
      </c>
      <c r="AR7" s="22">
        <v>5</v>
      </c>
      <c r="AS7" s="23">
        <v>6</v>
      </c>
      <c r="AT7" s="23">
        <v>6</v>
      </c>
      <c r="AU7" s="23">
        <v>6</v>
      </c>
      <c r="AV7" s="23">
        <v>6</v>
      </c>
      <c r="AW7" s="23">
        <v>6</v>
      </c>
      <c r="AX7" s="23">
        <v>6</v>
      </c>
      <c r="AY7" s="23">
        <v>6</v>
      </c>
      <c r="AZ7" s="23">
        <v>6</v>
      </c>
      <c r="BA7" s="23">
        <v>6</v>
      </c>
      <c r="BB7" s="23">
        <v>6</v>
      </c>
      <c r="BC7" s="23">
        <v>6</v>
      </c>
      <c r="BD7" s="23">
        <v>6</v>
      </c>
      <c r="BE7" s="23">
        <v>6</v>
      </c>
      <c r="BF7" s="23">
        <v>6</v>
      </c>
      <c r="BG7" s="23">
        <v>6</v>
      </c>
      <c r="BH7" s="23">
        <v>6</v>
      </c>
      <c r="BI7" s="23">
        <v>6</v>
      </c>
      <c r="BJ7" s="23">
        <v>6</v>
      </c>
      <c r="BK7" s="23">
        <v>6</v>
      </c>
      <c r="BL7" s="23">
        <v>6</v>
      </c>
      <c r="BM7" s="23">
        <v>6</v>
      </c>
      <c r="BN7" s="23">
        <v>6</v>
      </c>
      <c r="BO7" s="23">
        <v>6</v>
      </c>
      <c r="BP7" s="23">
        <v>6</v>
      </c>
      <c r="BQ7" s="23">
        <v>6</v>
      </c>
      <c r="BR7" s="23">
        <v>6</v>
      </c>
      <c r="BS7" s="23">
        <v>6</v>
      </c>
      <c r="BT7" s="23">
        <v>6</v>
      </c>
    </row>
    <row r="8" spans="2:72" ht="17.399999999999999" hidden="1" customHeight="1" x14ac:dyDescent="0.3">
      <c r="L8" s="4"/>
      <c r="M8" s="4"/>
      <c r="N8" s="4"/>
      <c r="O8" s="63"/>
      <c r="Q8" s="40">
        <f>IF(IsDaysGantt,ProjectStart+ COLUMN()-16,ProjectStart+7*(COLUMN()-16))</f>
        <v>45054</v>
      </c>
      <c r="R8" s="40">
        <f t="shared" ref="R8:AV8" si="0">IF(IsDaysGantt,ProjectStart+ COLUMN()-16,ProjectStart+7*(COLUMN()-16))</f>
        <v>45055</v>
      </c>
      <c r="S8" s="40">
        <f t="shared" si="0"/>
        <v>45056</v>
      </c>
      <c r="T8" s="40">
        <f t="shared" si="0"/>
        <v>45057</v>
      </c>
      <c r="U8" s="40">
        <f t="shared" si="0"/>
        <v>45058</v>
      </c>
      <c r="V8" s="40">
        <f t="shared" si="0"/>
        <v>45059</v>
      </c>
      <c r="W8" s="40">
        <f t="shared" si="0"/>
        <v>45060</v>
      </c>
      <c r="X8" s="40">
        <f t="shared" si="0"/>
        <v>45061</v>
      </c>
      <c r="Y8" s="40">
        <f t="shared" si="0"/>
        <v>45062</v>
      </c>
      <c r="Z8" s="40">
        <f t="shared" si="0"/>
        <v>45063</v>
      </c>
      <c r="AA8" s="40">
        <f t="shared" si="0"/>
        <v>45064</v>
      </c>
      <c r="AB8" s="40">
        <f t="shared" si="0"/>
        <v>45065</v>
      </c>
      <c r="AC8" s="40">
        <f t="shared" si="0"/>
        <v>45066</v>
      </c>
      <c r="AD8" s="40">
        <f t="shared" si="0"/>
        <v>45067</v>
      </c>
      <c r="AE8" s="40">
        <f t="shared" si="0"/>
        <v>45068</v>
      </c>
      <c r="AF8" s="40">
        <f t="shared" si="0"/>
        <v>45069</v>
      </c>
      <c r="AG8" s="40">
        <f t="shared" si="0"/>
        <v>45070</v>
      </c>
      <c r="AH8" s="40">
        <f t="shared" si="0"/>
        <v>45071</v>
      </c>
      <c r="AI8" s="40">
        <f t="shared" si="0"/>
        <v>45072</v>
      </c>
      <c r="AJ8" s="40">
        <f t="shared" si="0"/>
        <v>45073</v>
      </c>
      <c r="AK8" s="40">
        <f t="shared" si="0"/>
        <v>45074</v>
      </c>
      <c r="AL8" s="40">
        <f t="shared" si="0"/>
        <v>45075</v>
      </c>
      <c r="AM8" s="40">
        <f t="shared" si="0"/>
        <v>45076</v>
      </c>
      <c r="AN8" s="40">
        <f t="shared" si="0"/>
        <v>45077</v>
      </c>
      <c r="AO8" s="40">
        <f t="shared" si="0"/>
        <v>45078</v>
      </c>
      <c r="AP8" s="40">
        <f t="shared" si="0"/>
        <v>45079</v>
      </c>
      <c r="AQ8" s="40">
        <f t="shared" si="0"/>
        <v>45080</v>
      </c>
      <c r="AR8" s="40">
        <f t="shared" si="0"/>
        <v>45081</v>
      </c>
      <c r="AS8" s="39">
        <f t="shared" si="0"/>
        <v>45082</v>
      </c>
      <c r="AT8" s="39">
        <f t="shared" si="0"/>
        <v>45083</v>
      </c>
      <c r="AU8" s="39">
        <f t="shared" si="0"/>
        <v>45084</v>
      </c>
      <c r="AV8" s="39">
        <f t="shared" si="0"/>
        <v>45085</v>
      </c>
      <c r="AW8" s="39">
        <f t="shared" ref="AW8:BT8" si="1">IF(IsDaysGantt,ProjectStart+ COLUMN()-16,ProjectStart+7*(COLUMN()-16))</f>
        <v>45086</v>
      </c>
      <c r="AX8" s="39">
        <f t="shared" si="1"/>
        <v>45087</v>
      </c>
      <c r="AY8" s="39">
        <f t="shared" si="1"/>
        <v>45088</v>
      </c>
      <c r="AZ8" s="39">
        <f t="shared" si="1"/>
        <v>45089</v>
      </c>
      <c r="BA8" s="39">
        <f t="shared" si="1"/>
        <v>45090</v>
      </c>
      <c r="BB8" s="39">
        <f t="shared" si="1"/>
        <v>45091</v>
      </c>
      <c r="BC8" s="39">
        <f t="shared" si="1"/>
        <v>45092</v>
      </c>
      <c r="BD8" s="39">
        <f t="shared" si="1"/>
        <v>45093</v>
      </c>
      <c r="BE8" s="39">
        <f t="shared" si="1"/>
        <v>45094</v>
      </c>
      <c r="BF8" s="39">
        <f t="shared" si="1"/>
        <v>45095</v>
      </c>
      <c r="BG8" s="39">
        <f t="shared" si="1"/>
        <v>45096</v>
      </c>
      <c r="BH8" s="39">
        <f t="shared" si="1"/>
        <v>45097</v>
      </c>
      <c r="BI8" s="39">
        <f t="shared" si="1"/>
        <v>45098</v>
      </c>
      <c r="BJ8" s="39">
        <f t="shared" si="1"/>
        <v>45099</v>
      </c>
      <c r="BK8" s="39">
        <f t="shared" si="1"/>
        <v>45100</v>
      </c>
      <c r="BL8" s="39">
        <f t="shared" si="1"/>
        <v>45101</v>
      </c>
      <c r="BM8" s="39">
        <f t="shared" si="1"/>
        <v>45102</v>
      </c>
      <c r="BN8" s="39">
        <f t="shared" si="1"/>
        <v>45103</v>
      </c>
      <c r="BO8" s="39">
        <f t="shared" si="1"/>
        <v>45104</v>
      </c>
      <c r="BP8" s="39">
        <f t="shared" si="1"/>
        <v>45105</v>
      </c>
      <c r="BQ8" s="39">
        <f t="shared" si="1"/>
        <v>45106</v>
      </c>
      <c r="BR8" s="39">
        <f t="shared" si="1"/>
        <v>45107</v>
      </c>
      <c r="BS8" s="39">
        <f t="shared" si="1"/>
        <v>45108</v>
      </c>
      <c r="BT8" s="39">
        <f t="shared" si="1"/>
        <v>45109</v>
      </c>
    </row>
    <row r="9" spans="2:72" ht="11.4" customHeight="1" x14ac:dyDescent="0.3">
      <c r="O9" s="65" t="str">
        <f>IF(IsDaysGantt,IF(Langue=2,"Jour","Day"),IF(Langue=2,"Semaine","Week"))</f>
        <v>Jour</v>
      </c>
      <c r="Q9" s="115">
        <f t="shared" ref="Q9:AV9" si="2">IF(IsDaysGantt,Q8,_xlfn.ISOWEEKNUM(Q8))</f>
        <v>45054</v>
      </c>
      <c r="R9" s="116">
        <f t="shared" si="2"/>
        <v>45055</v>
      </c>
      <c r="S9" s="116">
        <f t="shared" si="2"/>
        <v>45056</v>
      </c>
      <c r="T9" s="116">
        <f t="shared" si="2"/>
        <v>45057</v>
      </c>
      <c r="U9" s="116">
        <f t="shared" si="2"/>
        <v>45058</v>
      </c>
      <c r="V9" s="116">
        <f t="shared" si="2"/>
        <v>45059</v>
      </c>
      <c r="W9" s="120">
        <f t="shared" si="2"/>
        <v>45060</v>
      </c>
      <c r="X9" s="115">
        <f t="shared" si="2"/>
        <v>45061</v>
      </c>
      <c r="Y9" s="116">
        <f t="shared" si="2"/>
        <v>45062</v>
      </c>
      <c r="Z9" s="116">
        <f t="shared" si="2"/>
        <v>45063</v>
      </c>
      <c r="AA9" s="116">
        <f t="shared" si="2"/>
        <v>45064</v>
      </c>
      <c r="AB9" s="116">
        <f t="shared" si="2"/>
        <v>45065</v>
      </c>
      <c r="AC9" s="116">
        <f t="shared" si="2"/>
        <v>45066</v>
      </c>
      <c r="AD9" s="120">
        <f t="shared" si="2"/>
        <v>45067</v>
      </c>
      <c r="AE9" s="115">
        <f t="shared" si="2"/>
        <v>45068</v>
      </c>
      <c r="AF9" s="116">
        <f t="shared" si="2"/>
        <v>45069</v>
      </c>
      <c r="AG9" s="116">
        <f t="shared" si="2"/>
        <v>45070</v>
      </c>
      <c r="AH9" s="116">
        <f t="shared" si="2"/>
        <v>45071</v>
      </c>
      <c r="AI9" s="116">
        <f t="shared" si="2"/>
        <v>45072</v>
      </c>
      <c r="AJ9" s="116">
        <f t="shared" si="2"/>
        <v>45073</v>
      </c>
      <c r="AK9" s="120">
        <f t="shared" si="2"/>
        <v>45074</v>
      </c>
      <c r="AL9" s="115">
        <f t="shared" si="2"/>
        <v>45075</v>
      </c>
      <c r="AM9" s="116">
        <f t="shared" si="2"/>
        <v>45076</v>
      </c>
      <c r="AN9" s="116">
        <f t="shared" si="2"/>
        <v>45077</v>
      </c>
      <c r="AO9" s="116">
        <f t="shared" si="2"/>
        <v>45078</v>
      </c>
      <c r="AP9" s="116">
        <f t="shared" si="2"/>
        <v>45079</v>
      </c>
      <c r="AQ9" s="116">
        <f t="shared" si="2"/>
        <v>45080</v>
      </c>
      <c r="AR9" s="120">
        <f t="shared" si="2"/>
        <v>45081</v>
      </c>
      <c r="AS9" s="119">
        <f t="shared" si="2"/>
        <v>45082</v>
      </c>
      <c r="AT9" s="117">
        <f t="shared" si="2"/>
        <v>45083</v>
      </c>
      <c r="AU9" s="117">
        <f t="shared" si="2"/>
        <v>45084</v>
      </c>
      <c r="AV9" s="117">
        <f t="shared" si="2"/>
        <v>45085</v>
      </c>
      <c r="AW9" s="117">
        <f t="shared" ref="AW9:BT9" si="3">IF(IsDaysGantt,AW8,_xlfn.ISOWEEKNUM(AW8))</f>
        <v>45086</v>
      </c>
      <c r="AX9" s="117">
        <f t="shared" si="3"/>
        <v>45087</v>
      </c>
      <c r="AY9" s="118">
        <f t="shared" si="3"/>
        <v>45088</v>
      </c>
      <c r="AZ9" s="119">
        <f t="shared" si="3"/>
        <v>45089</v>
      </c>
      <c r="BA9" s="117">
        <f t="shared" si="3"/>
        <v>45090</v>
      </c>
      <c r="BB9" s="117">
        <f t="shared" si="3"/>
        <v>45091</v>
      </c>
      <c r="BC9" s="117">
        <f t="shared" si="3"/>
        <v>45092</v>
      </c>
      <c r="BD9" s="117">
        <f t="shared" si="3"/>
        <v>45093</v>
      </c>
      <c r="BE9" s="117">
        <f t="shared" si="3"/>
        <v>45094</v>
      </c>
      <c r="BF9" s="118">
        <f t="shared" si="3"/>
        <v>45095</v>
      </c>
      <c r="BG9" s="119">
        <f t="shared" si="3"/>
        <v>45096</v>
      </c>
      <c r="BH9" s="117">
        <f t="shared" si="3"/>
        <v>45097</v>
      </c>
      <c r="BI9" s="117">
        <f t="shared" si="3"/>
        <v>45098</v>
      </c>
      <c r="BJ9" s="117">
        <f t="shared" si="3"/>
        <v>45099</v>
      </c>
      <c r="BK9" s="117">
        <f t="shared" si="3"/>
        <v>45100</v>
      </c>
      <c r="BL9" s="117">
        <f t="shared" si="3"/>
        <v>45101</v>
      </c>
      <c r="BM9" s="118">
        <f t="shared" si="3"/>
        <v>45102</v>
      </c>
      <c r="BN9" s="119">
        <f t="shared" si="3"/>
        <v>45103</v>
      </c>
      <c r="BO9" s="117">
        <f t="shared" si="3"/>
        <v>45104</v>
      </c>
      <c r="BP9" s="117">
        <f t="shared" si="3"/>
        <v>45105</v>
      </c>
      <c r="BQ9" s="117">
        <f t="shared" si="3"/>
        <v>45106</v>
      </c>
      <c r="BR9" s="117">
        <f t="shared" si="3"/>
        <v>45107</v>
      </c>
      <c r="BS9" s="117">
        <f>IF(IsDaysGantt,BS8,_xlfn.ISOWEEKNUM(BS8))</f>
        <v>45108</v>
      </c>
      <c r="BT9" s="118">
        <f t="shared" si="3"/>
        <v>45109</v>
      </c>
    </row>
    <row r="10" spans="2:72" ht="13.2" hidden="1" customHeight="1" x14ac:dyDescent="0.3">
      <c r="J10" s="21"/>
      <c r="K10" s="21"/>
      <c r="Q10" s="32"/>
      <c r="R10" s="26"/>
      <c r="S10" s="26"/>
      <c r="T10" s="26"/>
      <c r="U10" s="26"/>
      <c r="V10" s="26"/>
      <c r="W10" s="31"/>
      <c r="X10" s="32"/>
      <c r="Y10" s="26"/>
      <c r="Z10" s="26"/>
      <c r="AA10" s="26"/>
      <c r="AB10" s="26"/>
      <c r="AC10" s="26"/>
      <c r="AD10" s="31"/>
      <c r="AE10" s="32"/>
      <c r="AF10" s="26"/>
      <c r="AG10" s="26"/>
      <c r="AH10" s="26"/>
      <c r="AI10" s="26"/>
      <c r="AJ10" s="26"/>
      <c r="AK10" s="31"/>
      <c r="AL10" s="32"/>
      <c r="AM10" s="26"/>
      <c r="AN10" s="26"/>
      <c r="AO10" s="26"/>
      <c r="AP10" s="26"/>
      <c r="AQ10" s="26"/>
      <c r="AR10" s="31"/>
      <c r="AS10" s="25"/>
      <c r="AT10" s="25"/>
      <c r="AU10" s="25"/>
      <c r="AV10" s="25"/>
      <c r="AW10" s="25"/>
      <c r="AX10" s="25"/>
      <c r="AY10" s="28"/>
      <c r="AZ10" s="27"/>
      <c r="BA10" s="25"/>
      <c r="BB10" s="25"/>
      <c r="BC10" s="25"/>
      <c r="BD10" s="25"/>
      <c r="BE10" s="25"/>
      <c r="BF10" s="28"/>
      <c r="BG10" s="27"/>
      <c r="BH10" s="25"/>
      <c r="BI10" s="25"/>
      <c r="BJ10" s="25"/>
      <c r="BK10" s="25"/>
      <c r="BL10" s="25"/>
      <c r="BM10" s="28"/>
      <c r="BN10" s="27"/>
      <c r="BO10" s="25"/>
      <c r="BP10" s="25"/>
      <c r="BQ10" s="25"/>
      <c r="BR10" s="25"/>
      <c r="BS10" s="25"/>
      <c r="BT10" s="28"/>
    </row>
    <row r="11" spans="2:72" ht="15.6" customHeight="1" x14ac:dyDescent="0.3">
      <c r="B11" s="2" t="s">
        <v>0</v>
      </c>
      <c r="C11" s="96" t="s">
        <v>28</v>
      </c>
      <c r="D11" s="96" t="s">
        <v>8</v>
      </c>
      <c r="E11" s="96" t="s">
        <v>9</v>
      </c>
      <c r="F11" s="96" t="s">
        <v>10</v>
      </c>
      <c r="G11" s="2" t="s">
        <v>255</v>
      </c>
      <c r="H11" s="2" t="s">
        <v>100</v>
      </c>
      <c r="I11" s="2" t="s">
        <v>193</v>
      </c>
      <c r="J11" s="2" t="s">
        <v>3</v>
      </c>
      <c r="K11" s="2" t="s">
        <v>253</v>
      </c>
      <c r="L11" s="2" t="s">
        <v>4</v>
      </c>
      <c r="M11" s="2" t="s">
        <v>347</v>
      </c>
      <c r="N11" s="2" t="s">
        <v>5</v>
      </c>
      <c r="O11" s="61" t="s">
        <v>6</v>
      </c>
      <c r="P11" s="2" t="s">
        <v>195</v>
      </c>
      <c r="Q11" s="88" t="str">
        <f t="shared" ref="Q11:AV11" si="4">IF(IsDaysGantt,UPPER(LEFT(CHOOSE(WEEKDAY(Q8),"M","T","W","T","F","S","S"),1)),"")</f>
        <v>T</v>
      </c>
      <c r="R11" s="30" t="str">
        <f t="shared" si="4"/>
        <v>W</v>
      </c>
      <c r="S11" s="30" t="str">
        <f t="shared" si="4"/>
        <v>T</v>
      </c>
      <c r="T11" s="30" t="str">
        <f t="shared" si="4"/>
        <v>F</v>
      </c>
      <c r="U11" s="30" t="str">
        <f t="shared" si="4"/>
        <v>S</v>
      </c>
      <c r="V11" s="30" t="str">
        <f t="shared" si="4"/>
        <v>S</v>
      </c>
      <c r="W11" s="30" t="str">
        <f t="shared" si="4"/>
        <v>M</v>
      </c>
      <c r="X11" s="30" t="str">
        <f t="shared" si="4"/>
        <v>T</v>
      </c>
      <c r="Y11" s="30" t="str">
        <f t="shared" si="4"/>
        <v>W</v>
      </c>
      <c r="Z11" s="30" t="str">
        <f t="shared" si="4"/>
        <v>T</v>
      </c>
      <c r="AA11" s="30" t="str">
        <f t="shared" si="4"/>
        <v>F</v>
      </c>
      <c r="AB11" s="30" t="str">
        <f t="shared" si="4"/>
        <v>S</v>
      </c>
      <c r="AC11" s="30" t="str">
        <f t="shared" si="4"/>
        <v>S</v>
      </c>
      <c r="AD11" s="30" t="str">
        <f t="shared" si="4"/>
        <v>M</v>
      </c>
      <c r="AE11" s="30" t="str">
        <f t="shared" si="4"/>
        <v>T</v>
      </c>
      <c r="AF11" s="30" t="str">
        <f t="shared" si="4"/>
        <v>W</v>
      </c>
      <c r="AG11" s="30" t="str">
        <f t="shared" si="4"/>
        <v>T</v>
      </c>
      <c r="AH11" s="30" t="str">
        <f t="shared" si="4"/>
        <v>F</v>
      </c>
      <c r="AI11" s="30" t="str">
        <f t="shared" si="4"/>
        <v>S</v>
      </c>
      <c r="AJ11" s="30" t="str">
        <f t="shared" si="4"/>
        <v>S</v>
      </c>
      <c r="AK11" s="30" t="str">
        <f t="shared" si="4"/>
        <v>M</v>
      </c>
      <c r="AL11" s="30" t="str">
        <f t="shared" si="4"/>
        <v>T</v>
      </c>
      <c r="AM11" s="30" t="str">
        <f t="shared" si="4"/>
        <v>W</v>
      </c>
      <c r="AN11" s="30" t="str">
        <f t="shared" si="4"/>
        <v>T</v>
      </c>
      <c r="AO11" s="30" t="str">
        <f t="shared" si="4"/>
        <v>F</v>
      </c>
      <c r="AP11" s="30" t="str">
        <f t="shared" si="4"/>
        <v>S</v>
      </c>
      <c r="AQ11" s="30" t="str">
        <f t="shared" si="4"/>
        <v>S</v>
      </c>
      <c r="AR11" s="30" t="str">
        <f t="shared" si="4"/>
        <v>M</v>
      </c>
      <c r="AS11" s="29" t="str">
        <f t="shared" si="4"/>
        <v>T</v>
      </c>
      <c r="AT11" s="29" t="str">
        <f t="shared" si="4"/>
        <v>W</v>
      </c>
      <c r="AU11" s="29" t="str">
        <f t="shared" si="4"/>
        <v>T</v>
      </c>
      <c r="AV11" s="29" t="str">
        <f t="shared" si="4"/>
        <v>F</v>
      </c>
      <c r="AW11" s="29" t="str">
        <f t="shared" ref="AW11:BT11" si="5">IF(IsDaysGantt,UPPER(LEFT(CHOOSE(WEEKDAY(AW8),"M","T","W","T","F","S","S"),1)),"")</f>
        <v>S</v>
      </c>
      <c r="AX11" s="29" t="str">
        <f t="shared" si="5"/>
        <v>S</v>
      </c>
      <c r="AY11" s="29" t="str">
        <f t="shared" si="5"/>
        <v>M</v>
      </c>
      <c r="AZ11" s="29" t="str">
        <f t="shared" si="5"/>
        <v>T</v>
      </c>
      <c r="BA11" s="29" t="str">
        <f t="shared" si="5"/>
        <v>W</v>
      </c>
      <c r="BB11" s="29" t="str">
        <f t="shared" si="5"/>
        <v>T</v>
      </c>
      <c r="BC11" s="29" t="str">
        <f t="shared" si="5"/>
        <v>F</v>
      </c>
      <c r="BD11" s="29" t="str">
        <f t="shared" si="5"/>
        <v>S</v>
      </c>
      <c r="BE11" s="29" t="str">
        <f t="shared" si="5"/>
        <v>S</v>
      </c>
      <c r="BF11" s="29" t="str">
        <f t="shared" si="5"/>
        <v>M</v>
      </c>
      <c r="BG11" s="29" t="str">
        <f t="shared" si="5"/>
        <v>T</v>
      </c>
      <c r="BH11" s="29" t="str">
        <f t="shared" si="5"/>
        <v>W</v>
      </c>
      <c r="BI11" s="29" t="str">
        <f t="shared" si="5"/>
        <v>T</v>
      </c>
      <c r="BJ11" s="29" t="str">
        <f t="shared" si="5"/>
        <v>F</v>
      </c>
      <c r="BK11" s="29" t="str">
        <f t="shared" si="5"/>
        <v>S</v>
      </c>
      <c r="BL11" s="29" t="str">
        <f t="shared" si="5"/>
        <v>S</v>
      </c>
      <c r="BM11" s="29" t="str">
        <f t="shared" si="5"/>
        <v>M</v>
      </c>
      <c r="BN11" s="29" t="str">
        <f t="shared" si="5"/>
        <v>T</v>
      </c>
      <c r="BO11" s="29" t="str">
        <f t="shared" si="5"/>
        <v>W</v>
      </c>
      <c r="BP11" s="29" t="str">
        <f t="shared" si="5"/>
        <v>T</v>
      </c>
      <c r="BQ11" s="29" t="str">
        <f t="shared" si="5"/>
        <v>F</v>
      </c>
      <c r="BR11" s="29" t="str">
        <f t="shared" si="5"/>
        <v>S</v>
      </c>
      <c r="BS11" s="29" t="str">
        <f t="shared" si="5"/>
        <v>S</v>
      </c>
      <c r="BT11" s="121" t="str">
        <f t="shared" si="5"/>
        <v>M</v>
      </c>
    </row>
    <row r="12" spans="2:72" ht="15.6" customHeight="1" x14ac:dyDescent="0.3">
      <c r="B12" s="90"/>
      <c r="C12" s="97"/>
      <c r="D12" s="97"/>
      <c r="E12" s="97"/>
      <c r="F12" s="97"/>
      <c r="G12" s="90" t="s">
        <v>351</v>
      </c>
      <c r="H12" s="90"/>
      <c r="I12" s="90"/>
      <c r="J12" s="90"/>
      <c r="K12" s="90"/>
      <c r="L12" s="91">
        <f ca="1">IFERROR(MIN(TabProjet[Début]), "")</f>
        <v>44811</v>
      </c>
      <c r="M12" s="90">
        <f>IFERROR(SUMIFS(TabProjet[Charge en J],TabProjet[Is Project], "X"), "")</f>
        <v>2566</v>
      </c>
      <c r="N12" s="91">
        <f ca="1">IFERROR(MAX(TabProjet[Deadline]), "")</f>
        <v>45174</v>
      </c>
      <c r="O12" s="92">
        <f>IFERROR(AVERAGEIFS(TabProjet[Progression],TabProjet[Is Project], "X"), "")</f>
        <v>0.15399999999999997</v>
      </c>
      <c r="P12" s="89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</row>
    <row r="13" spans="2:72" s="1" customFormat="1" ht="12.6" hidden="1" customHeight="1" x14ac:dyDescent="0.3">
      <c r="B13" s="1" t="s">
        <v>0</v>
      </c>
      <c r="C13" s="98" t="s">
        <v>28</v>
      </c>
      <c r="D13" s="93" t="s">
        <v>8</v>
      </c>
      <c r="E13" s="93" t="s">
        <v>9</v>
      </c>
      <c r="F13" s="93" t="s">
        <v>10</v>
      </c>
      <c r="G13" s="16" t="s">
        <v>1</v>
      </c>
      <c r="H13" s="16" t="s">
        <v>7</v>
      </c>
      <c r="I13" s="16" t="s">
        <v>2</v>
      </c>
      <c r="J13" s="16" t="s">
        <v>3</v>
      </c>
      <c r="K13" s="16" t="s">
        <v>253</v>
      </c>
      <c r="L13" s="16" t="s">
        <v>4</v>
      </c>
      <c r="M13" s="16" t="s">
        <v>347</v>
      </c>
      <c r="N13" s="1" t="s">
        <v>5</v>
      </c>
      <c r="O13" s="62" t="s">
        <v>6</v>
      </c>
      <c r="P13" s="1" t="s">
        <v>194</v>
      </c>
      <c r="Q13" s="1" t="s">
        <v>29</v>
      </c>
      <c r="R13" s="1" t="s">
        <v>30</v>
      </c>
      <c r="S13" s="1" t="s">
        <v>31</v>
      </c>
      <c r="T13" s="1" t="s">
        <v>32</v>
      </c>
      <c r="U13" s="1" t="s">
        <v>33</v>
      </c>
      <c r="V13" s="1" t="s">
        <v>34</v>
      </c>
      <c r="W13" s="1" t="s">
        <v>35</v>
      </c>
      <c r="X13" s="1" t="s">
        <v>36</v>
      </c>
      <c r="Y13" s="1" t="s">
        <v>37</v>
      </c>
      <c r="Z13" s="1" t="s">
        <v>38</v>
      </c>
      <c r="AA13" s="1" t="s">
        <v>39</v>
      </c>
      <c r="AB13" s="1" t="s">
        <v>40</v>
      </c>
      <c r="AC13" s="1" t="s">
        <v>41</v>
      </c>
      <c r="AD13" s="1" t="s">
        <v>42</v>
      </c>
      <c r="AE13" s="1" t="s">
        <v>43</v>
      </c>
      <c r="AF13" s="1" t="s">
        <v>44</v>
      </c>
      <c r="AG13" s="1" t="s">
        <v>45</v>
      </c>
      <c r="AH13" s="1" t="s">
        <v>46</v>
      </c>
      <c r="AI13" s="1" t="s">
        <v>47</v>
      </c>
      <c r="AJ13" s="1" t="s">
        <v>48</v>
      </c>
      <c r="AK13" s="1" t="s">
        <v>49</v>
      </c>
      <c r="AL13" s="1" t="s">
        <v>50</v>
      </c>
      <c r="AM13" s="1" t="s">
        <v>51</v>
      </c>
      <c r="AN13" s="1" t="s">
        <v>52</v>
      </c>
      <c r="AO13" s="1" t="s">
        <v>53</v>
      </c>
      <c r="AP13" s="1" t="s">
        <v>54</v>
      </c>
      <c r="AQ13" s="1" t="s">
        <v>55</v>
      </c>
      <c r="AR13" s="1" t="s">
        <v>56</v>
      </c>
      <c r="AS13" s="1" t="s">
        <v>57</v>
      </c>
      <c r="AT13" s="1" t="s">
        <v>58</v>
      </c>
      <c r="AU13" s="1" t="s">
        <v>59</v>
      </c>
      <c r="AV13" s="1" t="s">
        <v>60</v>
      </c>
      <c r="AW13" s="1" t="s">
        <v>61</v>
      </c>
      <c r="AX13" s="1" t="s">
        <v>62</v>
      </c>
      <c r="AY13" s="1" t="s">
        <v>63</v>
      </c>
      <c r="AZ13" s="1" t="s">
        <v>64</v>
      </c>
      <c r="BA13" s="1" t="s">
        <v>65</v>
      </c>
      <c r="BB13" s="1" t="s">
        <v>66</v>
      </c>
      <c r="BC13" s="1" t="s">
        <v>67</v>
      </c>
      <c r="BD13" s="1" t="s">
        <v>68</v>
      </c>
      <c r="BE13" s="1" t="s">
        <v>69</v>
      </c>
      <c r="BF13" s="1" t="s">
        <v>70</v>
      </c>
      <c r="BG13" s="1" t="s">
        <v>71</v>
      </c>
      <c r="BH13" s="1" t="s">
        <v>72</v>
      </c>
      <c r="BI13" s="1" t="s">
        <v>73</v>
      </c>
      <c r="BJ13" s="1" t="s">
        <v>74</v>
      </c>
      <c r="BK13" s="1" t="s">
        <v>75</v>
      </c>
      <c r="BL13" s="1" t="s">
        <v>76</v>
      </c>
      <c r="BM13" s="1" t="s">
        <v>77</v>
      </c>
      <c r="BN13" s="1" t="s">
        <v>78</v>
      </c>
      <c r="BO13" s="1" t="s">
        <v>79</v>
      </c>
      <c r="BP13" s="1" t="s">
        <v>80</v>
      </c>
      <c r="BQ13" s="1" t="s">
        <v>81</v>
      </c>
      <c r="BR13" s="1" t="s">
        <v>82</v>
      </c>
      <c r="BS13" s="1" t="s">
        <v>84</v>
      </c>
      <c r="BT13" s="1" t="s">
        <v>85</v>
      </c>
    </row>
    <row r="14" spans="2:72" x14ac:dyDescent="0.3">
      <c r="B14" s="3" t="str">
        <f>TabProjet[[#This Row],[IDProj]] &amp; TabProjet[[#This Row],[Point]] &amp; TabProjet[[#This Row],[IDSubProj]]</f>
        <v>1</v>
      </c>
      <c r="C14" s="99" t="s">
        <v>27</v>
      </c>
      <c r="D14" s="99">
        <f>IF(ISNUMBER($D13),IF(TabProjet[[#This Row],[Is Project]] &lt;&gt;"",$D13+1,$D13),1)</f>
        <v>1</v>
      </c>
      <c r="E14" s="99" t="str">
        <f>IF(TabProjet[[#This Row],[Is Project]] &lt;&gt; "","",".")</f>
        <v/>
      </c>
      <c r="F14" s="99" t="str">
        <f>IFERROR(IF(TabProjet[[#This Row],[Is Project]]= "",$F13+1,""),1)</f>
        <v/>
      </c>
      <c r="G14" s="68" t="s">
        <v>155</v>
      </c>
      <c r="H14" s="69"/>
      <c r="I14" s="70"/>
      <c r="J14" s="70"/>
      <c r="K14" s="71"/>
      <c r="L14" s="67">
        <f ca="1">IF(MinStartDate(TabProjet[[#This Row],[ID]]) = 0, "", MinStartDate(TabProjet[[#This Row],[ID]]))</f>
        <v>45047</v>
      </c>
      <c r="M14" s="70">
        <f>IFERROR(SUMIFS(TabProjet[Charge en J],TabProjet[Is Project],"",TabProjet[IDProj],TabProjet[[#This Row],[IDProj]]), "")</f>
        <v>50</v>
      </c>
      <c r="N14" s="66">
        <f ca="1">IF(MaxDeadlineDate(TabProjet[[#This Row],[ID]]) = 0, "", MaxDeadlineDate(TabProjet[[#This Row],[ID]]))</f>
        <v>45174</v>
      </c>
      <c r="O14" s="17">
        <f>IFERROR(AVERAGEIFS(TabProjet[Progression],TabProjet[Is Project],"",TabProjet[IDProj],TabProjet[[#This Row],[IDProj]]), 0)</f>
        <v>0.67999999999999994</v>
      </c>
      <c r="P14" s="67">
        <f ca="1">TabProjet[[#This Row],[Début]]+(TabProjet[[#This Row],[Deadline]]-TabProjet[[#This Row],[Début]])*TabProjet[[#This Row],[Progression]]</f>
        <v>45133.36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</row>
    <row r="15" spans="2:72" x14ac:dyDescent="0.3">
      <c r="B15" s="3" t="str">
        <f>TabProjet[[#This Row],[IDProj]] &amp; TabProjet[[#This Row],[Point]] &amp; TabProjet[[#This Row],[IDSubProj]]</f>
        <v>1.1</v>
      </c>
      <c r="C15" s="99"/>
      <c r="D15" s="99">
        <f>IF(ISNUMBER($D14),IF(TabProjet[[#This Row],[Is Project]] &lt;&gt;"",$D14+1,$D14),1)</f>
        <v>1</v>
      </c>
      <c r="E15" s="99" t="str">
        <f>IF(TabProjet[[#This Row],[Is Project]] &lt;&gt; "","",".")</f>
        <v>.</v>
      </c>
      <c r="F15" s="99">
        <f>IFERROR(IF(TabProjet[[#This Row],[Is Project]]= "",$F14+1,""),1)</f>
        <v>1</v>
      </c>
      <c r="G15" s="68" t="s">
        <v>156</v>
      </c>
      <c r="H15" s="69" t="s">
        <v>539</v>
      </c>
      <c r="I15" s="70"/>
      <c r="J15" s="70" t="s">
        <v>108</v>
      </c>
      <c r="K15" s="71" t="s">
        <v>256</v>
      </c>
      <c r="L15" s="67">
        <v>45075</v>
      </c>
      <c r="M15" s="70">
        <v>12</v>
      </c>
      <c r="N1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45090</v>
      </c>
      <c r="O15" s="17">
        <v>1</v>
      </c>
      <c r="P15" s="67">
        <f>TabProjet[[#This Row],[Début]]+(TabProjet[[#This Row],[Deadline]]-TabProjet[[#This Row],[Début]])*TabProjet[[#This Row],[Progression]]</f>
        <v>45090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</row>
    <row r="16" spans="2:72" x14ac:dyDescent="0.3">
      <c r="B16" s="3" t="str">
        <f>TabProjet[[#This Row],[IDProj]] &amp; TabProjet[[#This Row],[Point]] &amp; TabProjet[[#This Row],[IDSubProj]]</f>
        <v>1.2</v>
      </c>
      <c r="C16" s="99"/>
      <c r="D16" s="99">
        <f>IF(ISNUMBER($D15),IF(TabProjet[[#This Row],[Is Project]] &lt;&gt;"",$D15+1,$D15),1)</f>
        <v>1</v>
      </c>
      <c r="E16" s="99" t="str">
        <f>IF(TabProjet[[#This Row],[Is Project]] &lt;&gt; "","",".")</f>
        <v>.</v>
      </c>
      <c r="F16" s="99">
        <f>IFERROR(IF(TabProjet[[#This Row],[Is Project]]= "",$F15+1,""),1)</f>
        <v>2</v>
      </c>
      <c r="G16" s="68" t="s">
        <v>157</v>
      </c>
      <c r="H16" s="69" t="s">
        <v>102</v>
      </c>
      <c r="I16" s="70" t="s">
        <v>188</v>
      </c>
      <c r="J16" s="70" t="s">
        <v>108</v>
      </c>
      <c r="K16" s="71" t="s">
        <v>256</v>
      </c>
      <c r="L16" s="67"/>
      <c r="M16" s="70"/>
      <c r="N16" s="66" t="str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/>
      </c>
      <c r="O16" s="17">
        <v>0</v>
      </c>
      <c r="P16" s="67" t="e">
        <f>TabProjet[[#This Row],[Début]]+(TabProjet[[#This Row],[Deadline]]-TabProjet[[#This Row],[Début]])*TabProjet[[#This Row],[Progression]]</f>
        <v>#VALUE!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</row>
    <row r="17" spans="2:72" x14ac:dyDescent="0.3">
      <c r="B17" s="3" t="str">
        <f>TabProjet[[#This Row],[IDProj]] &amp; TabProjet[[#This Row],[Point]] &amp; TabProjet[[#This Row],[IDSubProj]]</f>
        <v>1.3</v>
      </c>
      <c r="C17" s="99"/>
      <c r="D17" s="99">
        <f>IF(ISNUMBER($D16),IF(TabProjet[[#This Row],[Is Project]] &lt;&gt;"",$D16+1,$D16),1)</f>
        <v>1</v>
      </c>
      <c r="E17" s="99" t="str">
        <f>IF(TabProjet[[#This Row],[Is Project]] &lt;&gt; "","",".")</f>
        <v>.</v>
      </c>
      <c r="F17" s="99">
        <f>IFERROR(IF(TabProjet[[#This Row],[Is Project]]= "",$F16+1,""),1)</f>
        <v>3</v>
      </c>
      <c r="G17" s="68" t="s">
        <v>257</v>
      </c>
      <c r="H17" s="69" t="s">
        <v>540</v>
      </c>
      <c r="I17" s="70" t="s">
        <v>188</v>
      </c>
      <c r="J17" s="70" t="s">
        <v>115</v>
      </c>
      <c r="K17" s="71"/>
      <c r="L17" s="67">
        <v>45047</v>
      </c>
      <c r="M17" s="70">
        <v>5</v>
      </c>
      <c r="N1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45051</v>
      </c>
      <c r="O17" s="17">
        <v>0.5</v>
      </c>
      <c r="P17" s="67">
        <f>TabProjet[[#This Row],[Début]]+(TabProjet[[#This Row],[Deadline]]-TabProjet[[#This Row],[Début]])*TabProjet[[#This Row],[Progression]]</f>
        <v>45049</v>
      </c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</row>
    <row r="18" spans="2:72" x14ac:dyDescent="0.3">
      <c r="B18" s="3" t="str">
        <f>TabProjet[[#This Row],[IDProj]] &amp; TabProjet[[#This Row],[Point]] &amp; TabProjet[[#This Row],[IDSubProj]]</f>
        <v>1.4</v>
      </c>
      <c r="C18" s="99"/>
      <c r="D18" s="99">
        <f>IF(ISNUMBER($D17),IF(TabProjet[[#This Row],[Is Project]] &lt;&gt;"",$D17+1,$D17),1)</f>
        <v>1</v>
      </c>
      <c r="E18" s="99" t="str">
        <f>IF(TabProjet[[#This Row],[Is Project]] &lt;&gt; "","",".")</f>
        <v>.</v>
      </c>
      <c r="F18" s="99">
        <f>IFERROR(IF(TabProjet[[#This Row],[Is Project]]= "",$F17+1,""),1)</f>
        <v>4</v>
      </c>
      <c r="G18" s="68" t="s">
        <v>258</v>
      </c>
      <c r="H18" s="69" t="s">
        <v>540</v>
      </c>
      <c r="I18" s="70" t="s">
        <v>188</v>
      </c>
      <c r="J18" s="70" t="s">
        <v>14</v>
      </c>
      <c r="K18" s="71"/>
      <c r="L18" s="67">
        <v>45078</v>
      </c>
      <c r="M18" s="70">
        <v>5</v>
      </c>
      <c r="N1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8" s="17">
        <v>0.5</v>
      </c>
      <c r="P18" s="67">
        <f>TabProjet[[#This Row],[Début]]+(TabProjet[[#This Row],[Deadline]]-TabProjet[[#This Row],[Début]])*TabProjet[[#This Row],[Progression]]</f>
        <v>45081</v>
      </c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</row>
    <row r="19" spans="2:72" x14ac:dyDescent="0.3">
      <c r="B19" s="3" t="str">
        <f>TabProjet[[#This Row],[IDProj]] &amp; TabProjet[[#This Row],[Point]] &amp; TabProjet[[#This Row],[IDSubProj]]</f>
        <v>1.5</v>
      </c>
      <c r="C19" s="99"/>
      <c r="D19" s="99">
        <f>IF(ISNUMBER($D18),IF(TabProjet[[#This Row],[Is Project]] &lt;&gt;"",$D18+1,$D18),1)</f>
        <v>1</v>
      </c>
      <c r="E19" s="99" t="str">
        <f>IF(TabProjet[[#This Row],[Is Project]] &lt;&gt; "","",".")</f>
        <v>.</v>
      </c>
      <c r="F19" s="99">
        <f>IFERROR(IF(TabProjet[[#This Row],[Is Project]]= "",$F18+1,""),1)</f>
        <v>5</v>
      </c>
      <c r="G19" s="68" t="s">
        <v>259</v>
      </c>
      <c r="H19" s="69" t="s">
        <v>541</v>
      </c>
      <c r="I19" s="70" t="s">
        <v>188</v>
      </c>
      <c r="J19" s="70" t="s">
        <v>25</v>
      </c>
      <c r="K19" s="71"/>
      <c r="L19" s="67">
        <v>45173</v>
      </c>
      <c r="M19" s="70">
        <v>2</v>
      </c>
      <c r="N1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45174</v>
      </c>
      <c r="O19" s="17">
        <v>1</v>
      </c>
      <c r="P19" s="67">
        <f>TabProjet[[#This Row],[Début]]+(TabProjet[[#This Row],[Deadline]]-TabProjet[[#This Row],[Début]])*TabProjet[[#This Row],[Progression]]</f>
        <v>45174</v>
      </c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</row>
    <row r="20" spans="2:72" x14ac:dyDescent="0.3">
      <c r="B20" s="3" t="str">
        <f>TabProjet[[#This Row],[IDProj]] &amp; TabProjet[[#This Row],[Point]] &amp; TabProjet[[#This Row],[IDSubProj]]</f>
        <v>1.6</v>
      </c>
      <c r="C20" s="99"/>
      <c r="D20" s="99">
        <f>IF(ISNUMBER($D19),IF(TabProjet[[#This Row],[Is Project]] &lt;&gt;"",$D19+1,$D19),1)</f>
        <v>1</v>
      </c>
      <c r="E20" s="99" t="str">
        <f>IF(TabProjet[[#This Row],[Is Project]] &lt;&gt; "","",".")</f>
        <v>.</v>
      </c>
      <c r="F20" s="99">
        <f>IFERROR(IF(TabProjet[[#This Row],[Is Project]]= "",$F19+1,""),1)</f>
        <v>6</v>
      </c>
      <c r="G20" s="68" t="s">
        <v>260</v>
      </c>
      <c r="H20" s="69" t="s">
        <v>102</v>
      </c>
      <c r="I20" s="70" t="s">
        <v>188</v>
      </c>
      <c r="J20" s="70" t="s">
        <v>13</v>
      </c>
      <c r="K20" s="71"/>
      <c r="L20" s="67">
        <v>45080</v>
      </c>
      <c r="M20" s="70">
        <v>5</v>
      </c>
      <c r="N2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45086</v>
      </c>
      <c r="O20" s="17">
        <v>1</v>
      </c>
      <c r="P20" s="67">
        <f>TabProjet[[#This Row],[Début]]+(TabProjet[[#This Row],[Deadline]]-TabProjet[[#This Row],[Début]])*TabProjet[[#This Row],[Progression]]</f>
        <v>45086</v>
      </c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</row>
    <row r="21" spans="2:72" x14ac:dyDescent="0.3">
      <c r="B21" s="3" t="str">
        <f>TabProjet[[#This Row],[IDProj]] &amp; TabProjet[[#This Row],[Point]] &amp; TabProjet[[#This Row],[IDSubProj]]</f>
        <v>1.7</v>
      </c>
      <c r="C21" s="99"/>
      <c r="D21" s="99">
        <f>IF(ISNUMBER($D20),IF(TabProjet[[#This Row],[Is Project]] &lt;&gt;"",$D20+1,$D20),1)</f>
        <v>1</v>
      </c>
      <c r="E21" s="99" t="str">
        <f>IF(TabProjet[[#This Row],[Is Project]] &lt;&gt; "","",".")</f>
        <v>.</v>
      </c>
      <c r="F21" s="99">
        <f>IFERROR(IF(TabProjet[[#This Row],[Is Project]]= "",$F20+1,""),1)</f>
        <v>7</v>
      </c>
      <c r="G21" s="68" t="s">
        <v>261</v>
      </c>
      <c r="H21" s="69" t="s">
        <v>539</v>
      </c>
      <c r="I21" s="70" t="s">
        <v>188</v>
      </c>
      <c r="J21" s="70" t="s">
        <v>16</v>
      </c>
      <c r="K21" s="71"/>
      <c r="L21" s="67">
        <v>45081</v>
      </c>
      <c r="M21" s="70">
        <v>5</v>
      </c>
      <c r="N2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45086</v>
      </c>
      <c r="O21" s="17">
        <v>1</v>
      </c>
      <c r="P21" s="67">
        <f>TabProjet[[#This Row],[Début]]+(TabProjet[[#This Row],[Deadline]]-TabProjet[[#This Row],[Début]])*TabProjet[[#This Row],[Progression]]</f>
        <v>45086</v>
      </c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</row>
    <row r="22" spans="2:72" x14ac:dyDescent="0.3">
      <c r="B22" s="3" t="str">
        <f>TabProjet[[#This Row],[IDProj]] &amp; TabProjet[[#This Row],[Point]] &amp; TabProjet[[#This Row],[IDSubProj]]</f>
        <v>1.8</v>
      </c>
      <c r="C22" s="99"/>
      <c r="D22" s="99">
        <f>IF(ISNUMBER($D21),IF(TabProjet[[#This Row],[Is Project]] &lt;&gt;"",$D21+1,$D21),1)</f>
        <v>1</v>
      </c>
      <c r="E22" s="99" t="str">
        <f>IF(TabProjet[[#This Row],[Is Project]] &lt;&gt; "","",".")</f>
        <v>.</v>
      </c>
      <c r="F22" s="99">
        <f>IFERROR(IF(TabProjet[[#This Row],[Is Project]]= "",$F21+1,""),1)</f>
        <v>8</v>
      </c>
      <c r="G22" s="68" t="s">
        <v>262</v>
      </c>
      <c r="H22" s="69" t="s">
        <v>102</v>
      </c>
      <c r="I22" s="70" t="s">
        <v>188</v>
      </c>
      <c r="J22" s="70" t="s">
        <v>24</v>
      </c>
      <c r="K22" s="71"/>
      <c r="L22" s="67">
        <v>45082</v>
      </c>
      <c r="M22" s="70">
        <v>5</v>
      </c>
      <c r="N2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45086</v>
      </c>
      <c r="O22" s="17">
        <v>1</v>
      </c>
      <c r="P22" s="67">
        <f>TabProjet[[#This Row],[Début]]+(TabProjet[[#This Row],[Deadline]]-TabProjet[[#This Row],[Début]])*TabProjet[[#This Row],[Progression]]</f>
        <v>45086</v>
      </c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3" spans="2:72" x14ac:dyDescent="0.3">
      <c r="B23" s="3" t="str">
        <f>TabProjet[[#This Row],[IDProj]] &amp; TabProjet[[#This Row],[Point]] &amp; TabProjet[[#This Row],[IDSubProj]]</f>
        <v>1.9</v>
      </c>
      <c r="C23" s="99"/>
      <c r="D23" s="99">
        <f>IF(ISNUMBER($D22),IF(TabProjet[[#This Row],[Is Project]] &lt;&gt;"",$D22+1,$D22),1)</f>
        <v>1</v>
      </c>
      <c r="E23" s="99" t="str">
        <f>IF(TabProjet[[#This Row],[Is Project]] &lt;&gt; "","",".")</f>
        <v>.</v>
      </c>
      <c r="F23" s="99">
        <f>IFERROR(IF(TabProjet[[#This Row],[Is Project]]= "",$F22+1,""),1)</f>
        <v>9</v>
      </c>
      <c r="G23" s="68" t="s">
        <v>158</v>
      </c>
      <c r="H23" s="69" t="s">
        <v>540</v>
      </c>
      <c r="I23" s="70" t="s">
        <v>263</v>
      </c>
      <c r="J23" s="70" t="s">
        <v>108</v>
      </c>
      <c r="K23" s="71" t="s">
        <v>256</v>
      </c>
      <c r="L23" s="67">
        <v>45083</v>
      </c>
      <c r="M23" s="70">
        <v>10</v>
      </c>
      <c r="N2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45096</v>
      </c>
      <c r="O23" s="17">
        <v>0.8</v>
      </c>
      <c r="P23" s="67">
        <f>TabProjet[[#This Row],[Début]]+(TabProjet[[#This Row],[Deadline]]-TabProjet[[#This Row],[Début]])*TabProjet[[#This Row],[Progression]]</f>
        <v>45093.4</v>
      </c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</row>
    <row r="24" spans="2:72" x14ac:dyDescent="0.3">
      <c r="B24" s="3" t="str">
        <f>TabProjet[[#This Row],[IDProj]] &amp; TabProjet[[#This Row],[Point]] &amp; TabProjet[[#This Row],[IDSubProj]]</f>
        <v>1.10</v>
      </c>
      <c r="C24" s="99"/>
      <c r="D24" s="99">
        <f>IF(ISNUMBER($D23),IF(TabProjet[[#This Row],[Is Project]] &lt;&gt;"",$D23+1,$D23),1)</f>
        <v>1</v>
      </c>
      <c r="E24" s="99" t="str">
        <f>IF(TabProjet[[#This Row],[Is Project]] &lt;&gt; "","",".")</f>
        <v>.</v>
      </c>
      <c r="F24" s="99">
        <f>IFERROR(IF(TabProjet[[#This Row],[Is Project]]= "",$F23+1,""),1)</f>
        <v>10</v>
      </c>
      <c r="G24" s="68" t="s">
        <v>159</v>
      </c>
      <c r="H24" s="69" t="s">
        <v>539</v>
      </c>
      <c r="I24" s="70" t="s">
        <v>264</v>
      </c>
      <c r="J24" s="70" t="s">
        <v>108</v>
      </c>
      <c r="K24" s="71" t="s">
        <v>265</v>
      </c>
      <c r="L24" s="67">
        <v>45084</v>
      </c>
      <c r="M24" s="70">
        <v>1</v>
      </c>
      <c r="N2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24" s="17">
        <v>0</v>
      </c>
      <c r="P24" s="67">
        <f>TabProjet[[#This Row],[Début]]+(TabProjet[[#This Row],[Deadline]]-TabProjet[[#This Row],[Début]])*TabProjet[[#This Row],[Progression]]</f>
        <v>45084</v>
      </c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</row>
    <row r="25" spans="2:72" x14ac:dyDescent="0.3">
      <c r="B25" s="3" t="str">
        <f>TabProjet[[#This Row],[IDProj]] &amp; TabProjet[[#This Row],[Point]] &amp; TabProjet[[#This Row],[IDSubProj]]</f>
        <v>2</v>
      </c>
      <c r="C25" s="99" t="s">
        <v>27</v>
      </c>
      <c r="D25" s="99">
        <f>IF(ISNUMBER($D24),IF(TabProjet[[#This Row],[Is Project]] &lt;&gt;"",$D24+1,$D24),1)</f>
        <v>2</v>
      </c>
      <c r="E25" s="99" t="str">
        <f>IF(TabProjet[[#This Row],[Is Project]] &lt;&gt; "","",".")</f>
        <v/>
      </c>
      <c r="F25" s="99" t="str">
        <f>IFERROR(IF(TabProjet[[#This Row],[Is Project]]= "",$F24+1,""),1)</f>
        <v/>
      </c>
      <c r="G25" s="68" t="s">
        <v>160</v>
      </c>
      <c r="H25" s="69"/>
      <c r="I25" s="70"/>
      <c r="J25" s="70"/>
      <c r="K25" s="71"/>
      <c r="L25" s="67">
        <f ca="1">IF(MinStartDate(TabProjet[[#This Row],[ID]]) = 0, "", MinStartDate(TabProjet[[#This Row],[ID]]))</f>
        <v>44811</v>
      </c>
      <c r="M25" s="70">
        <f>IFERROR(SUMIFS(TabProjet[Charge en J],TabProjet[Is Project],"",TabProjet[IDProj],TabProjet[[#This Row],[IDProj]]), "")</f>
        <v>187</v>
      </c>
      <c r="N25" s="66">
        <f ca="1">IF(MaxDeadlineDate(TabProjet[[#This Row],[ID]]) = 0, "", MaxDeadlineDate(TabProjet[[#This Row],[ID]]))</f>
        <v>44900</v>
      </c>
      <c r="O25" s="17">
        <f>IFERROR(AVERAGEIFS(TabProjet[Progression],TabProjet[Is Project],"",TabProjet[IDProj],TabProjet[[#This Row],[IDProj]]), 0)</f>
        <v>0.09</v>
      </c>
      <c r="P25" s="67">
        <f ca="1">TabProjet[[#This Row],[Début]]+(TabProjet[[#This Row],[Deadline]]-TabProjet[[#This Row],[Début]])*TabProjet[[#This Row],[Progression]]</f>
        <v>44819.01</v>
      </c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</row>
    <row r="26" spans="2:72" x14ac:dyDescent="0.3">
      <c r="B26" s="3" t="str">
        <f>TabProjet[[#This Row],[IDProj]] &amp; TabProjet[[#This Row],[Point]] &amp; TabProjet[[#This Row],[IDSubProj]]</f>
        <v>2.1</v>
      </c>
      <c r="C26" s="99"/>
      <c r="D26" s="99">
        <f>IF(ISNUMBER($D25),IF(TabProjet[[#This Row],[Is Project]] &lt;&gt;"",$D25+1,$D25),1)</f>
        <v>2</v>
      </c>
      <c r="E26" s="99" t="str">
        <f>IF(TabProjet[[#This Row],[Is Project]] &lt;&gt; "","",".")</f>
        <v>.</v>
      </c>
      <c r="F26" s="99">
        <f>IFERROR(IF(TabProjet[[#This Row],[Is Project]]= "",$F25+1,""),1)</f>
        <v>1</v>
      </c>
      <c r="G26" s="68" t="s">
        <v>266</v>
      </c>
      <c r="H26" s="69" t="s">
        <v>539</v>
      </c>
      <c r="I26" s="70">
        <v>1</v>
      </c>
      <c r="J26" s="70" t="s">
        <v>115</v>
      </c>
      <c r="K26" s="71" t="s">
        <v>267</v>
      </c>
      <c r="L26" s="72">
        <v>44811</v>
      </c>
      <c r="M26" s="73">
        <v>20</v>
      </c>
      <c r="N2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44838</v>
      </c>
      <c r="O26" s="17">
        <v>0.1</v>
      </c>
      <c r="P26" s="67">
        <f>TabProjet[[#This Row],[Début]]+(TabProjet[[#This Row],[Deadline]]-TabProjet[[#This Row],[Début]])*TabProjet[[#This Row],[Progression]]</f>
        <v>44813.7</v>
      </c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</row>
    <row r="27" spans="2:72" x14ac:dyDescent="0.3">
      <c r="B27" s="3" t="str">
        <f>TabProjet[[#This Row],[IDProj]] &amp; TabProjet[[#This Row],[Point]] &amp; TabProjet[[#This Row],[IDSubProj]]</f>
        <v>2.2</v>
      </c>
      <c r="C27" s="99"/>
      <c r="D27" s="99">
        <f>IF(ISNUMBER($D26),IF(TabProjet[[#This Row],[Is Project]] &lt;&gt;"",$D26+1,$D26),1)</f>
        <v>2</v>
      </c>
      <c r="E27" s="99" t="str">
        <f>IF(TabProjet[[#This Row],[Is Project]] &lt;&gt; "","",".")</f>
        <v>.</v>
      </c>
      <c r="F27" s="99">
        <f>IFERROR(IF(TabProjet[[#This Row],[Is Project]]= "",$F26+1,""),1)</f>
        <v>2</v>
      </c>
      <c r="G27" s="68" t="s">
        <v>269</v>
      </c>
      <c r="H27" s="69" t="s">
        <v>541</v>
      </c>
      <c r="I27" s="70">
        <v>1</v>
      </c>
      <c r="J27" s="70" t="s">
        <v>14</v>
      </c>
      <c r="K27" s="71" t="s">
        <v>267</v>
      </c>
      <c r="L27" s="72">
        <v>44811</v>
      </c>
      <c r="M27" s="73">
        <v>20</v>
      </c>
      <c r="N2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44838</v>
      </c>
      <c r="O27" s="17">
        <v>0.1</v>
      </c>
      <c r="P27" s="67">
        <f>TabProjet[[#This Row],[Début]]+(TabProjet[[#This Row],[Deadline]]-TabProjet[[#This Row],[Début]])*TabProjet[[#This Row],[Progression]]</f>
        <v>44813.7</v>
      </c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</row>
    <row r="28" spans="2:72" x14ac:dyDescent="0.3">
      <c r="B28" s="3" t="str">
        <f>TabProjet[[#This Row],[IDProj]] &amp; TabProjet[[#This Row],[Point]] &amp; TabProjet[[#This Row],[IDSubProj]]</f>
        <v>2.3</v>
      </c>
      <c r="C28" s="99"/>
      <c r="D28" s="99">
        <f>IF(ISNUMBER($D27),IF(TabProjet[[#This Row],[Is Project]] &lt;&gt;"",$D27+1,$D27),1)</f>
        <v>2</v>
      </c>
      <c r="E28" s="99" t="str">
        <f>IF(TabProjet[[#This Row],[Is Project]] &lt;&gt; "","",".")</f>
        <v>.</v>
      </c>
      <c r="F28" s="99">
        <f>IFERROR(IF(TabProjet[[#This Row],[Is Project]]= "",$F27+1,""),1)</f>
        <v>3</v>
      </c>
      <c r="G28" s="68" t="s">
        <v>270</v>
      </c>
      <c r="H28" s="69" t="s">
        <v>102</v>
      </c>
      <c r="I28" s="70">
        <v>1</v>
      </c>
      <c r="J28" s="70" t="s">
        <v>25</v>
      </c>
      <c r="K28" s="71" t="s">
        <v>267</v>
      </c>
      <c r="L28" s="72">
        <v>44811</v>
      </c>
      <c r="M28" s="73">
        <v>20</v>
      </c>
      <c r="N2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44838</v>
      </c>
      <c r="O28" s="17">
        <v>0.1</v>
      </c>
      <c r="P28" s="67">
        <f>TabProjet[[#This Row],[Début]]+(TabProjet[[#This Row],[Deadline]]-TabProjet[[#This Row],[Début]])*TabProjet[[#This Row],[Progression]]</f>
        <v>44813.7</v>
      </c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</row>
    <row r="29" spans="2:72" x14ac:dyDescent="0.3">
      <c r="B29" s="3" t="str">
        <f>TabProjet[[#This Row],[IDProj]] &amp; TabProjet[[#This Row],[Point]] &amp; TabProjet[[#This Row],[IDSubProj]]</f>
        <v>2.4</v>
      </c>
      <c r="C29" s="99"/>
      <c r="D29" s="99">
        <f>IF(ISNUMBER($D28),IF(TabProjet[[#This Row],[Is Project]] &lt;&gt;"",$D28+1,$D28),1)</f>
        <v>2</v>
      </c>
      <c r="E29" s="99" t="str">
        <f>IF(TabProjet[[#This Row],[Is Project]] &lt;&gt; "","",".")</f>
        <v>.</v>
      </c>
      <c r="F29" s="99">
        <f>IFERROR(IF(TabProjet[[#This Row],[Is Project]]= "",$F28+1,""),1)</f>
        <v>4</v>
      </c>
      <c r="G29" s="68" t="s">
        <v>271</v>
      </c>
      <c r="H29" s="69" t="s">
        <v>102</v>
      </c>
      <c r="I29" s="70">
        <v>1</v>
      </c>
      <c r="J29" s="70" t="s">
        <v>13</v>
      </c>
      <c r="K29" s="71" t="s">
        <v>267</v>
      </c>
      <c r="L29" s="72">
        <v>44811</v>
      </c>
      <c r="M29" s="73">
        <v>20</v>
      </c>
      <c r="N2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44838</v>
      </c>
      <c r="O29" s="17">
        <v>0.1</v>
      </c>
      <c r="P29" s="67">
        <f>TabProjet[[#This Row],[Début]]+(TabProjet[[#This Row],[Deadline]]-TabProjet[[#This Row],[Début]])*TabProjet[[#This Row],[Progression]]</f>
        <v>44813.7</v>
      </c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</row>
    <row r="30" spans="2:72" x14ac:dyDescent="0.3">
      <c r="B30" s="3" t="str">
        <f>TabProjet[[#This Row],[IDProj]] &amp; TabProjet[[#This Row],[Point]] &amp; TabProjet[[#This Row],[IDSubProj]]</f>
        <v>2.5</v>
      </c>
      <c r="C30" s="99"/>
      <c r="D30" s="99">
        <f>IF(ISNUMBER($D29),IF(TabProjet[[#This Row],[Is Project]] &lt;&gt;"",$D29+1,$D29),1)</f>
        <v>2</v>
      </c>
      <c r="E30" s="99" t="str">
        <f>IF(TabProjet[[#This Row],[Is Project]] &lt;&gt; "","",".")</f>
        <v>.</v>
      </c>
      <c r="F30" s="99">
        <f>IFERROR(IF(TabProjet[[#This Row],[Is Project]]= "",$F29+1,""),1)</f>
        <v>5</v>
      </c>
      <c r="G30" s="68" t="s">
        <v>272</v>
      </c>
      <c r="H30" s="69" t="s">
        <v>540</v>
      </c>
      <c r="I30" s="70">
        <v>1</v>
      </c>
      <c r="J30" s="70" t="s">
        <v>16</v>
      </c>
      <c r="K30" s="71" t="s">
        <v>267</v>
      </c>
      <c r="L30" s="72">
        <v>44811</v>
      </c>
      <c r="M30" s="73">
        <v>20</v>
      </c>
      <c r="N3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44838</v>
      </c>
      <c r="O30" s="17">
        <v>0.1</v>
      </c>
      <c r="P30" s="67">
        <f>TabProjet[[#This Row],[Début]]+(TabProjet[[#This Row],[Deadline]]-TabProjet[[#This Row],[Début]])*TabProjet[[#This Row],[Progression]]</f>
        <v>44813.7</v>
      </c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</row>
    <row r="31" spans="2:72" x14ac:dyDescent="0.3">
      <c r="B31" s="3" t="str">
        <f>TabProjet[[#This Row],[IDProj]] &amp; TabProjet[[#This Row],[Point]] &amp; TabProjet[[#This Row],[IDSubProj]]</f>
        <v>2.6</v>
      </c>
      <c r="C31" s="99"/>
      <c r="D31" s="99">
        <f>IF(ISNUMBER($D30),IF(TabProjet[[#This Row],[Is Project]] &lt;&gt;"",$D30+1,$D30),1)</f>
        <v>2</v>
      </c>
      <c r="E31" s="99" t="str">
        <f>IF(TabProjet[[#This Row],[Is Project]] &lt;&gt; "","",".")</f>
        <v>.</v>
      </c>
      <c r="F31" s="99">
        <f>IFERROR(IF(TabProjet[[#This Row],[Is Project]]= "",$F30+1,""),1)</f>
        <v>6</v>
      </c>
      <c r="G31" s="68" t="s">
        <v>273</v>
      </c>
      <c r="H31" s="69" t="s">
        <v>539</v>
      </c>
      <c r="I31" s="70">
        <v>1</v>
      </c>
      <c r="J31" s="70" t="s">
        <v>24</v>
      </c>
      <c r="K31" s="71" t="s">
        <v>267</v>
      </c>
      <c r="L31" s="72">
        <v>44811</v>
      </c>
      <c r="M31" s="73">
        <v>20</v>
      </c>
      <c r="N3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44838</v>
      </c>
      <c r="O31" s="17">
        <v>0.1</v>
      </c>
      <c r="P31" s="67">
        <f>TabProjet[[#This Row],[Début]]+(TabProjet[[#This Row],[Deadline]]-TabProjet[[#This Row],[Début]])*TabProjet[[#This Row],[Progression]]</f>
        <v>44813.7</v>
      </c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</row>
    <row r="32" spans="2:72" x14ac:dyDescent="0.3">
      <c r="B32" s="3" t="str">
        <f>TabProjet[[#This Row],[IDProj]] &amp; TabProjet[[#This Row],[Point]] &amp; TabProjet[[#This Row],[IDSubProj]]</f>
        <v>2.7</v>
      </c>
      <c r="C32" s="99"/>
      <c r="D32" s="99">
        <f>IF(ISNUMBER($D31),IF(TabProjet[[#This Row],[Is Project]] &lt;&gt;"",$D31+1,$D31),1)</f>
        <v>2</v>
      </c>
      <c r="E32" s="99" t="str">
        <f>IF(TabProjet[[#This Row],[Is Project]] &lt;&gt; "","",".")</f>
        <v>.</v>
      </c>
      <c r="F32" s="99">
        <f>IFERROR(IF(TabProjet[[#This Row],[Is Project]]= "",$F31+1,""),1)</f>
        <v>7</v>
      </c>
      <c r="G32" s="68" t="s">
        <v>161</v>
      </c>
      <c r="H32" s="69" t="s">
        <v>541</v>
      </c>
      <c r="I32" s="70" t="s">
        <v>274</v>
      </c>
      <c r="J32" s="70" t="s">
        <v>108</v>
      </c>
      <c r="K32" s="71" t="s">
        <v>275</v>
      </c>
      <c r="L32" s="72">
        <v>44840</v>
      </c>
      <c r="M32" s="73">
        <v>22</v>
      </c>
      <c r="N3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44869</v>
      </c>
      <c r="O32" s="17">
        <v>0.1</v>
      </c>
      <c r="P32" s="67">
        <f>TabProjet[[#This Row],[Début]]+(TabProjet[[#This Row],[Deadline]]-TabProjet[[#This Row],[Début]])*TabProjet[[#This Row],[Progression]]</f>
        <v>44842.9</v>
      </c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</row>
    <row r="33" spans="2:72" x14ac:dyDescent="0.3">
      <c r="B33" s="3" t="str">
        <f>TabProjet[[#This Row],[IDProj]] &amp; TabProjet[[#This Row],[Point]] &amp; TabProjet[[#This Row],[IDSubProj]]</f>
        <v>2.8</v>
      </c>
      <c r="C33" s="99"/>
      <c r="D33" s="99">
        <f>IF(ISNUMBER($D32),IF(TabProjet[[#This Row],[Is Project]] &lt;&gt;"",$D32+1,$D32),1)</f>
        <v>2</v>
      </c>
      <c r="E33" s="99" t="str">
        <f>IF(TabProjet[[#This Row],[Is Project]] &lt;&gt; "","",".")</f>
        <v>.</v>
      </c>
      <c r="F33" s="99">
        <f>IFERROR(IF(TabProjet[[#This Row],[Is Project]]= "",$F32+1,""),1)</f>
        <v>8</v>
      </c>
      <c r="G33" s="68" t="s">
        <v>162</v>
      </c>
      <c r="H33" s="69" t="s">
        <v>102</v>
      </c>
      <c r="I33" s="70" t="s">
        <v>276</v>
      </c>
      <c r="J33" s="70" t="s">
        <v>108</v>
      </c>
      <c r="K33" s="71" t="s">
        <v>275</v>
      </c>
      <c r="L33" s="72">
        <v>44869</v>
      </c>
      <c r="M33" s="73">
        <v>22</v>
      </c>
      <c r="N3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44900</v>
      </c>
      <c r="O33" s="17">
        <v>0.15</v>
      </c>
      <c r="P33" s="67">
        <f>TabProjet[[#This Row],[Début]]+(TabProjet[[#This Row],[Deadline]]-TabProjet[[#This Row],[Début]])*TabProjet[[#This Row],[Progression]]</f>
        <v>44873.65</v>
      </c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</row>
    <row r="34" spans="2:72" x14ac:dyDescent="0.3">
      <c r="B34" s="3" t="str">
        <f>TabProjet[[#This Row],[IDProj]] &amp; TabProjet[[#This Row],[Point]] &amp; TabProjet[[#This Row],[IDSubProj]]</f>
        <v>2.9</v>
      </c>
      <c r="C34" s="99"/>
      <c r="D34" s="99">
        <f>IF(ISNUMBER($D33),IF(TabProjet[[#This Row],[Is Project]] &lt;&gt;"",$D33+1,$D33),1)</f>
        <v>2</v>
      </c>
      <c r="E34" s="99" t="str">
        <f>IF(TabProjet[[#This Row],[Is Project]] &lt;&gt; "","",".")</f>
        <v>.</v>
      </c>
      <c r="F34" s="99">
        <f>IFERROR(IF(TabProjet[[#This Row],[Is Project]]= "",$F33+1,""),1)</f>
        <v>9</v>
      </c>
      <c r="G34" s="68" t="s">
        <v>163</v>
      </c>
      <c r="H34" s="69" t="s">
        <v>102</v>
      </c>
      <c r="I34" s="70">
        <v>1</v>
      </c>
      <c r="J34" s="70" t="s">
        <v>12</v>
      </c>
      <c r="K34" s="71" t="s">
        <v>267</v>
      </c>
      <c r="L34" s="72">
        <v>44811</v>
      </c>
      <c r="M34" s="73">
        <v>22</v>
      </c>
      <c r="N3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44840</v>
      </c>
      <c r="O34" s="17">
        <v>0.05</v>
      </c>
      <c r="P34" s="67">
        <f>TabProjet[[#This Row],[Début]]+(TabProjet[[#This Row],[Deadline]]-TabProjet[[#This Row],[Début]])*TabProjet[[#This Row],[Progression]]</f>
        <v>44812.45</v>
      </c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</row>
    <row r="35" spans="2:72" ht="28.8" x14ac:dyDescent="0.3">
      <c r="B35" s="3" t="str">
        <f>TabProjet[[#This Row],[IDProj]] &amp; TabProjet[[#This Row],[Point]] &amp; TabProjet[[#This Row],[IDSubProj]]</f>
        <v>2.10</v>
      </c>
      <c r="C35" s="99"/>
      <c r="D35" s="99">
        <f>IF(ISNUMBER($D34),IF(TabProjet[[#This Row],[Is Project]] &lt;&gt;"",$D34+1,$D34),1)</f>
        <v>2</v>
      </c>
      <c r="E35" s="99" t="str">
        <f>IF(TabProjet[[#This Row],[Is Project]] &lt;&gt; "","",".")</f>
        <v>.</v>
      </c>
      <c r="F35" s="99">
        <f>IFERROR(IF(TabProjet[[#This Row],[Is Project]]= "",$F34+1,""),1)</f>
        <v>10</v>
      </c>
      <c r="G35" s="68" t="s">
        <v>164</v>
      </c>
      <c r="H35" s="69" t="s">
        <v>540</v>
      </c>
      <c r="I35" s="70" t="s">
        <v>268</v>
      </c>
      <c r="J35" s="70" t="s">
        <v>108</v>
      </c>
      <c r="K35" s="71" t="s">
        <v>277</v>
      </c>
      <c r="L35" s="72">
        <v>44838</v>
      </c>
      <c r="M35" s="73">
        <v>1</v>
      </c>
      <c r="N3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44838</v>
      </c>
      <c r="O35" s="17">
        <v>0</v>
      </c>
      <c r="P35" s="67">
        <f>TabProjet[[#This Row],[Début]]+(TabProjet[[#This Row],[Deadline]]-TabProjet[[#This Row],[Début]])*TabProjet[[#This Row],[Progression]]</f>
        <v>44838</v>
      </c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</row>
    <row r="36" spans="2:72" x14ac:dyDescent="0.3">
      <c r="B36" s="3" t="str">
        <f>TabProjet[[#This Row],[IDProj]] &amp; TabProjet[[#This Row],[Point]] &amp; TabProjet[[#This Row],[IDSubProj]]</f>
        <v>3</v>
      </c>
      <c r="C36" s="99" t="s">
        <v>27</v>
      </c>
      <c r="D36" s="99">
        <f>IF(ISNUMBER($D35),IF(TabProjet[[#This Row],[Is Project]] &lt;&gt;"",$D35+1,$D35),1)</f>
        <v>3</v>
      </c>
      <c r="E36" s="99" t="str">
        <f>IF(TabProjet[[#This Row],[Is Project]] &lt;&gt; "","",".")</f>
        <v/>
      </c>
      <c r="F36" s="99" t="str">
        <f>IFERROR(IF(TabProjet[[#This Row],[Is Project]]= "",$F35+1,""),1)</f>
        <v/>
      </c>
      <c r="G36" s="68" t="s">
        <v>165</v>
      </c>
      <c r="H36" s="69"/>
      <c r="I36" s="70"/>
      <c r="J36" s="70"/>
      <c r="K36" s="71"/>
      <c r="L36" s="67">
        <f ca="1">IF(MinStartDate(TabProjet[[#This Row],[ID]]) = 0, "", MinStartDate(TabProjet[[#This Row],[ID]]))</f>
        <v>44898</v>
      </c>
      <c r="M36" s="70">
        <f>IFERROR(SUMIFS(TabProjet[Charge en J],TabProjet[Is Project],"",TabProjet[IDProj],TabProjet[[#This Row],[IDProj]]), "")</f>
        <v>1062</v>
      </c>
      <c r="N36" s="66">
        <f ca="1">IF(MaxDeadlineDate(TabProjet[[#This Row],[ID]]) = 0, "", MaxDeadlineDate(TabProjet[[#This Row],[ID]]))</f>
        <v>45015</v>
      </c>
      <c r="O36" s="17">
        <f>IFERROR(AVERAGEIFS(TabProjet[Progression],TabProjet[Is Project],"",TabProjet[IDProj],TabProjet[[#This Row],[IDProj]]), 0)</f>
        <v>0</v>
      </c>
      <c r="P36" s="67">
        <f ca="1">TabProjet[[#This Row],[Début]]+(TabProjet[[#This Row],[Deadline]]-TabProjet[[#This Row],[Début]])*TabProjet[[#This Row],[Progression]]</f>
        <v>44898</v>
      </c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</row>
    <row r="37" spans="2:72" x14ac:dyDescent="0.3">
      <c r="B37" s="3" t="str">
        <f>TabProjet[[#This Row],[IDProj]] &amp; TabProjet[[#This Row],[Point]] &amp; TabProjet[[#This Row],[IDSubProj]]</f>
        <v>3.1</v>
      </c>
      <c r="C37" s="99"/>
      <c r="D37" s="99">
        <f>IF(ISNUMBER($D36),IF(TabProjet[[#This Row],[Is Project]] &lt;&gt;"",$D36+1,$D36),1)</f>
        <v>3</v>
      </c>
      <c r="E37" s="99" t="str">
        <f>IF(TabProjet[[#This Row],[Is Project]] &lt;&gt; "","",".")</f>
        <v>.</v>
      </c>
      <c r="F37" s="99">
        <f>IFERROR(IF(TabProjet[[#This Row],[Is Project]]= "",$F36+1,""),1)</f>
        <v>1</v>
      </c>
      <c r="G37" s="68" t="s">
        <v>278</v>
      </c>
      <c r="H37" s="69" t="s">
        <v>102</v>
      </c>
      <c r="I37" s="70">
        <v>2</v>
      </c>
      <c r="J37" s="70" t="s">
        <v>26</v>
      </c>
      <c r="K37" s="71"/>
      <c r="L37" s="72">
        <v>44898</v>
      </c>
      <c r="M37" s="73">
        <v>65</v>
      </c>
      <c r="N3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37" s="17">
        <v>0</v>
      </c>
      <c r="P37" s="67">
        <f>TabProjet[[#This Row],[Début]]+(TabProjet[[#This Row],[Deadline]]-TabProjet[[#This Row],[Début]])*TabProjet[[#This Row],[Progression]]</f>
        <v>44898</v>
      </c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</row>
    <row r="38" spans="2:72" x14ac:dyDescent="0.3">
      <c r="B38" s="3" t="str">
        <f>TabProjet[[#This Row],[IDProj]] &amp; TabProjet[[#This Row],[Point]] &amp; TabProjet[[#This Row],[IDSubProj]]</f>
        <v>3.2</v>
      </c>
      <c r="C38" s="99"/>
      <c r="D38" s="99">
        <f>IF(ISNUMBER($D37),IF(TabProjet[[#This Row],[Is Project]] &lt;&gt;"",$D37+1,$D37),1)</f>
        <v>3</v>
      </c>
      <c r="E38" s="99" t="str">
        <f>IF(TabProjet[[#This Row],[Is Project]] &lt;&gt; "","",".")</f>
        <v>.</v>
      </c>
      <c r="F38" s="99">
        <f>IFERROR(IF(TabProjet[[#This Row],[Is Project]]= "",$F37+1,""),1)</f>
        <v>2</v>
      </c>
      <c r="G38" s="68" t="s">
        <v>279</v>
      </c>
      <c r="H38" s="69" t="s">
        <v>102</v>
      </c>
      <c r="I38" s="70">
        <v>2</v>
      </c>
      <c r="J38" s="70" t="s">
        <v>22</v>
      </c>
      <c r="K38" s="71"/>
      <c r="L38" s="72">
        <v>44898</v>
      </c>
      <c r="M38" s="73">
        <v>65</v>
      </c>
      <c r="N3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38" s="17">
        <v>0</v>
      </c>
      <c r="P38" s="67">
        <f>TabProjet[[#This Row],[Début]]+(TabProjet[[#This Row],[Deadline]]-TabProjet[[#This Row],[Début]])*TabProjet[[#This Row],[Progression]]</f>
        <v>44898</v>
      </c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</row>
    <row r="39" spans="2:72" x14ac:dyDescent="0.3">
      <c r="B39" s="3" t="str">
        <f>TabProjet[[#This Row],[IDProj]] &amp; TabProjet[[#This Row],[Point]] &amp; TabProjet[[#This Row],[IDSubProj]]</f>
        <v>3.3</v>
      </c>
      <c r="C39" s="99"/>
      <c r="D39" s="99">
        <f>IF(ISNUMBER($D38),IF(TabProjet[[#This Row],[Is Project]] &lt;&gt;"",$D38+1,$D38),1)</f>
        <v>3</v>
      </c>
      <c r="E39" s="99" t="str">
        <f>IF(TabProjet[[#This Row],[Is Project]] &lt;&gt; "","",".")</f>
        <v>.</v>
      </c>
      <c r="F39" s="99">
        <f>IFERROR(IF(TabProjet[[#This Row],[Is Project]]= "",$F38+1,""),1)</f>
        <v>3</v>
      </c>
      <c r="G39" s="68" t="s">
        <v>280</v>
      </c>
      <c r="H39" s="69" t="s">
        <v>102</v>
      </c>
      <c r="I39" s="70">
        <v>2</v>
      </c>
      <c r="J39" s="70" t="s">
        <v>21</v>
      </c>
      <c r="K39" s="71"/>
      <c r="L39" s="72">
        <v>44898</v>
      </c>
      <c r="M39" s="73">
        <v>65</v>
      </c>
      <c r="N3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39" s="17">
        <v>0</v>
      </c>
      <c r="P39" s="67">
        <f>TabProjet[[#This Row],[Début]]+(TabProjet[[#This Row],[Deadline]]-TabProjet[[#This Row],[Début]])*TabProjet[[#This Row],[Progression]]</f>
        <v>44898</v>
      </c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</row>
    <row r="40" spans="2:72" x14ac:dyDescent="0.3">
      <c r="B40" s="3" t="str">
        <f>TabProjet[[#This Row],[IDProj]] &amp; TabProjet[[#This Row],[Point]] &amp; TabProjet[[#This Row],[IDSubProj]]</f>
        <v>3.4</v>
      </c>
      <c r="C40" s="99"/>
      <c r="D40" s="99">
        <f>IF(ISNUMBER($D39),IF(TabProjet[[#This Row],[Is Project]] &lt;&gt;"",$D39+1,$D39),1)</f>
        <v>3</v>
      </c>
      <c r="E40" s="99" t="str">
        <f>IF(TabProjet[[#This Row],[Is Project]] &lt;&gt; "","",".")</f>
        <v>.</v>
      </c>
      <c r="F40" s="99">
        <f>IFERROR(IF(TabProjet[[#This Row],[Is Project]]= "",$F39+1,""),1)</f>
        <v>4</v>
      </c>
      <c r="G40" s="68" t="s">
        <v>281</v>
      </c>
      <c r="H40" s="69" t="s">
        <v>102</v>
      </c>
      <c r="I40" s="70">
        <v>2</v>
      </c>
      <c r="J40" s="70" t="s">
        <v>23</v>
      </c>
      <c r="K40" s="71"/>
      <c r="L40" s="72">
        <v>44898</v>
      </c>
      <c r="M40" s="73">
        <v>65</v>
      </c>
      <c r="N4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0" s="17">
        <v>0</v>
      </c>
      <c r="P40" s="67">
        <f>TabProjet[[#This Row],[Début]]+(TabProjet[[#This Row],[Deadline]]-TabProjet[[#This Row],[Début]])*TabProjet[[#This Row],[Progression]]</f>
        <v>44898</v>
      </c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</row>
    <row r="41" spans="2:72" x14ac:dyDescent="0.3">
      <c r="B41" s="3" t="str">
        <f>TabProjet[[#This Row],[IDProj]] &amp; TabProjet[[#This Row],[Point]] &amp; TabProjet[[#This Row],[IDSubProj]]</f>
        <v>3.5</v>
      </c>
      <c r="C41" s="99"/>
      <c r="D41" s="99">
        <f>IF(ISNUMBER($D40),IF(TabProjet[[#This Row],[Is Project]] &lt;&gt;"",$D40+1,$D40),1)</f>
        <v>3</v>
      </c>
      <c r="E41" s="99" t="str">
        <f>IF(TabProjet[[#This Row],[Is Project]] &lt;&gt; "","",".")</f>
        <v>.</v>
      </c>
      <c r="F41" s="99">
        <f>IFERROR(IF(TabProjet[[#This Row],[Is Project]]= "",$F40+1,""),1)</f>
        <v>5</v>
      </c>
      <c r="G41" s="68" t="s">
        <v>282</v>
      </c>
      <c r="H41" s="69" t="s">
        <v>102</v>
      </c>
      <c r="I41" s="70">
        <v>2</v>
      </c>
      <c r="J41" s="70" t="s">
        <v>15</v>
      </c>
      <c r="K41" s="71"/>
      <c r="L41" s="72">
        <v>44898</v>
      </c>
      <c r="M41" s="73">
        <v>65</v>
      </c>
      <c r="N4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1" s="17">
        <v>0</v>
      </c>
      <c r="P41" s="67">
        <f>TabProjet[[#This Row],[Début]]+(TabProjet[[#This Row],[Deadline]]-TabProjet[[#This Row],[Début]])*TabProjet[[#This Row],[Progression]]</f>
        <v>44898</v>
      </c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</row>
    <row r="42" spans="2:72" x14ac:dyDescent="0.3">
      <c r="B42" s="3" t="str">
        <f>TabProjet[[#This Row],[IDProj]] &amp; TabProjet[[#This Row],[Point]] &amp; TabProjet[[#This Row],[IDSubProj]]</f>
        <v>3.6</v>
      </c>
      <c r="C42" s="99"/>
      <c r="D42" s="99">
        <f>IF(ISNUMBER($D41),IF(TabProjet[[#This Row],[Is Project]] &lt;&gt;"",$D41+1,$D41),1)</f>
        <v>3</v>
      </c>
      <c r="E42" s="99" t="str">
        <f>IF(TabProjet[[#This Row],[Is Project]] &lt;&gt; "","",".")</f>
        <v>.</v>
      </c>
      <c r="F42" s="99">
        <f>IFERROR(IF(TabProjet[[#This Row],[Is Project]]= "",$F41+1,""),1)</f>
        <v>6</v>
      </c>
      <c r="G42" s="68" t="s">
        <v>282</v>
      </c>
      <c r="H42" s="69" t="s">
        <v>102</v>
      </c>
      <c r="I42" s="70">
        <v>2</v>
      </c>
      <c r="J42" s="70" t="s">
        <v>134</v>
      </c>
      <c r="K42" s="71"/>
      <c r="L42" s="72">
        <v>44898</v>
      </c>
      <c r="M42" s="73">
        <v>65</v>
      </c>
      <c r="N4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2" s="17">
        <v>0</v>
      </c>
      <c r="P42" s="67">
        <f>TabProjet[[#This Row],[Début]]+(TabProjet[[#This Row],[Deadline]]-TabProjet[[#This Row],[Début]])*TabProjet[[#This Row],[Progression]]</f>
        <v>44898</v>
      </c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</row>
    <row r="43" spans="2:72" x14ac:dyDescent="0.3">
      <c r="B43" s="3" t="str">
        <f>TabProjet[[#This Row],[IDProj]] &amp; TabProjet[[#This Row],[Point]] &amp; TabProjet[[#This Row],[IDSubProj]]</f>
        <v>3.7</v>
      </c>
      <c r="C43" s="99"/>
      <c r="D43" s="99">
        <f>IF(ISNUMBER($D42),IF(TabProjet[[#This Row],[Is Project]] &lt;&gt;"",$D42+1,$D42),1)</f>
        <v>3</v>
      </c>
      <c r="E43" s="99" t="str">
        <f>IF(TabProjet[[#This Row],[Is Project]] &lt;&gt; "","",".")</f>
        <v>.</v>
      </c>
      <c r="F43" s="99">
        <f>IFERROR(IF(TabProjet[[#This Row],[Is Project]]= "",$F42+1,""),1)</f>
        <v>7</v>
      </c>
      <c r="G43" s="68" t="s">
        <v>283</v>
      </c>
      <c r="H43" s="69" t="s">
        <v>102</v>
      </c>
      <c r="I43" s="70">
        <v>2</v>
      </c>
      <c r="J43" s="70" t="s">
        <v>20</v>
      </c>
      <c r="K43" s="71"/>
      <c r="L43" s="72">
        <v>44898</v>
      </c>
      <c r="M43" s="73">
        <v>65</v>
      </c>
      <c r="N4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3" s="17">
        <v>0</v>
      </c>
      <c r="P43" s="67">
        <f>TabProjet[[#This Row],[Début]]+(TabProjet[[#This Row],[Deadline]]-TabProjet[[#This Row],[Début]])*TabProjet[[#This Row],[Progression]]</f>
        <v>44898</v>
      </c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</row>
    <row r="44" spans="2:72" x14ac:dyDescent="0.3">
      <c r="B44" s="3" t="str">
        <f>TabProjet[[#This Row],[IDProj]] &amp; TabProjet[[#This Row],[Point]] &amp; TabProjet[[#This Row],[IDSubProj]]</f>
        <v>3.8</v>
      </c>
      <c r="C44" s="99"/>
      <c r="D44" s="99">
        <f>IF(ISNUMBER($D43),IF(TabProjet[[#This Row],[Is Project]] &lt;&gt;"",$D43+1,$D43),1)</f>
        <v>3</v>
      </c>
      <c r="E44" s="99" t="str">
        <f>IF(TabProjet[[#This Row],[Is Project]] &lt;&gt; "","",".")</f>
        <v>.</v>
      </c>
      <c r="F44" s="99">
        <f>IFERROR(IF(TabProjet[[#This Row],[Is Project]]= "",$F43+1,""),1)</f>
        <v>8</v>
      </c>
      <c r="G44" s="68" t="s">
        <v>284</v>
      </c>
      <c r="H44" s="69" t="s">
        <v>539</v>
      </c>
      <c r="I44" s="70">
        <v>2</v>
      </c>
      <c r="J44" s="70" t="s">
        <v>18</v>
      </c>
      <c r="K44" s="71"/>
      <c r="L44" s="72">
        <v>44898</v>
      </c>
      <c r="M44" s="73">
        <v>65</v>
      </c>
      <c r="N4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4" s="17">
        <v>0</v>
      </c>
      <c r="P44" s="67">
        <f>TabProjet[[#This Row],[Début]]+(TabProjet[[#This Row],[Deadline]]-TabProjet[[#This Row],[Début]])*TabProjet[[#This Row],[Progression]]</f>
        <v>44898</v>
      </c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</row>
    <row r="45" spans="2:72" x14ac:dyDescent="0.3">
      <c r="B45" s="3" t="str">
        <f>TabProjet[[#This Row],[IDProj]] &amp; TabProjet[[#This Row],[Point]] &amp; TabProjet[[#This Row],[IDSubProj]]</f>
        <v>3.9</v>
      </c>
      <c r="C45" s="99"/>
      <c r="D45" s="99">
        <f>IF(ISNUMBER($D44),IF(TabProjet[[#This Row],[Is Project]] &lt;&gt;"",$D44+1,$D44),1)</f>
        <v>3</v>
      </c>
      <c r="E45" s="99" t="str">
        <f>IF(TabProjet[[#This Row],[Is Project]] &lt;&gt; "","",".")</f>
        <v>.</v>
      </c>
      <c r="F45" s="99">
        <f>IFERROR(IF(TabProjet[[#This Row],[Is Project]]= "",$F44+1,""),1)</f>
        <v>9</v>
      </c>
      <c r="G45" s="68" t="s">
        <v>166</v>
      </c>
      <c r="H45" s="69" t="s">
        <v>539</v>
      </c>
      <c r="I45" s="70">
        <v>2</v>
      </c>
      <c r="J45" s="70" t="s">
        <v>142</v>
      </c>
      <c r="K45" s="71"/>
      <c r="L45" s="72">
        <v>44898</v>
      </c>
      <c r="M45" s="73">
        <v>65</v>
      </c>
      <c r="N4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5" s="17">
        <v>0</v>
      </c>
      <c r="P45" s="67">
        <f>TabProjet[[#This Row],[Début]]+(TabProjet[[#This Row],[Deadline]]-TabProjet[[#This Row],[Début]])*TabProjet[[#This Row],[Progression]]</f>
        <v>44898</v>
      </c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</row>
    <row r="46" spans="2:72" x14ac:dyDescent="0.3">
      <c r="B46" s="3" t="str">
        <f>TabProjet[[#This Row],[IDProj]] &amp; TabProjet[[#This Row],[Point]] &amp; TabProjet[[#This Row],[IDSubProj]]</f>
        <v>3.10</v>
      </c>
      <c r="C46" s="99"/>
      <c r="D46" s="99">
        <f>IF(ISNUMBER($D45),IF(TabProjet[[#This Row],[Is Project]] &lt;&gt;"",$D45+1,$D45),1)</f>
        <v>3</v>
      </c>
      <c r="E46" s="99" t="str">
        <f>IF(TabProjet[[#This Row],[Is Project]] &lt;&gt; "","",".")</f>
        <v>.</v>
      </c>
      <c r="F46" s="99">
        <f>IFERROR(IF(TabProjet[[#This Row],[Is Project]]= "",$F45+1,""),1)</f>
        <v>10</v>
      </c>
      <c r="G46" s="68" t="s">
        <v>166</v>
      </c>
      <c r="H46" s="69" t="s">
        <v>539</v>
      </c>
      <c r="I46" s="70">
        <v>2</v>
      </c>
      <c r="J46" s="70" t="s">
        <v>19</v>
      </c>
      <c r="K46" s="71"/>
      <c r="L46" s="72">
        <v>44898</v>
      </c>
      <c r="M46" s="73">
        <v>65</v>
      </c>
      <c r="N4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6" s="17">
        <v>0</v>
      </c>
      <c r="P46" s="67">
        <f>TabProjet[[#This Row],[Début]]+(TabProjet[[#This Row],[Deadline]]-TabProjet[[#This Row],[Début]])*TabProjet[[#This Row],[Progression]]</f>
        <v>44898</v>
      </c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7" spans="2:72" x14ac:dyDescent="0.3">
      <c r="B47" s="3" t="str">
        <f>TabProjet[[#This Row],[IDProj]] &amp; TabProjet[[#This Row],[Point]] &amp; TabProjet[[#This Row],[IDSubProj]]</f>
        <v>3.11</v>
      </c>
      <c r="C47" s="99"/>
      <c r="D47" s="99">
        <f>IF(ISNUMBER($D46),IF(TabProjet[[#This Row],[Is Project]] &lt;&gt;"",$D46+1,$D46),1)</f>
        <v>3</v>
      </c>
      <c r="E47" s="99" t="str">
        <f>IF(TabProjet[[#This Row],[Is Project]] &lt;&gt; "","",".")</f>
        <v>.</v>
      </c>
      <c r="F47" s="99">
        <f>IFERROR(IF(TabProjet[[#This Row],[Is Project]]= "",$F46+1,""),1)</f>
        <v>11</v>
      </c>
      <c r="G47" s="68" t="s">
        <v>167</v>
      </c>
      <c r="H47" s="69" t="s">
        <v>539</v>
      </c>
      <c r="I47" s="70">
        <v>2</v>
      </c>
      <c r="J47" s="70" t="s">
        <v>17</v>
      </c>
      <c r="K47" s="71"/>
      <c r="L47" s="72">
        <v>44898</v>
      </c>
      <c r="M47" s="73">
        <v>65</v>
      </c>
      <c r="N4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7" s="17">
        <v>0</v>
      </c>
      <c r="P47" s="67">
        <f>TabProjet[[#This Row],[Début]]+(TabProjet[[#This Row],[Deadline]]-TabProjet[[#This Row],[Début]])*TabProjet[[#This Row],[Progression]]</f>
        <v>44898</v>
      </c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</row>
    <row r="48" spans="2:72" x14ac:dyDescent="0.3">
      <c r="B48" s="3" t="str">
        <f>TabProjet[[#This Row],[IDProj]] &amp; TabProjet[[#This Row],[Point]] &amp; TabProjet[[#This Row],[IDSubProj]]</f>
        <v>3.12</v>
      </c>
      <c r="C48" s="99"/>
      <c r="D48" s="99">
        <f>IF(ISNUMBER($D47),IF(TabProjet[[#This Row],[Is Project]] &lt;&gt;"",$D47+1,$D47),1)</f>
        <v>3</v>
      </c>
      <c r="E48" s="99" t="str">
        <f>IF(TabProjet[[#This Row],[Is Project]] &lt;&gt; "","",".")</f>
        <v>.</v>
      </c>
      <c r="F48" s="99">
        <f>IFERROR(IF(TabProjet[[#This Row],[Is Project]]= "",$F47+1,""),1)</f>
        <v>12</v>
      </c>
      <c r="G48" s="68" t="s">
        <v>285</v>
      </c>
      <c r="H48" s="69" t="s">
        <v>539</v>
      </c>
      <c r="I48" s="70">
        <v>2</v>
      </c>
      <c r="J48" s="70" t="s">
        <v>115</v>
      </c>
      <c r="K48" s="71"/>
      <c r="L48" s="72">
        <v>44898</v>
      </c>
      <c r="M48" s="73">
        <v>65</v>
      </c>
      <c r="N4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8" s="17">
        <v>0</v>
      </c>
      <c r="P48" s="67">
        <f>TabProjet[[#This Row],[Début]]+(TabProjet[[#This Row],[Deadline]]-TabProjet[[#This Row],[Début]])*TabProjet[[#This Row],[Progression]]</f>
        <v>44898</v>
      </c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</row>
    <row r="49" spans="2:72" x14ac:dyDescent="0.3">
      <c r="B49" s="3" t="str">
        <f>TabProjet[[#This Row],[IDProj]] &amp; TabProjet[[#This Row],[Point]] &amp; TabProjet[[#This Row],[IDSubProj]]</f>
        <v>3.13</v>
      </c>
      <c r="C49" s="99"/>
      <c r="D49" s="99">
        <f>IF(ISNUMBER($D48),IF(TabProjet[[#This Row],[Is Project]] &lt;&gt;"",$D48+1,$D48),1)</f>
        <v>3</v>
      </c>
      <c r="E49" s="99" t="str">
        <f>IF(TabProjet[[#This Row],[Is Project]] &lt;&gt; "","",".")</f>
        <v>.</v>
      </c>
      <c r="F49" s="99">
        <f>IFERROR(IF(TabProjet[[#This Row],[Is Project]]= "",$F48+1,""),1)</f>
        <v>13</v>
      </c>
      <c r="G49" s="68" t="s">
        <v>286</v>
      </c>
      <c r="H49" s="69" t="s">
        <v>539</v>
      </c>
      <c r="I49" s="70">
        <v>2</v>
      </c>
      <c r="J49" s="70" t="s">
        <v>14</v>
      </c>
      <c r="K49" s="71"/>
      <c r="L49" s="72">
        <v>44898</v>
      </c>
      <c r="M49" s="73">
        <v>65</v>
      </c>
      <c r="N4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49" s="17">
        <v>0</v>
      </c>
      <c r="P49" s="67">
        <f>TabProjet[[#This Row],[Début]]+(TabProjet[[#This Row],[Deadline]]-TabProjet[[#This Row],[Début]])*TabProjet[[#This Row],[Progression]]</f>
        <v>44898</v>
      </c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</row>
    <row r="50" spans="2:72" x14ac:dyDescent="0.3">
      <c r="B50" s="3" t="str">
        <f>TabProjet[[#This Row],[IDProj]] &amp; TabProjet[[#This Row],[Point]] &amp; TabProjet[[#This Row],[IDSubProj]]</f>
        <v>3.14</v>
      </c>
      <c r="C50" s="99"/>
      <c r="D50" s="99">
        <f>IF(ISNUMBER($D49),IF(TabProjet[[#This Row],[Is Project]] &lt;&gt;"",$D49+1,$D49),1)</f>
        <v>3</v>
      </c>
      <c r="E50" s="99" t="str">
        <f>IF(TabProjet[[#This Row],[Is Project]] &lt;&gt; "","",".")</f>
        <v>.</v>
      </c>
      <c r="F50" s="99">
        <f>IFERROR(IF(TabProjet[[#This Row],[Is Project]]= "",$F49+1,""),1)</f>
        <v>14</v>
      </c>
      <c r="G50" s="68" t="s">
        <v>287</v>
      </c>
      <c r="H50" s="69" t="s">
        <v>539</v>
      </c>
      <c r="I50" s="70">
        <v>2</v>
      </c>
      <c r="J50" s="70" t="s">
        <v>25</v>
      </c>
      <c r="K50" s="71"/>
      <c r="L50" s="72">
        <v>44898</v>
      </c>
      <c r="M50" s="73">
        <v>65</v>
      </c>
      <c r="N5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50" s="17">
        <v>0</v>
      </c>
      <c r="P50" s="67">
        <f>TabProjet[[#This Row],[Début]]+(TabProjet[[#This Row],[Deadline]]-TabProjet[[#This Row],[Début]])*TabProjet[[#This Row],[Progression]]</f>
        <v>44898</v>
      </c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</row>
    <row r="51" spans="2:72" x14ac:dyDescent="0.3">
      <c r="B51" s="3" t="str">
        <f>TabProjet[[#This Row],[IDProj]] &amp; TabProjet[[#This Row],[Point]] &amp; TabProjet[[#This Row],[IDSubProj]]</f>
        <v>3.15</v>
      </c>
      <c r="C51" s="99"/>
      <c r="D51" s="99">
        <f>IF(ISNUMBER($D50),IF(TabProjet[[#This Row],[Is Project]] &lt;&gt;"",$D50+1,$D50),1)</f>
        <v>3</v>
      </c>
      <c r="E51" s="99" t="str">
        <f>IF(TabProjet[[#This Row],[Is Project]] &lt;&gt; "","",".")</f>
        <v>.</v>
      </c>
      <c r="F51" s="99">
        <f>IFERROR(IF(TabProjet[[#This Row],[Is Project]]= "",$F50+1,""),1)</f>
        <v>15</v>
      </c>
      <c r="G51" s="68" t="s">
        <v>288</v>
      </c>
      <c r="H51" s="69" t="s">
        <v>539</v>
      </c>
      <c r="I51" s="70">
        <v>2</v>
      </c>
      <c r="J51" s="70" t="s">
        <v>13</v>
      </c>
      <c r="K51" s="71"/>
      <c r="L51" s="72">
        <v>44898</v>
      </c>
      <c r="M51" s="73">
        <v>65</v>
      </c>
      <c r="N5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51" s="17">
        <v>0</v>
      </c>
      <c r="P51" s="67">
        <f>TabProjet[[#This Row],[Début]]+(TabProjet[[#This Row],[Deadline]]-TabProjet[[#This Row],[Début]])*TabProjet[[#This Row],[Progression]]</f>
        <v>44898</v>
      </c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2" spans="2:72" x14ac:dyDescent="0.3">
      <c r="B52" s="3" t="str">
        <f>TabProjet[[#This Row],[IDProj]] &amp; TabProjet[[#This Row],[Point]] &amp; TabProjet[[#This Row],[IDSubProj]]</f>
        <v>3.16</v>
      </c>
      <c r="C52" s="99"/>
      <c r="D52" s="99">
        <f>IF(ISNUMBER($D51),IF(TabProjet[[#This Row],[Is Project]] &lt;&gt;"",$D51+1,$D51),1)</f>
        <v>3</v>
      </c>
      <c r="E52" s="99" t="str">
        <f>IF(TabProjet[[#This Row],[Is Project]] &lt;&gt; "","",".")</f>
        <v>.</v>
      </c>
      <c r="F52" s="99">
        <f>IFERROR(IF(TabProjet[[#This Row],[Is Project]]= "",$F51+1,""),1)</f>
        <v>16</v>
      </c>
      <c r="G52" s="68" t="s">
        <v>289</v>
      </c>
      <c r="H52" s="69" t="s">
        <v>539</v>
      </c>
      <c r="I52" s="70">
        <v>2</v>
      </c>
      <c r="J52" s="70" t="s">
        <v>24</v>
      </c>
      <c r="K52" s="71"/>
      <c r="L52" s="72">
        <v>44898</v>
      </c>
      <c r="M52" s="73">
        <v>65</v>
      </c>
      <c r="N5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44988</v>
      </c>
      <c r="O52" s="17">
        <v>0</v>
      </c>
      <c r="P52" s="67">
        <f>TabProjet[[#This Row],[Début]]+(TabProjet[[#This Row],[Deadline]]-TabProjet[[#This Row],[Début]])*TabProjet[[#This Row],[Progression]]</f>
        <v>44898</v>
      </c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3" spans="2:72" x14ac:dyDescent="0.3">
      <c r="B53" s="3" t="str">
        <f>TabProjet[[#This Row],[IDProj]] &amp; TabProjet[[#This Row],[Point]] &amp; TabProjet[[#This Row],[IDSubProj]]</f>
        <v>3.17</v>
      </c>
      <c r="C53" s="99"/>
      <c r="D53" s="99">
        <f>IF(ISNUMBER($D52),IF(TabProjet[[#This Row],[Is Project]] &lt;&gt;"",$D52+1,$D52),1)</f>
        <v>3</v>
      </c>
      <c r="E53" s="99" t="str">
        <f>IF(TabProjet[[#This Row],[Is Project]] &lt;&gt; "","",".")</f>
        <v>.</v>
      </c>
      <c r="F53" s="99">
        <f>IFERROR(IF(TabProjet[[#This Row],[Is Project]]= "",$F52+1,""),1)</f>
        <v>17</v>
      </c>
      <c r="G53" s="68" t="s">
        <v>168</v>
      </c>
      <c r="H53" s="69" t="s">
        <v>539</v>
      </c>
      <c r="I53" s="70" t="s">
        <v>291</v>
      </c>
      <c r="J53" s="70" t="s">
        <v>149</v>
      </c>
      <c r="K53" s="71"/>
      <c r="L53" s="72">
        <v>44988</v>
      </c>
      <c r="M53" s="73">
        <v>20</v>
      </c>
      <c r="N5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45015</v>
      </c>
      <c r="O53" s="17">
        <v>0</v>
      </c>
      <c r="P53" s="67">
        <f>TabProjet[[#This Row],[Début]]+(TabProjet[[#This Row],[Deadline]]-TabProjet[[#This Row],[Début]])*TabProjet[[#This Row],[Progression]]</f>
        <v>44988</v>
      </c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</row>
    <row r="54" spans="2:72" x14ac:dyDescent="0.3">
      <c r="B54" s="3" t="str">
        <f>TabProjet[[#This Row],[IDProj]] &amp; TabProjet[[#This Row],[Point]] &amp; TabProjet[[#This Row],[IDSubProj]]</f>
        <v>3.18</v>
      </c>
      <c r="C54" s="99"/>
      <c r="D54" s="99">
        <f>IF(ISNUMBER($D53),IF(TabProjet[[#This Row],[Is Project]] &lt;&gt;"",$D53+1,$D53),1)</f>
        <v>3</v>
      </c>
      <c r="E54" s="99" t="str">
        <f>IF(TabProjet[[#This Row],[Is Project]] &lt;&gt; "","",".")</f>
        <v>.</v>
      </c>
      <c r="F54" s="99">
        <f>IFERROR(IF(TabProjet[[#This Row],[Is Project]]= "",$F53+1,""),1)</f>
        <v>18</v>
      </c>
      <c r="G54" s="68" t="s">
        <v>169</v>
      </c>
      <c r="H54" s="69" t="s">
        <v>539</v>
      </c>
      <c r="I54" s="70" t="s">
        <v>290</v>
      </c>
      <c r="J54" s="70" t="s">
        <v>149</v>
      </c>
      <c r="K54" s="71"/>
      <c r="L54" s="72">
        <v>44911</v>
      </c>
      <c r="M54" s="73">
        <v>1</v>
      </c>
      <c r="N5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44911</v>
      </c>
      <c r="O54" s="17">
        <v>0</v>
      </c>
      <c r="P54" s="67">
        <f>TabProjet[[#This Row],[Début]]+(TabProjet[[#This Row],[Deadline]]-TabProjet[[#This Row],[Début]])*TabProjet[[#This Row],[Progression]]</f>
        <v>44911</v>
      </c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</row>
    <row r="55" spans="2:72" x14ac:dyDescent="0.3">
      <c r="B55" s="3" t="str">
        <f>TabProjet[[#This Row],[IDProj]] &amp; TabProjet[[#This Row],[Point]] &amp; TabProjet[[#This Row],[IDSubProj]]</f>
        <v>3.19</v>
      </c>
      <c r="C55" s="99"/>
      <c r="D55" s="99">
        <f>IF(ISNUMBER($D54),IF(TabProjet[[#This Row],[Is Project]] &lt;&gt;"",$D54+1,$D54),1)</f>
        <v>3</v>
      </c>
      <c r="E55" s="99" t="str">
        <f>IF(TabProjet[[#This Row],[Is Project]] &lt;&gt; "","",".")</f>
        <v>.</v>
      </c>
      <c r="F55" s="99">
        <f>IFERROR(IF(TabProjet[[#This Row],[Is Project]]= "",$F54+1,""),1)</f>
        <v>19</v>
      </c>
      <c r="G55" s="68" t="s">
        <v>170</v>
      </c>
      <c r="H55" s="69" t="s">
        <v>539</v>
      </c>
      <c r="I55" s="70" t="s">
        <v>292</v>
      </c>
      <c r="J55" s="70" t="s">
        <v>108</v>
      </c>
      <c r="K55" s="71" t="s">
        <v>277</v>
      </c>
      <c r="L55" s="72">
        <v>44911</v>
      </c>
      <c r="M55" s="73">
        <v>1</v>
      </c>
      <c r="N5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44911</v>
      </c>
      <c r="O55" s="17">
        <v>0</v>
      </c>
      <c r="P55" s="67">
        <f>TabProjet[[#This Row],[Début]]+(TabProjet[[#This Row],[Deadline]]-TabProjet[[#This Row],[Début]])*TabProjet[[#This Row],[Progression]]</f>
        <v>44911</v>
      </c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</row>
    <row r="56" spans="2:72" x14ac:dyDescent="0.3">
      <c r="B56" s="3" t="str">
        <f>TabProjet[[#This Row],[IDProj]] &amp; TabProjet[[#This Row],[Point]] &amp; TabProjet[[#This Row],[IDSubProj]]</f>
        <v>4</v>
      </c>
      <c r="C56" s="99" t="s">
        <v>27</v>
      </c>
      <c r="D56" s="99">
        <f>IF(ISNUMBER($D55),IF(TabProjet[[#This Row],[Is Project]] &lt;&gt;"",$D55+1,$D55),1)</f>
        <v>4</v>
      </c>
      <c r="E56" s="99" t="str">
        <f>IF(TabProjet[[#This Row],[Is Project]] &lt;&gt; "","",".")</f>
        <v/>
      </c>
      <c r="F56" s="99" t="str">
        <f>IFERROR(IF(TabProjet[[#This Row],[Is Project]]= "",$F55+1,""),1)</f>
        <v/>
      </c>
      <c r="G56" s="68" t="s">
        <v>171</v>
      </c>
      <c r="H56" s="69"/>
      <c r="I56" s="70" t="s">
        <v>189</v>
      </c>
      <c r="J56" s="70"/>
      <c r="K56" s="71"/>
      <c r="L56" s="67">
        <f ca="1">IF(MinStartDate(TabProjet[[#This Row],[ID]]) = 0, "", MinStartDate(TabProjet[[#This Row],[ID]]))</f>
        <v>44933</v>
      </c>
      <c r="M56" s="70">
        <f>IFERROR(SUMIFS(TabProjet[Charge en J],TabProjet[Is Project],"",TabProjet[IDProj],TabProjet[[#This Row],[IDProj]]), "")</f>
        <v>1139</v>
      </c>
      <c r="N56" s="66">
        <f ca="1">IF(MaxDeadlineDate(TabProjet[[#This Row],[ID]]) = 0, "", MaxDeadlineDate(TabProjet[[#This Row],[ID]]))</f>
        <v>45076</v>
      </c>
      <c r="O56" s="17">
        <f>IFERROR(AVERAGEIFS(TabProjet[Progression],TabProjet[Is Project],"",TabProjet[IDProj],TabProjet[[#This Row],[IDProj]]), 0)</f>
        <v>0</v>
      </c>
      <c r="P56" s="67">
        <f ca="1">TabProjet[[#This Row],[Début]]+(TabProjet[[#This Row],[Deadline]]-TabProjet[[#This Row],[Début]])*TabProjet[[#This Row],[Progression]]</f>
        <v>44933</v>
      </c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</row>
    <row r="57" spans="2:72" x14ac:dyDescent="0.3">
      <c r="B57" s="3" t="str">
        <f>TabProjet[[#This Row],[IDProj]] &amp; TabProjet[[#This Row],[Point]] &amp; TabProjet[[#This Row],[IDSubProj]]</f>
        <v>4.1</v>
      </c>
      <c r="C57" s="99"/>
      <c r="D57" s="99">
        <f>IF(ISNUMBER($D56),IF(TabProjet[[#This Row],[Is Project]] &lt;&gt;"",$D56+1,$D56),1)</f>
        <v>4</v>
      </c>
      <c r="E57" s="99" t="str">
        <f>IF(TabProjet[[#This Row],[Is Project]] &lt;&gt; "","",".")</f>
        <v>.</v>
      </c>
      <c r="F57" s="99">
        <f>IFERROR(IF(TabProjet[[#This Row],[Is Project]]= "",$F56+1,""),1)</f>
        <v>1</v>
      </c>
      <c r="G57" s="68" t="s">
        <v>293</v>
      </c>
      <c r="H57" s="69" t="s">
        <v>539</v>
      </c>
      <c r="I57" s="70">
        <v>3</v>
      </c>
      <c r="J57" s="70" t="s">
        <v>26</v>
      </c>
      <c r="K57" s="71"/>
      <c r="L57" s="72">
        <v>45015</v>
      </c>
      <c r="M57" s="73">
        <v>21</v>
      </c>
      <c r="N5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57" s="17">
        <v>0</v>
      </c>
      <c r="P57" s="67">
        <f>TabProjet[[#This Row],[Début]]+(TabProjet[[#This Row],[Deadline]]-TabProjet[[#This Row],[Début]])*TabProjet[[#This Row],[Progression]]</f>
        <v>45015</v>
      </c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</row>
    <row r="58" spans="2:72" x14ac:dyDescent="0.3">
      <c r="B58" s="3" t="str">
        <f>TabProjet[[#This Row],[IDProj]] &amp; TabProjet[[#This Row],[Point]] &amp; TabProjet[[#This Row],[IDSubProj]]</f>
        <v>4.2</v>
      </c>
      <c r="C58" s="99"/>
      <c r="D58" s="99">
        <f>IF(ISNUMBER($D57),IF(TabProjet[[#This Row],[Is Project]] &lt;&gt;"",$D57+1,$D57),1)</f>
        <v>4</v>
      </c>
      <c r="E58" s="99" t="str">
        <f>IF(TabProjet[[#This Row],[Is Project]] &lt;&gt; "","",".")</f>
        <v>.</v>
      </c>
      <c r="F58" s="99">
        <f>IFERROR(IF(TabProjet[[#This Row],[Is Project]]= "",$F57+1,""),1)</f>
        <v>2</v>
      </c>
      <c r="G58" s="68" t="s">
        <v>294</v>
      </c>
      <c r="H58" s="69" t="s">
        <v>539</v>
      </c>
      <c r="I58" s="70">
        <v>3</v>
      </c>
      <c r="J58" s="70" t="s">
        <v>22</v>
      </c>
      <c r="K58" s="71"/>
      <c r="L58" s="72">
        <v>45015</v>
      </c>
      <c r="M58" s="73">
        <v>21</v>
      </c>
      <c r="N5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58" s="17">
        <v>0</v>
      </c>
      <c r="P58" s="67">
        <f>TabProjet[[#This Row],[Début]]+(TabProjet[[#This Row],[Deadline]]-TabProjet[[#This Row],[Début]])*TabProjet[[#This Row],[Progression]]</f>
        <v>45015</v>
      </c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</row>
    <row r="59" spans="2:72" x14ac:dyDescent="0.3">
      <c r="B59" s="3" t="str">
        <f>TabProjet[[#This Row],[IDProj]] &amp; TabProjet[[#This Row],[Point]] &amp; TabProjet[[#This Row],[IDSubProj]]</f>
        <v>4.3</v>
      </c>
      <c r="C59" s="99"/>
      <c r="D59" s="99">
        <f>IF(ISNUMBER($D58),IF(TabProjet[[#This Row],[Is Project]] &lt;&gt;"",$D58+1,$D58),1)</f>
        <v>4</v>
      </c>
      <c r="E59" s="99" t="str">
        <f>IF(TabProjet[[#This Row],[Is Project]] &lt;&gt; "","",".")</f>
        <v>.</v>
      </c>
      <c r="F59" s="99">
        <f>IFERROR(IF(TabProjet[[#This Row],[Is Project]]= "",$F58+1,""),1)</f>
        <v>3</v>
      </c>
      <c r="G59" s="68" t="s">
        <v>295</v>
      </c>
      <c r="H59" s="69" t="s">
        <v>539</v>
      </c>
      <c r="I59" s="70">
        <v>3</v>
      </c>
      <c r="J59" s="70" t="s">
        <v>21</v>
      </c>
      <c r="K59" s="71"/>
      <c r="L59" s="72">
        <v>45015</v>
      </c>
      <c r="M59" s="73">
        <v>21</v>
      </c>
      <c r="N5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59" s="17">
        <v>0</v>
      </c>
      <c r="P59" s="67">
        <f>TabProjet[[#This Row],[Début]]+(TabProjet[[#This Row],[Deadline]]-TabProjet[[#This Row],[Début]])*TabProjet[[#This Row],[Progression]]</f>
        <v>45015</v>
      </c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</row>
    <row r="60" spans="2:72" x14ac:dyDescent="0.3">
      <c r="B60" s="3" t="str">
        <f>TabProjet[[#This Row],[IDProj]] &amp; TabProjet[[#This Row],[Point]] &amp; TabProjet[[#This Row],[IDSubProj]]</f>
        <v>4.4</v>
      </c>
      <c r="C60" s="99"/>
      <c r="D60" s="99">
        <f>IF(ISNUMBER($D59),IF(TabProjet[[#This Row],[Is Project]] &lt;&gt;"",$D59+1,$D59),1)</f>
        <v>4</v>
      </c>
      <c r="E60" s="99" t="str">
        <f>IF(TabProjet[[#This Row],[Is Project]] &lt;&gt; "","",".")</f>
        <v>.</v>
      </c>
      <c r="F60" s="99">
        <f>IFERROR(IF(TabProjet[[#This Row],[Is Project]]= "",$F59+1,""),1)</f>
        <v>4</v>
      </c>
      <c r="G60" s="68" t="s">
        <v>296</v>
      </c>
      <c r="H60" s="69" t="s">
        <v>539</v>
      </c>
      <c r="I60" s="70">
        <v>3</v>
      </c>
      <c r="J60" s="70" t="s">
        <v>23</v>
      </c>
      <c r="K60" s="71"/>
      <c r="L60" s="72">
        <v>45015</v>
      </c>
      <c r="M60" s="73">
        <v>21</v>
      </c>
      <c r="N6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60" s="17">
        <v>0</v>
      </c>
      <c r="P60" s="67">
        <f>TabProjet[[#This Row],[Début]]+(TabProjet[[#This Row],[Deadline]]-TabProjet[[#This Row],[Début]])*TabProjet[[#This Row],[Progression]]</f>
        <v>45015</v>
      </c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</row>
    <row r="61" spans="2:72" x14ac:dyDescent="0.3">
      <c r="B61" s="3" t="str">
        <f>TabProjet[[#This Row],[IDProj]] &amp; TabProjet[[#This Row],[Point]] &amp; TabProjet[[#This Row],[IDSubProj]]</f>
        <v>4.5</v>
      </c>
      <c r="C61" s="99"/>
      <c r="D61" s="99">
        <f>IF(ISNUMBER($D60),IF(TabProjet[[#This Row],[Is Project]] &lt;&gt;"",$D60+1,$D60),1)</f>
        <v>4</v>
      </c>
      <c r="E61" s="99" t="str">
        <f>IF(TabProjet[[#This Row],[Is Project]] &lt;&gt; "","",".")</f>
        <v>.</v>
      </c>
      <c r="F61" s="99">
        <f>IFERROR(IF(TabProjet[[#This Row],[Is Project]]= "",$F60+1,""),1)</f>
        <v>5</v>
      </c>
      <c r="G61" s="68" t="s">
        <v>297</v>
      </c>
      <c r="H61" s="69" t="s">
        <v>539</v>
      </c>
      <c r="I61" s="70">
        <v>3</v>
      </c>
      <c r="J61" s="70" t="s">
        <v>15</v>
      </c>
      <c r="K61" s="71"/>
      <c r="L61" s="72">
        <v>45015</v>
      </c>
      <c r="M61" s="73">
        <v>21</v>
      </c>
      <c r="N6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61" s="17">
        <v>0</v>
      </c>
      <c r="P61" s="67">
        <f>TabProjet[[#This Row],[Début]]+(TabProjet[[#This Row],[Deadline]]-TabProjet[[#This Row],[Début]])*TabProjet[[#This Row],[Progression]]</f>
        <v>45015</v>
      </c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</row>
    <row r="62" spans="2:72" x14ac:dyDescent="0.3">
      <c r="B62" s="3" t="str">
        <f>TabProjet[[#This Row],[IDProj]] &amp; TabProjet[[#This Row],[Point]] &amp; TabProjet[[#This Row],[IDSubProj]]</f>
        <v>4.6</v>
      </c>
      <c r="C62" s="99"/>
      <c r="D62" s="99">
        <f>IF(ISNUMBER($D61),IF(TabProjet[[#This Row],[Is Project]] &lt;&gt;"",$D61+1,$D61),1)</f>
        <v>4</v>
      </c>
      <c r="E62" s="99" t="str">
        <f>IF(TabProjet[[#This Row],[Is Project]] &lt;&gt; "","",".")</f>
        <v>.</v>
      </c>
      <c r="F62" s="99">
        <f>IFERROR(IF(TabProjet[[#This Row],[Is Project]]= "",$F61+1,""),1)</f>
        <v>6</v>
      </c>
      <c r="G62" s="68" t="s">
        <v>297</v>
      </c>
      <c r="H62" s="69" t="s">
        <v>539</v>
      </c>
      <c r="I62" s="70">
        <v>3</v>
      </c>
      <c r="J62" s="70" t="s">
        <v>134</v>
      </c>
      <c r="K62" s="71"/>
      <c r="L62" s="72">
        <v>45015</v>
      </c>
      <c r="M62" s="73">
        <v>21</v>
      </c>
      <c r="N6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62" s="17">
        <v>0</v>
      </c>
      <c r="P62" s="67">
        <f>TabProjet[[#This Row],[Début]]+(TabProjet[[#This Row],[Deadline]]-TabProjet[[#This Row],[Début]])*TabProjet[[#This Row],[Progression]]</f>
        <v>45015</v>
      </c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</row>
    <row r="63" spans="2:72" x14ac:dyDescent="0.3">
      <c r="B63" s="3" t="str">
        <f>TabProjet[[#This Row],[IDProj]] &amp; TabProjet[[#This Row],[Point]] &amp; TabProjet[[#This Row],[IDSubProj]]</f>
        <v>4.7</v>
      </c>
      <c r="C63" s="99"/>
      <c r="D63" s="99">
        <f>IF(ISNUMBER($D62),IF(TabProjet[[#This Row],[Is Project]] &lt;&gt;"",$D62+1,$D62),1)</f>
        <v>4</v>
      </c>
      <c r="E63" s="99" t="str">
        <f>IF(TabProjet[[#This Row],[Is Project]] &lt;&gt; "","",".")</f>
        <v>.</v>
      </c>
      <c r="F63" s="99">
        <f>IFERROR(IF(TabProjet[[#This Row],[Is Project]]= "",$F62+1,""),1)</f>
        <v>7</v>
      </c>
      <c r="G63" s="68" t="s">
        <v>298</v>
      </c>
      <c r="H63" s="69" t="s">
        <v>539</v>
      </c>
      <c r="I63" s="70">
        <v>3</v>
      </c>
      <c r="J63" s="70" t="s">
        <v>20</v>
      </c>
      <c r="K63" s="71"/>
      <c r="L63" s="72">
        <v>45015</v>
      </c>
      <c r="M63" s="73">
        <v>21</v>
      </c>
      <c r="N6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63" s="17">
        <v>0</v>
      </c>
      <c r="P63" s="67">
        <f>TabProjet[[#This Row],[Début]]+(TabProjet[[#This Row],[Deadline]]-TabProjet[[#This Row],[Début]])*TabProjet[[#This Row],[Progression]]</f>
        <v>45015</v>
      </c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</row>
    <row r="64" spans="2:72" ht="28.8" x14ac:dyDescent="0.3">
      <c r="B64" s="3" t="str">
        <f>TabProjet[[#This Row],[IDProj]] &amp; TabProjet[[#This Row],[Point]] &amp; TabProjet[[#This Row],[IDSubProj]]</f>
        <v>4.8</v>
      </c>
      <c r="C64" s="99"/>
      <c r="D64" s="99">
        <f>IF(ISNUMBER($D63),IF(TabProjet[[#This Row],[Is Project]] &lt;&gt;"",$D63+1,$D63),1)</f>
        <v>4</v>
      </c>
      <c r="E64" s="99" t="str">
        <f>IF(TabProjet[[#This Row],[Is Project]] &lt;&gt; "","",".")</f>
        <v>.</v>
      </c>
      <c r="F64" s="99">
        <f>IFERROR(IF(TabProjet[[#This Row],[Is Project]]= "",$F63+1,""),1)</f>
        <v>8</v>
      </c>
      <c r="G64" s="68" t="s">
        <v>299</v>
      </c>
      <c r="H64" s="69" t="s">
        <v>539</v>
      </c>
      <c r="I64" s="70">
        <v>3</v>
      </c>
      <c r="J64" s="70" t="s">
        <v>18</v>
      </c>
      <c r="K64" s="71"/>
      <c r="L64" s="72">
        <v>45015</v>
      </c>
      <c r="M64" s="73">
        <v>21</v>
      </c>
      <c r="N6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64" s="17">
        <v>0</v>
      </c>
      <c r="P64" s="67">
        <f>TabProjet[[#This Row],[Début]]+(TabProjet[[#This Row],[Deadline]]-TabProjet[[#This Row],[Début]])*TabProjet[[#This Row],[Progression]]</f>
        <v>45015</v>
      </c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</row>
    <row r="65" spans="2:72" x14ac:dyDescent="0.3">
      <c r="B65" s="3" t="str">
        <f>TabProjet[[#This Row],[IDProj]] &amp; TabProjet[[#This Row],[Point]] &amp; TabProjet[[#This Row],[IDSubProj]]</f>
        <v>4.9</v>
      </c>
      <c r="C65" s="99"/>
      <c r="D65" s="99">
        <f>IF(ISNUMBER($D64),IF(TabProjet[[#This Row],[Is Project]] &lt;&gt;"",$D64+1,$D64),1)</f>
        <v>4</v>
      </c>
      <c r="E65" s="99" t="str">
        <f>IF(TabProjet[[#This Row],[Is Project]] &lt;&gt; "","",".")</f>
        <v>.</v>
      </c>
      <c r="F65" s="99">
        <f>IFERROR(IF(TabProjet[[#This Row],[Is Project]]= "",$F64+1,""),1)</f>
        <v>9</v>
      </c>
      <c r="G65" s="68" t="s">
        <v>300</v>
      </c>
      <c r="H65" s="69" t="s">
        <v>539</v>
      </c>
      <c r="I65" s="70">
        <v>3</v>
      </c>
      <c r="J65" s="70" t="s">
        <v>142</v>
      </c>
      <c r="K65" s="71"/>
      <c r="L65" s="72">
        <v>45015</v>
      </c>
      <c r="M65" s="73">
        <v>5</v>
      </c>
      <c r="N6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45021</v>
      </c>
      <c r="O65" s="17">
        <v>0</v>
      </c>
      <c r="P65" s="67">
        <f>TabProjet[[#This Row],[Début]]+(TabProjet[[#This Row],[Deadline]]-TabProjet[[#This Row],[Début]])*TabProjet[[#This Row],[Progression]]</f>
        <v>45015</v>
      </c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</row>
    <row r="66" spans="2:72" x14ac:dyDescent="0.3">
      <c r="B66" s="3" t="str">
        <f>TabProjet[[#This Row],[IDProj]] &amp; TabProjet[[#This Row],[Point]] &amp; TabProjet[[#This Row],[IDSubProj]]</f>
        <v>4.10</v>
      </c>
      <c r="C66" s="99"/>
      <c r="D66" s="99">
        <f>IF(ISNUMBER($D65),IF(TabProjet[[#This Row],[Is Project]] &lt;&gt;"",$D65+1,$D65),1)</f>
        <v>4</v>
      </c>
      <c r="E66" s="99" t="str">
        <f>IF(TabProjet[[#This Row],[Is Project]] &lt;&gt; "","",".")</f>
        <v>.</v>
      </c>
      <c r="F66" s="99">
        <f>IFERROR(IF(TabProjet[[#This Row],[Is Project]]= "",$F65+1,""),1)</f>
        <v>10</v>
      </c>
      <c r="G66" s="68" t="s">
        <v>300</v>
      </c>
      <c r="H66" s="69" t="s">
        <v>539</v>
      </c>
      <c r="I66" s="70">
        <v>3</v>
      </c>
      <c r="J66" s="70" t="s">
        <v>19</v>
      </c>
      <c r="K66" s="71"/>
      <c r="L66" s="72">
        <v>45015</v>
      </c>
      <c r="M66" s="73">
        <v>5</v>
      </c>
      <c r="N6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45021</v>
      </c>
      <c r="O66" s="17">
        <v>0</v>
      </c>
      <c r="P66" s="67">
        <f>TabProjet[[#This Row],[Début]]+(TabProjet[[#This Row],[Deadline]]-TabProjet[[#This Row],[Début]])*TabProjet[[#This Row],[Progression]]</f>
        <v>45015</v>
      </c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</row>
    <row r="67" spans="2:72" x14ac:dyDescent="0.3">
      <c r="B67" s="3" t="str">
        <f>TabProjet[[#This Row],[IDProj]] &amp; TabProjet[[#This Row],[Point]] &amp; TabProjet[[#This Row],[IDSubProj]]</f>
        <v>4.11</v>
      </c>
      <c r="C67" s="99"/>
      <c r="D67" s="99">
        <f>IF(ISNUMBER($D66),IF(TabProjet[[#This Row],[Is Project]] &lt;&gt;"",$D66+1,$D66),1)</f>
        <v>4</v>
      </c>
      <c r="E67" s="99" t="str">
        <f>IF(TabProjet[[#This Row],[Is Project]] &lt;&gt; "","",".")</f>
        <v>.</v>
      </c>
      <c r="F67" s="99">
        <f>IFERROR(IF(TabProjet[[#This Row],[Is Project]]= "",$F66+1,""),1)</f>
        <v>11</v>
      </c>
      <c r="G67" s="68" t="s">
        <v>301</v>
      </c>
      <c r="H67" s="69" t="s">
        <v>539</v>
      </c>
      <c r="I67" s="70">
        <v>3</v>
      </c>
      <c r="J67" s="70" t="s">
        <v>17</v>
      </c>
      <c r="K67" s="71"/>
      <c r="L67" s="72">
        <v>45015</v>
      </c>
      <c r="M67" s="73">
        <v>5</v>
      </c>
      <c r="N6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45021</v>
      </c>
      <c r="O67" s="17">
        <v>0</v>
      </c>
      <c r="P67" s="67">
        <f>TabProjet[[#This Row],[Début]]+(TabProjet[[#This Row],[Deadline]]-TabProjet[[#This Row],[Début]])*TabProjet[[#This Row],[Progression]]</f>
        <v>45015</v>
      </c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</row>
    <row r="68" spans="2:72" ht="28.8" x14ac:dyDescent="0.3">
      <c r="B68" s="3" t="str">
        <f>TabProjet[[#This Row],[IDProj]] &amp; TabProjet[[#This Row],[Point]] &amp; TabProjet[[#This Row],[IDSubProj]]</f>
        <v>4.12</v>
      </c>
      <c r="C68" s="99"/>
      <c r="D68" s="99">
        <f>IF(ISNUMBER($D67),IF(TabProjet[[#This Row],[Is Project]] &lt;&gt;"",$D67+1,$D67),1)</f>
        <v>4</v>
      </c>
      <c r="E68" s="99" t="str">
        <f>IF(TabProjet[[#This Row],[Is Project]] &lt;&gt; "","",".")</f>
        <v>.</v>
      </c>
      <c r="F68" s="99">
        <f>IFERROR(IF(TabProjet[[#This Row],[Is Project]]= "",$F67+1,""),1)</f>
        <v>12</v>
      </c>
      <c r="G68" s="68" t="s">
        <v>302</v>
      </c>
      <c r="H68" s="69" t="s">
        <v>539</v>
      </c>
      <c r="I68" s="70">
        <v>3</v>
      </c>
      <c r="J68" s="70" t="s">
        <v>115</v>
      </c>
      <c r="K68" s="71"/>
      <c r="L68" s="72">
        <v>45015</v>
      </c>
      <c r="M68" s="73">
        <v>21</v>
      </c>
      <c r="N6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68" s="17">
        <v>0</v>
      </c>
      <c r="P68" s="67">
        <f>TabProjet[[#This Row],[Début]]+(TabProjet[[#This Row],[Deadline]]-TabProjet[[#This Row],[Début]])*TabProjet[[#This Row],[Progression]]</f>
        <v>45015</v>
      </c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</row>
    <row r="69" spans="2:72" ht="28.8" x14ac:dyDescent="0.3">
      <c r="B69" s="3" t="str">
        <f>TabProjet[[#This Row],[IDProj]] &amp; TabProjet[[#This Row],[Point]] &amp; TabProjet[[#This Row],[IDSubProj]]</f>
        <v>4.13</v>
      </c>
      <c r="C69" s="99"/>
      <c r="D69" s="99">
        <f>IF(ISNUMBER($D68),IF(TabProjet[[#This Row],[Is Project]] &lt;&gt;"",$D68+1,$D68),1)</f>
        <v>4</v>
      </c>
      <c r="E69" s="99" t="str">
        <f>IF(TabProjet[[#This Row],[Is Project]] &lt;&gt; "","",".")</f>
        <v>.</v>
      </c>
      <c r="F69" s="99">
        <f>IFERROR(IF(TabProjet[[#This Row],[Is Project]]= "",$F68+1,""),1)</f>
        <v>13</v>
      </c>
      <c r="G69" s="68" t="s">
        <v>303</v>
      </c>
      <c r="H69" s="69" t="s">
        <v>539</v>
      </c>
      <c r="I69" s="70">
        <v>3</v>
      </c>
      <c r="J69" s="70" t="s">
        <v>14</v>
      </c>
      <c r="K69" s="71"/>
      <c r="L69" s="72">
        <v>45015</v>
      </c>
      <c r="M69" s="73">
        <v>21</v>
      </c>
      <c r="N6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69" s="17">
        <v>0</v>
      </c>
      <c r="P69" s="67">
        <f>TabProjet[[#This Row],[Début]]+(TabProjet[[#This Row],[Deadline]]-TabProjet[[#This Row],[Début]])*TabProjet[[#This Row],[Progression]]</f>
        <v>45015</v>
      </c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</row>
    <row r="70" spans="2:72" ht="28.8" x14ac:dyDescent="0.3">
      <c r="B70" s="3" t="str">
        <f>TabProjet[[#This Row],[IDProj]] &amp; TabProjet[[#This Row],[Point]] &amp; TabProjet[[#This Row],[IDSubProj]]</f>
        <v>4.14</v>
      </c>
      <c r="C70" s="99"/>
      <c r="D70" s="99">
        <f>IF(ISNUMBER($D69),IF(TabProjet[[#This Row],[Is Project]] &lt;&gt;"",$D69+1,$D69),1)</f>
        <v>4</v>
      </c>
      <c r="E70" s="99" t="str">
        <f>IF(TabProjet[[#This Row],[Is Project]] &lt;&gt; "","",".")</f>
        <v>.</v>
      </c>
      <c r="F70" s="99">
        <f>IFERROR(IF(TabProjet[[#This Row],[Is Project]]= "",$F69+1,""),1)</f>
        <v>14</v>
      </c>
      <c r="G70" s="68" t="s">
        <v>304</v>
      </c>
      <c r="H70" s="69" t="s">
        <v>539</v>
      </c>
      <c r="I70" s="70">
        <v>3</v>
      </c>
      <c r="J70" s="70" t="s">
        <v>25</v>
      </c>
      <c r="K70" s="71"/>
      <c r="L70" s="72">
        <v>45015</v>
      </c>
      <c r="M70" s="73">
        <v>21</v>
      </c>
      <c r="N7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70" s="17">
        <v>0</v>
      </c>
      <c r="P70" s="67">
        <f>TabProjet[[#This Row],[Début]]+(TabProjet[[#This Row],[Deadline]]-TabProjet[[#This Row],[Début]])*TabProjet[[#This Row],[Progression]]</f>
        <v>45015</v>
      </c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1" spans="2:72" ht="28.8" x14ac:dyDescent="0.3">
      <c r="B71" s="3" t="str">
        <f>TabProjet[[#This Row],[IDProj]] &amp; TabProjet[[#This Row],[Point]] &amp; TabProjet[[#This Row],[IDSubProj]]</f>
        <v>4.15</v>
      </c>
      <c r="C71" s="99"/>
      <c r="D71" s="99">
        <f>IF(ISNUMBER($D70),IF(TabProjet[[#This Row],[Is Project]] &lt;&gt;"",$D70+1,$D70),1)</f>
        <v>4</v>
      </c>
      <c r="E71" s="99" t="str">
        <f>IF(TabProjet[[#This Row],[Is Project]] &lt;&gt; "","",".")</f>
        <v>.</v>
      </c>
      <c r="F71" s="99">
        <f>IFERROR(IF(TabProjet[[#This Row],[Is Project]]= "",$F70+1,""),1)</f>
        <v>15</v>
      </c>
      <c r="G71" s="68" t="s">
        <v>305</v>
      </c>
      <c r="H71" s="69" t="s">
        <v>539</v>
      </c>
      <c r="I71" s="70">
        <v>3</v>
      </c>
      <c r="J71" s="70" t="s">
        <v>13</v>
      </c>
      <c r="K71" s="71"/>
      <c r="L71" s="72">
        <v>45015</v>
      </c>
      <c r="M71" s="73">
        <v>21</v>
      </c>
      <c r="N7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71" s="17">
        <v>0</v>
      </c>
      <c r="P71" s="67">
        <f>TabProjet[[#This Row],[Début]]+(TabProjet[[#This Row],[Deadline]]-TabProjet[[#This Row],[Début]])*TabProjet[[#This Row],[Progression]]</f>
        <v>45015</v>
      </c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</row>
    <row r="72" spans="2:72" ht="28.8" x14ac:dyDescent="0.3">
      <c r="B72" s="3" t="str">
        <f>TabProjet[[#This Row],[IDProj]] &amp; TabProjet[[#This Row],[Point]] &amp; TabProjet[[#This Row],[IDSubProj]]</f>
        <v>4.16</v>
      </c>
      <c r="C72" s="99"/>
      <c r="D72" s="99">
        <f>IF(ISNUMBER($D71),IF(TabProjet[[#This Row],[Is Project]] &lt;&gt;"",$D71+1,$D71),1)</f>
        <v>4</v>
      </c>
      <c r="E72" s="99" t="str">
        <f>IF(TabProjet[[#This Row],[Is Project]] &lt;&gt; "","",".")</f>
        <v>.</v>
      </c>
      <c r="F72" s="99">
        <f>IFERROR(IF(TabProjet[[#This Row],[Is Project]]= "",$F71+1,""),1)</f>
        <v>16</v>
      </c>
      <c r="G72" s="68" t="s">
        <v>306</v>
      </c>
      <c r="H72" s="69" t="s">
        <v>539</v>
      </c>
      <c r="I72" s="70">
        <v>3</v>
      </c>
      <c r="J72" s="70" t="s">
        <v>24</v>
      </c>
      <c r="K72" s="71"/>
      <c r="L72" s="72">
        <v>45015</v>
      </c>
      <c r="M72" s="73">
        <v>21</v>
      </c>
      <c r="N7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45044</v>
      </c>
      <c r="O72" s="17">
        <v>0</v>
      </c>
      <c r="P72" s="67">
        <f>TabProjet[[#This Row],[Début]]+(TabProjet[[#This Row],[Deadline]]-TabProjet[[#This Row],[Début]])*TabProjet[[#This Row],[Progression]]</f>
        <v>45015</v>
      </c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</row>
    <row r="73" spans="2:72" ht="28.8" x14ac:dyDescent="0.3">
      <c r="B73" s="3" t="str">
        <f>TabProjet[[#This Row],[IDProj]] &amp; TabProjet[[#This Row],[Point]] &amp; TabProjet[[#This Row],[IDSubProj]]</f>
        <v>4.17</v>
      </c>
      <c r="C73" s="99"/>
      <c r="D73" s="99">
        <f>IF(ISNUMBER($D72),IF(TabProjet[[#This Row],[Is Project]] &lt;&gt;"",$D72+1,$D72),1)</f>
        <v>4</v>
      </c>
      <c r="E73" s="99" t="str">
        <f>IF(TabProjet[[#This Row],[Is Project]] &lt;&gt; "","",".")</f>
        <v>.</v>
      </c>
      <c r="F73" s="99">
        <f>IFERROR(IF(TabProjet[[#This Row],[Is Project]]= "",$F72+1,""),1)</f>
        <v>17</v>
      </c>
      <c r="G73" s="68" t="s">
        <v>307</v>
      </c>
      <c r="H73" s="69" t="s">
        <v>539</v>
      </c>
      <c r="I73" s="70">
        <v>3</v>
      </c>
      <c r="J73" s="70" t="s">
        <v>149</v>
      </c>
      <c r="K73" s="71"/>
      <c r="L73" s="72">
        <v>45015</v>
      </c>
      <c r="M73" s="73">
        <v>10</v>
      </c>
      <c r="N7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45029</v>
      </c>
      <c r="O73" s="17">
        <v>0</v>
      </c>
      <c r="P73" s="67">
        <f>TabProjet[[#This Row],[Début]]+(TabProjet[[#This Row],[Deadline]]-TabProjet[[#This Row],[Début]])*TabProjet[[#This Row],[Progression]]</f>
        <v>45015</v>
      </c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</row>
    <row r="74" spans="2:72" x14ac:dyDescent="0.3">
      <c r="B74" s="3" t="str">
        <f>TabProjet[[#This Row],[IDProj]] &amp; TabProjet[[#This Row],[Point]] &amp; TabProjet[[#This Row],[IDSubProj]]</f>
        <v>4.18</v>
      </c>
      <c r="C74" s="99"/>
      <c r="D74" s="99">
        <f>IF(ISNUMBER($D73),IF(TabProjet[[#This Row],[Is Project]] &lt;&gt;"",$D73+1,$D73),1)</f>
        <v>4</v>
      </c>
      <c r="E74" s="99" t="str">
        <f>IF(TabProjet[[#This Row],[Is Project]] &lt;&gt; "","",".")</f>
        <v>.</v>
      </c>
      <c r="F74" s="99">
        <f>IFERROR(IF(TabProjet[[#This Row],[Is Project]]= "",$F73+1,""),1)</f>
        <v>18</v>
      </c>
      <c r="G74" s="68" t="s">
        <v>172</v>
      </c>
      <c r="H74" s="69" t="s">
        <v>539</v>
      </c>
      <c r="I74" s="70">
        <v>3</v>
      </c>
      <c r="J74" s="70" t="s">
        <v>12</v>
      </c>
      <c r="K74" s="71" t="s">
        <v>308</v>
      </c>
      <c r="L74" s="72">
        <v>45015</v>
      </c>
      <c r="M74" s="73">
        <v>11</v>
      </c>
      <c r="N7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45030</v>
      </c>
      <c r="O74" s="17">
        <v>0</v>
      </c>
      <c r="P74" s="67">
        <f>TabProjet[[#This Row],[Début]]+(TabProjet[[#This Row],[Deadline]]-TabProjet[[#This Row],[Début]])*TabProjet[[#This Row],[Progression]]</f>
        <v>45015</v>
      </c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</row>
    <row r="75" spans="2:72" x14ac:dyDescent="0.3">
      <c r="B75" s="3" t="str">
        <f>TabProjet[[#This Row],[IDProj]] &amp; TabProjet[[#This Row],[Point]] &amp; TabProjet[[#This Row],[IDSubProj]]</f>
        <v>4.19</v>
      </c>
      <c r="C75" s="99"/>
      <c r="D75" s="99">
        <f>IF(ISNUMBER($D74),IF(TabProjet[[#This Row],[Is Project]] &lt;&gt;"",$D74+1,$D74),1)</f>
        <v>4</v>
      </c>
      <c r="E75" s="99" t="str">
        <f>IF(TabProjet[[#This Row],[Is Project]] &lt;&gt; "","",".")</f>
        <v>.</v>
      </c>
      <c r="F75" s="99">
        <f>IFERROR(IF(TabProjet[[#This Row],[Is Project]]= "",$F74+1,""),1)</f>
        <v>19</v>
      </c>
      <c r="G75" s="68" t="s">
        <v>173</v>
      </c>
      <c r="H75" s="69" t="s">
        <v>539</v>
      </c>
      <c r="I75" s="70" t="s">
        <v>309</v>
      </c>
      <c r="J75" s="70" t="s">
        <v>115</v>
      </c>
      <c r="K75" s="71"/>
      <c r="L75" s="72">
        <v>45043</v>
      </c>
      <c r="M75" s="73">
        <v>20</v>
      </c>
      <c r="N7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45076</v>
      </c>
      <c r="O75" s="17">
        <v>0</v>
      </c>
      <c r="P75" s="67">
        <f>TabProjet[[#This Row],[Début]]+(TabProjet[[#This Row],[Deadline]]-TabProjet[[#This Row],[Début]])*TabProjet[[#This Row],[Progression]]</f>
        <v>45043</v>
      </c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6" spans="2:72" x14ac:dyDescent="0.3">
      <c r="B76" s="3" t="str">
        <f>TabProjet[[#This Row],[IDProj]] &amp; TabProjet[[#This Row],[Point]] &amp; TabProjet[[#This Row],[IDSubProj]]</f>
        <v>4.20</v>
      </c>
      <c r="C76" s="99"/>
      <c r="D76" s="99">
        <f>IF(ISNUMBER($D75),IF(TabProjet[[#This Row],[Is Project]] &lt;&gt;"",$D75+1,$D75),1)</f>
        <v>4</v>
      </c>
      <c r="E76" s="99" t="str">
        <f>IF(TabProjet[[#This Row],[Is Project]] &lt;&gt; "","",".")</f>
        <v>.</v>
      </c>
      <c r="F76" s="99">
        <f>IFERROR(IF(TabProjet[[#This Row],[Is Project]]= "",$F75+1,""),1)</f>
        <v>20</v>
      </c>
      <c r="G76" s="68" t="s">
        <v>173</v>
      </c>
      <c r="H76" s="69" t="s">
        <v>539</v>
      </c>
      <c r="I76" s="70" t="s">
        <v>309</v>
      </c>
      <c r="J76" s="70" t="s">
        <v>14</v>
      </c>
      <c r="K76" s="71"/>
      <c r="L76" s="72">
        <v>45043</v>
      </c>
      <c r="M76" s="73">
        <v>20</v>
      </c>
      <c r="N7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45076</v>
      </c>
      <c r="O76" s="17">
        <v>0</v>
      </c>
      <c r="P76" s="67">
        <f>TabProjet[[#This Row],[Début]]+(TabProjet[[#This Row],[Deadline]]-TabProjet[[#This Row],[Début]])*TabProjet[[#This Row],[Progression]]</f>
        <v>45043</v>
      </c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7" spans="2:72" x14ac:dyDescent="0.3">
      <c r="B77" s="3" t="str">
        <f>TabProjet[[#This Row],[IDProj]] &amp; TabProjet[[#This Row],[Point]] &amp; TabProjet[[#This Row],[IDSubProj]]</f>
        <v>4.21</v>
      </c>
      <c r="C77" s="99"/>
      <c r="D77" s="99">
        <f>IF(ISNUMBER($D76),IF(TabProjet[[#This Row],[Is Project]] &lt;&gt;"",$D76+1,$D76),1)</f>
        <v>4</v>
      </c>
      <c r="E77" s="99" t="str">
        <f>IF(TabProjet[[#This Row],[Is Project]] &lt;&gt; "","",".")</f>
        <v>.</v>
      </c>
      <c r="F77" s="99">
        <f>IFERROR(IF(TabProjet[[#This Row],[Is Project]]= "",$F76+1,""),1)</f>
        <v>21</v>
      </c>
      <c r="G77" s="68" t="s">
        <v>173</v>
      </c>
      <c r="H77" s="69" t="s">
        <v>539</v>
      </c>
      <c r="I77" s="70" t="s">
        <v>309</v>
      </c>
      <c r="J77" s="70" t="s">
        <v>25</v>
      </c>
      <c r="K77" s="71"/>
      <c r="L77" s="72">
        <v>45043</v>
      </c>
      <c r="M77" s="73">
        <v>20</v>
      </c>
      <c r="N7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45076</v>
      </c>
      <c r="O77" s="17">
        <v>0</v>
      </c>
      <c r="P77" s="67">
        <f>TabProjet[[#This Row],[Début]]+(TabProjet[[#This Row],[Deadline]]-TabProjet[[#This Row],[Début]])*TabProjet[[#This Row],[Progression]]</f>
        <v>45043</v>
      </c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</row>
    <row r="78" spans="2:72" x14ac:dyDescent="0.3">
      <c r="B78" s="3" t="str">
        <f>TabProjet[[#This Row],[IDProj]] &amp; TabProjet[[#This Row],[Point]] &amp; TabProjet[[#This Row],[IDSubProj]]</f>
        <v>4.22</v>
      </c>
      <c r="C78" s="99"/>
      <c r="D78" s="99">
        <f>IF(ISNUMBER($D77),IF(TabProjet[[#This Row],[Is Project]] &lt;&gt;"",$D77+1,$D77),1)</f>
        <v>4</v>
      </c>
      <c r="E78" s="99" t="str">
        <f>IF(TabProjet[[#This Row],[Is Project]] &lt;&gt; "","",".")</f>
        <v>.</v>
      </c>
      <c r="F78" s="99">
        <f>IFERROR(IF(TabProjet[[#This Row],[Is Project]]= "",$F77+1,""),1)</f>
        <v>22</v>
      </c>
      <c r="G78" s="68" t="s">
        <v>173</v>
      </c>
      <c r="H78" s="69" t="s">
        <v>539</v>
      </c>
      <c r="I78" s="70" t="s">
        <v>309</v>
      </c>
      <c r="J78" s="70" t="s">
        <v>13</v>
      </c>
      <c r="K78" s="71"/>
      <c r="L78" s="72">
        <v>45043</v>
      </c>
      <c r="M78" s="73">
        <v>20</v>
      </c>
      <c r="N7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45076</v>
      </c>
      <c r="O78" s="17">
        <v>0</v>
      </c>
      <c r="P78" s="67">
        <f>TabProjet[[#This Row],[Début]]+(TabProjet[[#This Row],[Deadline]]-TabProjet[[#This Row],[Début]])*TabProjet[[#This Row],[Progression]]</f>
        <v>45043</v>
      </c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</row>
    <row r="79" spans="2:72" x14ac:dyDescent="0.3">
      <c r="B79" s="3" t="str">
        <f>TabProjet[[#This Row],[IDProj]] &amp; TabProjet[[#This Row],[Point]] &amp; TabProjet[[#This Row],[IDSubProj]]</f>
        <v>4.23</v>
      </c>
      <c r="C79" s="99"/>
      <c r="D79" s="99">
        <f>IF(ISNUMBER($D78),IF(TabProjet[[#This Row],[Is Project]] &lt;&gt;"",$D78+1,$D78),1)</f>
        <v>4</v>
      </c>
      <c r="E79" s="99" t="str">
        <f>IF(TabProjet[[#This Row],[Is Project]] &lt;&gt; "","",".")</f>
        <v>.</v>
      </c>
      <c r="F79" s="99">
        <f>IFERROR(IF(TabProjet[[#This Row],[Is Project]]= "",$F78+1,""),1)</f>
        <v>23</v>
      </c>
      <c r="G79" s="68" t="s">
        <v>173</v>
      </c>
      <c r="H79" s="69" t="s">
        <v>539</v>
      </c>
      <c r="I79" s="70" t="s">
        <v>309</v>
      </c>
      <c r="J79" s="70" t="s">
        <v>24</v>
      </c>
      <c r="K79" s="71"/>
      <c r="L79" s="72">
        <v>45043</v>
      </c>
      <c r="M79" s="73">
        <v>20</v>
      </c>
      <c r="N7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45076</v>
      </c>
      <c r="O79" s="17">
        <v>0</v>
      </c>
      <c r="P79" s="67">
        <f>TabProjet[[#This Row],[Début]]+(TabProjet[[#This Row],[Deadline]]-TabProjet[[#This Row],[Début]])*TabProjet[[#This Row],[Progression]]</f>
        <v>45043</v>
      </c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</row>
    <row r="80" spans="2:72" x14ac:dyDescent="0.3">
      <c r="B80" s="3" t="str">
        <f>TabProjet[[#This Row],[IDProj]] &amp; TabProjet[[#This Row],[Point]] &amp; TabProjet[[#This Row],[IDSubProj]]</f>
        <v>4.24</v>
      </c>
      <c r="C80" s="99"/>
      <c r="D80" s="99">
        <f>IF(ISNUMBER($D79),IF(TabProjet[[#This Row],[Is Project]] &lt;&gt;"",$D79+1,$D79),1)</f>
        <v>4</v>
      </c>
      <c r="E80" s="99" t="str">
        <f>IF(TabProjet[[#This Row],[Is Project]] &lt;&gt; "","",".")</f>
        <v>.</v>
      </c>
      <c r="F80" s="99">
        <f>IFERROR(IF(TabProjet[[#This Row],[Is Project]]= "",$F79+1,""),1)</f>
        <v>24</v>
      </c>
      <c r="G80" s="68" t="s">
        <v>174</v>
      </c>
      <c r="H80" s="69" t="s">
        <v>539</v>
      </c>
      <c r="I80" s="70" t="s">
        <v>310</v>
      </c>
      <c r="J80" s="70" t="s">
        <v>26</v>
      </c>
      <c r="K80" s="71"/>
      <c r="L80" s="72">
        <v>45070</v>
      </c>
      <c r="M80" s="73">
        <v>0</v>
      </c>
      <c r="N8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0" s="17">
        <v>0</v>
      </c>
      <c r="P80" s="67">
        <f>TabProjet[[#This Row],[Début]]+(TabProjet[[#This Row],[Deadline]]-TabProjet[[#This Row],[Début]])*TabProjet[[#This Row],[Progression]]</f>
        <v>45070</v>
      </c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</row>
    <row r="81" spans="2:72" x14ac:dyDescent="0.3">
      <c r="B81" s="3" t="str">
        <f>TabProjet[[#This Row],[IDProj]] &amp; TabProjet[[#This Row],[Point]] &amp; TabProjet[[#This Row],[IDSubProj]]</f>
        <v>4.25</v>
      </c>
      <c r="C81" s="99"/>
      <c r="D81" s="99">
        <f>IF(ISNUMBER($D80),IF(TabProjet[[#This Row],[Is Project]] &lt;&gt;"",$D80+1,$D80),1)</f>
        <v>4</v>
      </c>
      <c r="E81" s="99" t="str">
        <f>IF(TabProjet[[#This Row],[Is Project]] &lt;&gt; "","",".")</f>
        <v>.</v>
      </c>
      <c r="F81" s="99">
        <f>IFERROR(IF(TabProjet[[#This Row],[Is Project]]= "",$F80+1,""),1)</f>
        <v>25</v>
      </c>
      <c r="G81" s="68" t="s">
        <v>174</v>
      </c>
      <c r="H81" s="69" t="s">
        <v>539</v>
      </c>
      <c r="I81" s="70" t="s">
        <v>310</v>
      </c>
      <c r="J81" s="70" t="s">
        <v>22</v>
      </c>
      <c r="K81" s="71"/>
      <c r="L81" s="72">
        <v>45070</v>
      </c>
      <c r="M81" s="73">
        <v>0</v>
      </c>
      <c r="N8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1" s="17">
        <v>0</v>
      </c>
      <c r="P81" s="67">
        <f>TabProjet[[#This Row],[Début]]+(TabProjet[[#This Row],[Deadline]]-TabProjet[[#This Row],[Début]])*TabProjet[[#This Row],[Progression]]</f>
        <v>45070</v>
      </c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</row>
    <row r="82" spans="2:72" x14ac:dyDescent="0.3">
      <c r="B82" s="3" t="str">
        <f>TabProjet[[#This Row],[IDProj]] &amp; TabProjet[[#This Row],[Point]] &amp; TabProjet[[#This Row],[IDSubProj]]</f>
        <v>4.26</v>
      </c>
      <c r="C82" s="99"/>
      <c r="D82" s="99">
        <f>IF(ISNUMBER($D81),IF(TabProjet[[#This Row],[Is Project]] &lt;&gt;"",$D81+1,$D81),1)</f>
        <v>4</v>
      </c>
      <c r="E82" s="99" t="str">
        <f>IF(TabProjet[[#This Row],[Is Project]] &lt;&gt; "","",".")</f>
        <v>.</v>
      </c>
      <c r="F82" s="99">
        <f>IFERROR(IF(TabProjet[[#This Row],[Is Project]]= "",$F81+1,""),1)</f>
        <v>26</v>
      </c>
      <c r="G82" s="68" t="s">
        <v>174</v>
      </c>
      <c r="H82" s="69" t="s">
        <v>539</v>
      </c>
      <c r="I82" s="70" t="s">
        <v>310</v>
      </c>
      <c r="J82" s="70" t="s">
        <v>21</v>
      </c>
      <c r="K82" s="71"/>
      <c r="L82" s="72">
        <v>45070</v>
      </c>
      <c r="M82" s="73">
        <v>0</v>
      </c>
      <c r="N8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2" s="17">
        <v>0</v>
      </c>
      <c r="P82" s="67">
        <f>TabProjet[[#This Row],[Début]]+(TabProjet[[#This Row],[Deadline]]-TabProjet[[#This Row],[Début]])*TabProjet[[#This Row],[Progression]]</f>
        <v>45070</v>
      </c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</row>
    <row r="83" spans="2:72" x14ac:dyDescent="0.3">
      <c r="B83" s="3" t="str">
        <f>TabProjet[[#This Row],[IDProj]] &amp; TabProjet[[#This Row],[Point]] &amp; TabProjet[[#This Row],[IDSubProj]]</f>
        <v>4.27</v>
      </c>
      <c r="C83" s="99"/>
      <c r="D83" s="99">
        <f>IF(ISNUMBER($D82),IF(TabProjet[[#This Row],[Is Project]] &lt;&gt;"",$D82+1,$D82),1)</f>
        <v>4</v>
      </c>
      <c r="E83" s="99" t="str">
        <f>IF(TabProjet[[#This Row],[Is Project]] &lt;&gt; "","",".")</f>
        <v>.</v>
      </c>
      <c r="F83" s="99">
        <f>IFERROR(IF(TabProjet[[#This Row],[Is Project]]= "",$F82+1,""),1)</f>
        <v>27</v>
      </c>
      <c r="G83" s="68" t="s">
        <v>174</v>
      </c>
      <c r="H83" s="69" t="s">
        <v>539</v>
      </c>
      <c r="I83" s="70" t="s">
        <v>310</v>
      </c>
      <c r="J83" s="70" t="s">
        <v>23</v>
      </c>
      <c r="K83" s="71"/>
      <c r="L83" s="72">
        <v>45070</v>
      </c>
      <c r="M83" s="73">
        <v>0</v>
      </c>
      <c r="N8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3" s="17">
        <v>0</v>
      </c>
      <c r="P83" s="67">
        <f>TabProjet[[#This Row],[Début]]+(TabProjet[[#This Row],[Deadline]]-TabProjet[[#This Row],[Début]])*TabProjet[[#This Row],[Progression]]</f>
        <v>45070</v>
      </c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</row>
    <row r="84" spans="2:72" x14ac:dyDescent="0.3">
      <c r="B84" s="3" t="str">
        <f>TabProjet[[#This Row],[IDProj]] &amp; TabProjet[[#This Row],[Point]] &amp; TabProjet[[#This Row],[IDSubProj]]</f>
        <v>4.28</v>
      </c>
      <c r="C84" s="99"/>
      <c r="D84" s="99">
        <f>IF(ISNUMBER($D83),IF(TabProjet[[#This Row],[Is Project]] &lt;&gt;"",$D83+1,$D83),1)</f>
        <v>4</v>
      </c>
      <c r="E84" s="99" t="str">
        <f>IF(TabProjet[[#This Row],[Is Project]] &lt;&gt; "","",".")</f>
        <v>.</v>
      </c>
      <c r="F84" s="99">
        <f>IFERROR(IF(TabProjet[[#This Row],[Is Project]]= "",$F83+1,""),1)</f>
        <v>28</v>
      </c>
      <c r="G84" s="68" t="s">
        <v>174</v>
      </c>
      <c r="H84" s="69" t="s">
        <v>539</v>
      </c>
      <c r="I84" s="70" t="s">
        <v>310</v>
      </c>
      <c r="J84" s="70" t="s">
        <v>15</v>
      </c>
      <c r="K84" s="71"/>
      <c r="L84" s="72">
        <v>45070</v>
      </c>
      <c r="M84" s="73">
        <v>0</v>
      </c>
      <c r="N8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4" s="17">
        <v>0</v>
      </c>
      <c r="P84" s="67">
        <f>TabProjet[[#This Row],[Début]]+(TabProjet[[#This Row],[Deadline]]-TabProjet[[#This Row],[Début]])*TabProjet[[#This Row],[Progression]]</f>
        <v>45070</v>
      </c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</row>
    <row r="85" spans="2:72" x14ac:dyDescent="0.3">
      <c r="B85" s="3" t="str">
        <f>TabProjet[[#This Row],[IDProj]] &amp; TabProjet[[#This Row],[Point]] &amp; TabProjet[[#This Row],[IDSubProj]]</f>
        <v>4.29</v>
      </c>
      <c r="C85" s="99"/>
      <c r="D85" s="99">
        <f>IF(ISNUMBER($D84),IF(TabProjet[[#This Row],[Is Project]] &lt;&gt;"",$D84+1,$D84),1)</f>
        <v>4</v>
      </c>
      <c r="E85" s="99" t="str">
        <f>IF(TabProjet[[#This Row],[Is Project]] &lt;&gt; "","",".")</f>
        <v>.</v>
      </c>
      <c r="F85" s="99">
        <f>IFERROR(IF(TabProjet[[#This Row],[Is Project]]= "",$F84+1,""),1)</f>
        <v>29</v>
      </c>
      <c r="G85" s="68" t="s">
        <v>174</v>
      </c>
      <c r="H85" s="69" t="s">
        <v>539</v>
      </c>
      <c r="I85" s="70" t="s">
        <v>310</v>
      </c>
      <c r="J85" s="70" t="s">
        <v>134</v>
      </c>
      <c r="K85" s="71"/>
      <c r="L85" s="72">
        <v>45070</v>
      </c>
      <c r="M85" s="73">
        <v>0</v>
      </c>
      <c r="N8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5" s="17">
        <v>0</v>
      </c>
      <c r="P85" s="67">
        <f>TabProjet[[#This Row],[Début]]+(TabProjet[[#This Row],[Deadline]]-TabProjet[[#This Row],[Début]])*TabProjet[[#This Row],[Progression]]</f>
        <v>45070</v>
      </c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</row>
    <row r="86" spans="2:72" x14ac:dyDescent="0.3">
      <c r="B86" s="3" t="str">
        <f>TabProjet[[#This Row],[IDProj]] &amp; TabProjet[[#This Row],[Point]] &amp; TabProjet[[#This Row],[IDSubProj]]</f>
        <v>4.30</v>
      </c>
      <c r="C86" s="99"/>
      <c r="D86" s="99">
        <f>IF(ISNUMBER($D85),IF(TabProjet[[#This Row],[Is Project]] &lt;&gt;"",$D85+1,$D85),1)</f>
        <v>4</v>
      </c>
      <c r="E86" s="99" t="str">
        <f>IF(TabProjet[[#This Row],[Is Project]] &lt;&gt; "","",".")</f>
        <v>.</v>
      </c>
      <c r="F86" s="99">
        <f>IFERROR(IF(TabProjet[[#This Row],[Is Project]]= "",$F85+1,""),1)</f>
        <v>30</v>
      </c>
      <c r="G86" s="68" t="s">
        <v>174</v>
      </c>
      <c r="H86" s="69" t="s">
        <v>539</v>
      </c>
      <c r="I86" s="70" t="s">
        <v>310</v>
      </c>
      <c r="J86" s="70" t="s">
        <v>20</v>
      </c>
      <c r="K86" s="71"/>
      <c r="L86" s="72">
        <v>45070</v>
      </c>
      <c r="M86" s="73">
        <v>0</v>
      </c>
      <c r="N8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6" s="17">
        <v>0</v>
      </c>
      <c r="P86" s="67">
        <f>TabProjet[[#This Row],[Début]]+(TabProjet[[#This Row],[Deadline]]-TabProjet[[#This Row],[Début]])*TabProjet[[#This Row],[Progression]]</f>
        <v>45070</v>
      </c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</row>
    <row r="87" spans="2:72" x14ac:dyDescent="0.3">
      <c r="B87" s="3" t="str">
        <f>TabProjet[[#This Row],[IDProj]] &amp; TabProjet[[#This Row],[Point]] &amp; TabProjet[[#This Row],[IDSubProj]]</f>
        <v>4.31</v>
      </c>
      <c r="C87" s="99"/>
      <c r="D87" s="99">
        <f>IF(ISNUMBER($D86),IF(TabProjet[[#This Row],[Is Project]] &lt;&gt;"",$D86+1,$D86),1)</f>
        <v>4</v>
      </c>
      <c r="E87" s="99" t="str">
        <f>IF(TabProjet[[#This Row],[Is Project]] &lt;&gt; "","",".")</f>
        <v>.</v>
      </c>
      <c r="F87" s="99">
        <f>IFERROR(IF(TabProjet[[#This Row],[Is Project]]= "",$F86+1,""),1)</f>
        <v>31</v>
      </c>
      <c r="G87" s="68" t="s">
        <v>174</v>
      </c>
      <c r="H87" s="69" t="s">
        <v>539</v>
      </c>
      <c r="I87" s="70" t="s">
        <v>310</v>
      </c>
      <c r="J87" s="70" t="s">
        <v>18</v>
      </c>
      <c r="K87" s="71"/>
      <c r="L87" s="72">
        <v>45070</v>
      </c>
      <c r="M87" s="73">
        <v>0</v>
      </c>
      <c r="N8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7" s="17">
        <v>0</v>
      </c>
      <c r="P87" s="67">
        <f>TabProjet[[#This Row],[Début]]+(TabProjet[[#This Row],[Deadline]]-TabProjet[[#This Row],[Début]])*TabProjet[[#This Row],[Progression]]</f>
        <v>45070</v>
      </c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</row>
    <row r="88" spans="2:72" x14ac:dyDescent="0.3">
      <c r="B88" s="3" t="str">
        <f>TabProjet[[#This Row],[IDProj]] &amp; TabProjet[[#This Row],[Point]] &amp; TabProjet[[#This Row],[IDSubProj]]</f>
        <v>4.32</v>
      </c>
      <c r="C88" s="99"/>
      <c r="D88" s="99">
        <f>IF(ISNUMBER($D87),IF(TabProjet[[#This Row],[Is Project]] &lt;&gt;"",$D87+1,$D87),1)</f>
        <v>4</v>
      </c>
      <c r="E88" s="99" t="str">
        <f>IF(TabProjet[[#This Row],[Is Project]] &lt;&gt; "","",".")</f>
        <v>.</v>
      </c>
      <c r="F88" s="99">
        <f>IFERROR(IF(TabProjet[[#This Row],[Is Project]]= "",$F87+1,""),1)</f>
        <v>32</v>
      </c>
      <c r="G88" s="68" t="s">
        <v>174</v>
      </c>
      <c r="H88" s="69" t="s">
        <v>539</v>
      </c>
      <c r="I88" s="70" t="s">
        <v>310</v>
      </c>
      <c r="J88" s="70" t="s">
        <v>142</v>
      </c>
      <c r="K88" s="71"/>
      <c r="L88" s="72">
        <v>45070</v>
      </c>
      <c r="M88" s="73">
        <v>0</v>
      </c>
      <c r="N8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8" s="17">
        <v>0</v>
      </c>
      <c r="P88" s="67">
        <f>TabProjet[[#This Row],[Début]]+(TabProjet[[#This Row],[Deadline]]-TabProjet[[#This Row],[Début]])*TabProjet[[#This Row],[Progression]]</f>
        <v>45070</v>
      </c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</row>
    <row r="89" spans="2:72" x14ac:dyDescent="0.3">
      <c r="B89" s="3" t="str">
        <f>TabProjet[[#This Row],[IDProj]] &amp; TabProjet[[#This Row],[Point]] &amp; TabProjet[[#This Row],[IDSubProj]]</f>
        <v>4.33</v>
      </c>
      <c r="C89" s="99"/>
      <c r="D89" s="99">
        <f>IF(ISNUMBER($D88),IF(TabProjet[[#This Row],[Is Project]] &lt;&gt;"",$D88+1,$D88),1)</f>
        <v>4</v>
      </c>
      <c r="E89" s="99" t="str">
        <f>IF(TabProjet[[#This Row],[Is Project]] &lt;&gt; "","",".")</f>
        <v>.</v>
      </c>
      <c r="F89" s="99">
        <f>IFERROR(IF(TabProjet[[#This Row],[Is Project]]= "",$F88+1,""),1)</f>
        <v>33</v>
      </c>
      <c r="G89" s="68" t="s">
        <v>174</v>
      </c>
      <c r="H89" s="69" t="s">
        <v>539</v>
      </c>
      <c r="I89" s="70" t="s">
        <v>310</v>
      </c>
      <c r="J89" s="70" t="s">
        <v>19</v>
      </c>
      <c r="K89" s="71"/>
      <c r="L89" s="72">
        <v>45070</v>
      </c>
      <c r="M89" s="73">
        <v>0</v>
      </c>
      <c r="N8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89" s="17">
        <v>0</v>
      </c>
      <c r="P89" s="67">
        <f>TabProjet[[#This Row],[Début]]+(TabProjet[[#This Row],[Deadline]]-TabProjet[[#This Row],[Début]])*TabProjet[[#This Row],[Progression]]</f>
        <v>45070</v>
      </c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</row>
    <row r="90" spans="2:72" x14ac:dyDescent="0.3">
      <c r="B90" s="3" t="str">
        <f>TabProjet[[#This Row],[IDProj]] &amp; TabProjet[[#This Row],[Point]] &amp; TabProjet[[#This Row],[IDSubProj]]</f>
        <v>4.34</v>
      </c>
      <c r="C90" s="99"/>
      <c r="D90" s="99">
        <f>IF(ISNUMBER($D89),IF(TabProjet[[#This Row],[Is Project]] &lt;&gt;"",$D89+1,$D89),1)</f>
        <v>4</v>
      </c>
      <c r="E90" s="99" t="str">
        <f>IF(TabProjet[[#This Row],[Is Project]] &lt;&gt; "","",".")</f>
        <v>.</v>
      </c>
      <c r="F90" s="99">
        <f>IFERROR(IF(TabProjet[[#This Row],[Is Project]]= "",$F89+1,""),1)</f>
        <v>34</v>
      </c>
      <c r="G90" s="68" t="s">
        <v>174</v>
      </c>
      <c r="H90" s="69" t="s">
        <v>539</v>
      </c>
      <c r="I90" s="70" t="s">
        <v>310</v>
      </c>
      <c r="J90" s="70" t="s">
        <v>17</v>
      </c>
      <c r="K90" s="71"/>
      <c r="L90" s="72">
        <v>45070</v>
      </c>
      <c r="M90" s="73">
        <v>0</v>
      </c>
      <c r="N9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90" s="17">
        <v>0</v>
      </c>
      <c r="P90" s="67">
        <f>TabProjet[[#This Row],[Début]]+(TabProjet[[#This Row],[Deadline]]-TabProjet[[#This Row],[Début]])*TabProjet[[#This Row],[Progression]]</f>
        <v>45070</v>
      </c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</row>
    <row r="91" spans="2:72" x14ac:dyDescent="0.3">
      <c r="B91" s="3" t="str">
        <f>TabProjet[[#This Row],[IDProj]] &amp; TabProjet[[#This Row],[Point]] &amp; TabProjet[[#This Row],[IDSubProj]]</f>
        <v>4.35</v>
      </c>
      <c r="C91" s="99"/>
      <c r="D91" s="99">
        <f>IF(ISNUMBER($D90),IF(TabProjet[[#This Row],[Is Project]] &lt;&gt;"",$D90+1,$D90),1)</f>
        <v>4</v>
      </c>
      <c r="E91" s="99" t="str">
        <f>IF(TabProjet[[#This Row],[Is Project]] &lt;&gt; "","",".")</f>
        <v>.</v>
      </c>
      <c r="F91" s="99">
        <f>IFERROR(IF(TabProjet[[#This Row],[Is Project]]= "",$F90+1,""),1)</f>
        <v>35</v>
      </c>
      <c r="G91" s="68" t="s">
        <v>174</v>
      </c>
      <c r="H91" s="69" t="s">
        <v>539</v>
      </c>
      <c r="I91" s="70" t="s">
        <v>310</v>
      </c>
      <c r="J91" s="70" t="s">
        <v>115</v>
      </c>
      <c r="K91" s="71"/>
      <c r="L91" s="72">
        <v>45070</v>
      </c>
      <c r="M91" s="73">
        <v>0</v>
      </c>
      <c r="N9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91" s="17">
        <v>0</v>
      </c>
      <c r="P91" s="67">
        <f>TabProjet[[#This Row],[Début]]+(TabProjet[[#This Row],[Deadline]]-TabProjet[[#This Row],[Début]])*TabProjet[[#This Row],[Progression]]</f>
        <v>45070</v>
      </c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</row>
    <row r="92" spans="2:72" x14ac:dyDescent="0.3">
      <c r="B92" s="3" t="str">
        <f>TabProjet[[#This Row],[IDProj]] &amp; TabProjet[[#This Row],[Point]] &amp; TabProjet[[#This Row],[IDSubProj]]</f>
        <v>4.36</v>
      </c>
      <c r="C92" s="99"/>
      <c r="D92" s="99">
        <f>IF(ISNUMBER($D91),IF(TabProjet[[#This Row],[Is Project]] &lt;&gt;"",$D91+1,$D91),1)</f>
        <v>4</v>
      </c>
      <c r="E92" s="99" t="str">
        <f>IF(TabProjet[[#This Row],[Is Project]] &lt;&gt; "","",".")</f>
        <v>.</v>
      </c>
      <c r="F92" s="99">
        <f>IFERROR(IF(TabProjet[[#This Row],[Is Project]]= "",$F91+1,""),1)</f>
        <v>36</v>
      </c>
      <c r="G92" s="68" t="s">
        <v>174</v>
      </c>
      <c r="H92" s="69" t="s">
        <v>539</v>
      </c>
      <c r="I92" s="70" t="s">
        <v>310</v>
      </c>
      <c r="J92" s="70" t="s">
        <v>14</v>
      </c>
      <c r="K92" s="71"/>
      <c r="L92" s="72">
        <v>45070</v>
      </c>
      <c r="M92" s="73">
        <v>0</v>
      </c>
      <c r="N9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92" s="17">
        <v>0</v>
      </c>
      <c r="P92" s="67">
        <f>TabProjet[[#This Row],[Début]]+(TabProjet[[#This Row],[Deadline]]-TabProjet[[#This Row],[Début]])*TabProjet[[#This Row],[Progression]]</f>
        <v>45070</v>
      </c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</row>
    <row r="93" spans="2:72" x14ac:dyDescent="0.3">
      <c r="B93" s="3" t="str">
        <f>TabProjet[[#This Row],[IDProj]] &amp; TabProjet[[#This Row],[Point]] &amp; TabProjet[[#This Row],[IDSubProj]]</f>
        <v>4.37</v>
      </c>
      <c r="C93" s="99"/>
      <c r="D93" s="99">
        <f>IF(ISNUMBER($D92),IF(TabProjet[[#This Row],[Is Project]] &lt;&gt;"",$D92+1,$D92),1)</f>
        <v>4</v>
      </c>
      <c r="E93" s="99" t="str">
        <f>IF(TabProjet[[#This Row],[Is Project]] &lt;&gt; "","",".")</f>
        <v>.</v>
      </c>
      <c r="F93" s="99">
        <f>IFERROR(IF(TabProjet[[#This Row],[Is Project]]= "",$F92+1,""),1)</f>
        <v>37</v>
      </c>
      <c r="G93" s="68" t="s">
        <v>174</v>
      </c>
      <c r="H93" s="69" t="s">
        <v>539</v>
      </c>
      <c r="I93" s="70" t="s">
        <v>310</v>
      </c>
      <c r="J93" s="70" t="s">
        <v>25</v>
      </c>
      <c r="K93" s="71"/>
      <c r="L93" s="72">
        <v>45070</v>
      </c>
      <c r="M93" s="73">
        <v>0</v>
      </c>
      <c r="N9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93" s="17">
        <v>0</v>
      </c>
      <c r="P93" s="67">
        <f>TabProjet[[#This Row],[Début]]+(TabProjet[[#This Row],[Deadline]]-TabProjet[[#This Row],[Début]])*TabProjet[[#This Row],[Progression]]</f>
        <v>45070</v>
      </c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</row>
    <row r="94" spans="2:72" x14ac:dyDescent="0.3">
      <c r="B94" s="3" t="str">
        <f>TabProjet[[#This Row],[IDProj]] &amp; TabProjet[[#This Row],[Point]] &amp; TabProjet[[#This Row],[IDSubProj]]</f>
        <v>4.38</v>
      </c>
      <c r="C94" s="99"/>
      <c r="D94" s="99">
        <f>IF(ISNUMBER($D93),IF(TabProjet[[#This Row],[Is Project]] &lt;&gt;"",$D93+1,$D93),1)</f>
        <v>4</v>
      </c>
      <c r="E94" s="99" t="str">
        <f>IF(TabProjet[[#This Row],[Is Project]] &lt;&gt; "","",".")</f>
        <v>.</v>
      </c>
      <c r="F94" s="99">
        <f>IFERROR(IF(TabProjet[[#This Row],[Is Project]]= "",$F93+1,""),1)</f>
        <v>38</v>
      </c>
      <c r="G94" s="68" t="s">
        <v>174</v>
      </c>
      <c r="H94" s="69" t="s">
        <v>539</v>
      </c>
      <c r="I94" s="70" t="s">
        <v>310</v>
      </c>
      <c r="J94" s="70" t="s">
        <v>13</v>
      </c>
      <c r="K94" s="71"/>
      <c r="L94" s="72">
        <v>45070</v>
      </c>
      <c r="M94" s="73">
        <v>0</v>
      </c>
      <c r="N9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94" s="17">
        <v>0</v>
      </c>
      <c r="P94" s="67">
        <f>TabProjet[[#This Row],[Début]]+(TabProjet[[#This Row],[Deadline]]-TabProjet[[#This Row],[Début]])*TabProjet[[#This Row],[Progression]]</f>
        <v>45070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</row>
    <row r="95" spans="2:72" x14ac:dyDescent="0.3">
      <c r="B95" s="3" t="str">
        <f>TabProjet[[#This Row],[IDProj]] &amp; TabProjet[[#This Row],[Point]] &amp; TabProjet[[#This Row],[IDSubProj]]</f>
        <v>4.39</v>
      </c>
      <c r="C95" s="99"/>
      <c r="D95" s="99">
        <f>IF(ISNUMBER($D94),IF(TabProjet[[#This Row],[Is Project]] &lt;&gt;"",$D94+1,$D94),1)</f>
        <v>4</v>
      </c>
      <c r="E95" s="99" t="str">
        <f>IF(TabProjet[[#This Row],[Is Project]] &lt;&gt; "","",".")</f>
        <v>.</v>
      </c>
      <c r="F95" s="99">
        <f>IFERROR(IF(TabProjet[[#This Row],[Is Project]]= "",$F94+1,""),1)</f>
        <v>39</v>
      </c>
      <c r="G95" s="68" t="s">
        <v>174</v>
      </c>
      <c r="H95" s="69" t="s">
        <v>539</v>
      </c>
      <c r="I95" s="70" t="s">
        <v>310</v>
      </c>
      <c r="J95" s="70" t="s">
        <v>24</v>
      </c>
      <c r="K95" s="71"/>
      <c r="L95" s="72">
        <v>45070</v>
      </c>
      <c r="M95" s="73">
        <v>0</v>
      </c>
      <c r="N9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45070</v>
      </c>
      <c r="O95" s="17">
        <v>0</v>
      </c>
      <c r="P95" s="67">
        <f>TabProjet[[#This Row],[Début]]+(TabProjet[[#This Row],[Deadline]]-TabProjet[[#This Row],[Début]])*TabProjet[[#This Row],[Progression]]</f>
        <v>45070</v>
      </c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</row>
    <row r="96" spans="2:72" x14ac:dyDescent="0.3">
      <c r="B96" s="3" t="str">
        <f>TabProjet[[#This Row],[IDProj]] &amp; TabProjet[[#This Row],[Point]] &amp; TabProjet[[#This Row],[IDSubProj]]</f>
        <v>4.40</v>
      </c>
      <c r="C96" s="99"/>
      <c r="D96" s="99">
        <f>IF(ISNUMBER($D95),IF(TabProjet[[#This Row],[Is Project]] &lt;&gt;"",$D95+1,$D95),1)</f>
        <v>4</v>
      </c>
      <c r="E96" s="99" t="str">
        <f>IF(TabProjet[[#This Row],[Is Project]] &lt;&gt; "","",".")</f>
        <v>.</v>
      </c>
      <c r="F96" s="99">
        <f>IFERROR(IF(TabProjet[[#This Row],[Is Project]]= "",$F95+1,""),1)</f>
        <v>40</v>
      </c>
      <c r="G96" s="68" t="s">
        <v>175</v>
      </c>
      <c r="H96" s="69" t="s">
        <v>539</v>
      </c>
      <c r="I96" s="70" t="s">
        <v>311</v>
      </c>
      <c r="J96" s="70" t="s">
        <v>26</v>
      </c>
      <c r="K96" s="71"/>
      <c r="L96" s="72">
        <v>44965</v>
      </c>
      <c r="M96" s="73">
        <v>0</v>
      </c>
      <c r="N9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96" s="17">
        <v>0</v>
      </c>
      <c r="P96" s="67">
        <f>TabProjet[[#This Row],[Début]]+(TabProjet[[#This Row],[Deadline]]-TabProjet[[#This Row],[Début]])*TabProjet[[#This Row],[Progression]]</f>
        <v>44965</v>
      </c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</row>
    <row r="97" spans="2:72" x14ac:dyDescent="0.3">
      <c r="B97" s="3" t="str">
        <f>TabProjet[[#This Row],[IDProj]] &amp; TabProjet[[#This Row],[Point]] &amp; TabProjet[[#This Row],[IDSubProj]]</f>
        <v>4.41</v>
      </c>
      <c r="C97" s="99"/>
      <c r="D97" s="99">
        <f>IF(ISNUMBER($D96),IF(TabProjet[[#This Row],[Is Project]] &lt;&gt;"",$D96+1,$D96),1)</f>
        <v>4</v>
      </c>
      <c r="E97" s="99" t="str">
        <f>IF(TabProjet[[#This Row],[Is Project]] &lt;&gt; "","",".")</f>
        <v>.</v>
      </c>
      <c r="F97" s="99">
        <f>IFERROR(IF(TabProjet[[#This Row],[Is Project]]= "",$F96+1,""),1)</f>
        <v>41</v>
      </c>
      <c r="G97" s="68" t="s">
        <v>175</v>
      </c>
      <c r="H97" s="69" t="s">
        <v>539</v>
      </c>
      <c r="I97" s="70" t="s">
        <v>311</v>
      </c>
      <c r="J97" s="70" t="s">
        <v>22</v>
      </c>
      <c r="K97" s="71"/>
      <c r="L97" s="72">
        <v>44965</v>
      </c>
      <c r="M97" s="73">
        <v>0</v>
      </c>
      <c r="N9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97" s="17">
        <v>0</v>
      </c>
      <c r="P97" s="67">
        <f>TabProjet[[#This Row],[Début]]+(TabProjet[[#This Row],[Deadline]]-TabProjet[[#This Row],[Début]])*TabProjet[[#This Row],[Progression]]</f>
        <v>44965</v>
      </c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</row>
    <row r="98" spans="2:72" x14ac:dyDescent="0.3">
      <c r="B98" s="3" t="str">
        <f>TabProjet[[#This Row],[IDProj]] &amp; TabProjet[[#This Row],[Point]] &amp; TabProjet[[#This Row],[IDSubProj]]</f>
        <v>4.42</v>
      </c>
      <c r="C98" s="99"/>
      <c r="D98" s="99">
        <f>IF(ISNUMBER($D97),IF(TabProjet[[#This Row],[Is Project]] &lt;&gt;"",$D97+1,$D97),1)</f>
        <v>4</v>
      </c>
      <c r="E98" s="99" t="str">
        <f>IF(TabProjet[[#This Row],[Is Project]] &lt;&gt; "","",".")</f>
        <v>.</v>
      </c>
      <c r="F98" s="99">
        <f>IFERROR(IF(TabProjet[[#This Row],[Is Project]]= "",$F97+1,""),1)</f>
        <v>42</v>
      </c>
      <c r="G98" s="68" t="s">
        <v>175</v>
      </c>
      <c r="H98" s="69" t="s">
        <v>539</v>
      </c>
      <c r="I98" s="70" t="s">
        <v>311</v>
      </c>
      <c r="J98" s="70" t="s">
        <v>21</v>
      </c>
      <c r="K98" s="71"/>
      <c r="L98" s="72">
        <v>44965</v>
      </c>
      <c r="M98" s="73">
        <v>0</v>
      </c>
      <c r="N9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98" s="17">
        <v>0</v>
      </c>
      <c r="P98" s="67">
        <f>TabProjet[[#This Row],[Début]]+(TabProjet[[#This Row],[Deadline]]-TabProjet[[#This Row],[Début]])*TabProjet[[#This Row],[Progression]]</f>
        <v>44965</v>
      </c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</row>
    <row r="99" spans="2:72" x14ac:dyDescent="0.3">
      <c r="B99" s="3" t="str">
        <f>TabProjet[[#This Row],[IDProj]] &amp; TabProjet[[#This Row],[Point]] &amp; TabProjet[[#This Row],[IDSubProj]]</f>
        <v>4.43</v>
      </c>
      <c r="C99" s="99"/>
      <c r="D99" s="99">
        <f>IF(ISNUMBER($D98),IF(TabProjet[[#This Row],[Is Project]] &lt;&gt;"",$D98+1,$D98),1)</f>
        <v>4</v>
      </c>
      <c r="E99" s="99" t="str">
        <f>IF(TabProjet[[#This Row],[Is Project]] &lt;&gt; "","",".")</f>
        <v>.</v>
      </c>
      <c r="F99" s="99">
        <f>IFERROR(IF(TabProjet[[#This Row],[Is Project]]= "",$F98+1,""),1)</f>
        <v>43</v>
      </c>
      <c r="G99" s="68" t="s">
        <v>175</v>
      </c>
      <c r="H99" s="69" t="s">
        <v>539</v>
      </c>
      <c r="I99" s="70" t="s">
        <v>311</v>
      </c>
      <c r="J99" s="70" t="s">
        <v>23</v>
      </c>
      <c r="K99" s="71"/>
      <c r="L99" s="72">
        <v>44965</v>
      </c>
      <c r="M99" s="73">
        <v>0</v>
      </c>
      <c r="N9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99" s="17">
        <v>0</v>
      </c>
      <c r="P99" s="67">
        <f>TabProjet[[#This Row],[Début]]+(TabProjet[[#This Row],[Deadline]]-TabProjet[[#This Row],[Début]])*TabProjet[[#This Row],[Progression]]</f>
        <v>44965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</row>
    <row r="100" spans="2:72" x14ac:dyDescent="0.3">
      <c r="B100" s="3" t="str">
        <f>TabProjet[[#This Row],[IDProj]] &amp; TabProjet[[#This Row],[Point]] &amp; TabProjet[[#This Row],[IDSubProj]]</f>
        <v>4.44</v>
      </c>
      <c r="C100" s="99"/>
      <c r="D100" s="99">
        <f>IF(ISNUMBER($D99),IF(TabProjet[[#This Row],[Is Project]] &lt;&gt;"",$D99+1,$D99),1)</f>
        <v>4</v>
      </c>
      <c r="E100" s="99" t="str">
        <f>IF(TabProjet[[#This Row],[Is Project]] &lt;&gt; "","",".")</f>
        <v>.</v>
      </c>
      <c r="F100" s="99">
        <f>IFERROR(IF(TabProjet[[#This Row],[Is Project]]= "",$F99+1,""),1)</f>
        <v>44</v>
      </c>
      <c r="G100" s="68" t="s">
        <v>175</v>
      </c>
      <c r="H100" s="69" t="s">
        <v>539</v>
      </c>
      <c r="I100" s="70" t="s">
        <v>311</v>
      </c>
      <c r="J100" s="70" t="s">
        <v>15</v>
      </c>
      <c r="K100" s="71"/>
      <c r="L100" s="72">
        <v>44965</v>
      </c>
      <c r="M100" s="73">
        <v>0</v>
      </c>
      <c r="N10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0" s="17">
        <v>0</v>
      </c>
      <c r="P100" s="67">
        <f>TabProjet[[#This Row],[Début]]+(TabProjet[[#This Row],[Deadline]]-TabProjet[[#This Row],[Début]])*TabProjet[[#This Row],[Progression]]</f>
        <v>44965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</row>
    <row r="101" spans="2:72" x14ac:dyDescent="0.3">
      <c r="B101" s="3" t="str">
        <f>TabProjet[[#This Row],[IDProj]] &amp; TabProjet[[#This Row],[Point]] &amp; TabProjet[[#This Row],[IDSubProj]]</f>
        <v>4.45</v>
      </c>
      <c r="C101" s="99"/>
      <c r="D101" s="99">
        <f>IF(ISNUMBER($D100),IF(TabProjet[[#This Row],[Is Project]] &lt;&gt;"",$D100+1,$D100),1)</f>
        <v>4</v>
      </c>
      <c r="E101" s="99" t="str">
        <f>IF(TabProjet[[#This Row],[Is Project]] &lt;&gt; "","",".")</f>
        <v>.</v>
      </c>
      <c r="F101" s="99">
        <f>IFERROR(IF(TabProjet[[#This Row],[Is Project]]= "",$F100+1,""),1)</f>
        <v>45</v>
      </c>
      <c r="G101" s="68" t="s">
        <v>175</v>
      </c>
      <c r="H101" s="69" t="s">
        <v>539</v>
      </c>
      <c r="I101" s="70" t="s">
        <v>311</v>
      </c>
      <c r="J101" s="70" t="s">
        <v>134</v>
      </c>
      <c r="K101" s="71"/>
      <c r="L101" s="72">
        <v>44965</v>
      </c>
      <c r="M101" s="73">
        <v>0</v>
      </c>
      <c r="N10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1" s="17">
        <v>0</v>
      </c>
      <c r="P101" s="67">
        <f>TabProjet[[#This Row],[Début]]+(TabProjet[[#This Row],[Deadline]]-TabProjet[[#This Row],[Début]])*TabProjet[[#This Row],[Progression]]</f>
        <v>44965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</row>
    <row r="102" spans="2:72" x14ac:dyDescent="0.3">
      <c r="B102" s="3" t="str">
        <f>TabProjet[[#This Row],[IDProj]] &amp; TabProjet[[#This Row],[Point]] &amp; TabProjet[[#This Row],[IDSubProj]]</f>
        <v>4.46</v>
      </c>
      <c r="C102" s="99"/>
      <c r="D102" s="99">
        <f>IF(ISNUMBER($D101),IF(TabProjet[[#This Row],[Is Project]] &lt;&gt;"",$D101+1,$D101),1)</f>
        <v>4</v>
      </c>
      <c r="E102" s="99" t="str">
        <f>IF(TabProjet[[#This Row],[Is Project]] &lt;&gt; "","",".")</f>
        <v>.</v>
      </c>
      <c r="F102" s="99">
        <f>IFERROR(IF(TabProjet[[#This Row],[Is Project]]= "",$F101+1,""),1)</f>
        <v>46</v>
      </c>
      <c r="G102" s="68" t="s">
        <v>175</v>
      </c>
      <c r="H102" s="69" t="s">
        <v>539</v>
      </c>
      <c r="I102" s="70" t="s">
        <v>311</v>
      </c>
      <c r="J102" s="70" t="s">
        <v>20</v>
      </c>
      <c r="K102" s="71"/>
      <c r="L102" s="72">
        <v>44965</v>
      </c>
      <c r="M102" s="73">
        <v>0</v>
      </c>
      <c r="N10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2" s="17">
        <v>0</v>
      </c>
      <c r="P102" s="67">
        <f>TabProjet[[#This Row],[Début]]+(TabProjet[[#This Row],[Deadline]]-TabProjet[[#This Row],[Début]])*TabProjet[[#This Row],[Progression]]</f>
        <v>44965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</row>
    <row r="103" spans="2:72" x14ac:dyDescent="0.3">
      <c r="B103" s="3" t="str">
        <f>TabProjet[[#This Row],[IDProj]] &amp; TabProjet[[#This Row],[Point]] &amp; TabProjet[[#This Row],[IDSubProj]]</f>
        <v>4.47</v>
      </c>
      <c r="C103" s="99"/>
      <c r="D103" s="99">
        <f>IF(ISNUMBER($D102),IF(TabProjet[[#This Row],[Is Project]] &lt;&gt;"",$D102+1,$D102),1)</f>
        <v>4</v>
      </c>
      <c r="E103" s="99" t="str">
        <f>IF(TabProjet[[#This Row],[Is Project]] &lt;&gt; "","",".")</f>
        <v>.</v>
      </c>
      <c r="F103" s="99">
        <f>IFERROR(IF(TabProjet[[#This Row],[Is Project]]= "",$F102+1,""),1)</f>
        <v>47</v>
      </c>
      <c r="G103" s="68" t="s">
        <v>175</v>
      </c>
      <c r="H103" s="69" t="s">
        <v>539</v>
      </c>
      <c r="I103" s="70" t="s">
        <v>311</v>
      </c>
      <c r="J103" s="70" t="s">
        <v>18</v>
      </c>
      <c r="K103" s="71"/>
      <c r="L103" s="72">
        <v>44965</v>
      </c>
      <c r="M103" s="73">
        <v>0</v>
      </c>
      <c r="N10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3" s="17">
        <v>0</v>
      </c>
      <c r="P103" s="67">
        <f>TabProjet[[#This Row],[Début]]+(TabProjet[[#This Row],[Deadline]]-TabProjet[[#This Row],[Début]])*TabProjet[[#This Row],[Progression]]</f>
        <v>44965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</row>
    <row r="104" spans="2:72" x14ac:dyDescent="0.3">
      <c r="B104" s="3" t="str">
        <f>TabProjet[[#This Row],[IDProj]] &amp; TabProjet[[#This Row],[Point]] &amp; TabProjet[[#This Row],[IDSubProj]]</f>
        <v>4.48</v>
      </c>
      <c r="C104" s="99"/>
      <c r="D104" s="99">
        <f>IF(ISNUMBER($D103),IF(TabProjet[[#This Row],[Is Project]] &lt;&gt;"",$D103+1,$D103),1)</f>
        <v>4</v>
      </c>
      <c r="E104" s="99" t="str">
        <f>IF(TabProjet[[#This Row],[Is Project]] &lt;&gt; "","",".")</f>
        <v>.</v>
      </c>
      <c r="F104" s="99">
        <f>IFERROR(IF(TabProjet[[#This Row],[Is Project]]= "",$F103+1,""),1)</f>
        <v>48</v>
      </c>
      <c r="G104" s="68" t="s">
        <v>175</v>
      </c>
      <c r="H104" s="69" t="s">
        <v>539</v>
      </c>
      <c r="I104" s="70" t="s">
        <v>311</v>
      </c>
      <c r="J104" s="70" t="s">
        <v>142</v>
      </c>
      <c r="K104" s="71"/>
      <c r="L104" s="72">
        <v>44965</v>
      </c>
      <c r="M104" s="73">
        <v>0</v>
      </c>
      <c r="N10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4" s="17">
        <v>0</v>
      </c>
      <c r="P104" s="67">
        <f>TabProjet[[#This Row],[Début]]+(TabProjet[[#This Row],[Deadline]]-TabProjet[[#This Row],[Début]])*TabProjet[[#This Row],[Progression]]</f>
        <v>44965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</row>
    <row r="105" spans="2:72" x14ac:dyDescent="0.3">
      <c r="B105" s="3" t="str">
        <f>TabProjet[[#This Row],[IDProj]] &amp; TabProjet[[#This Row],[Point]] &amp; TabProjet[[#This Row],[IDSubProj]]</f>
        <v>4.49</v>
      </c>
      <c r="C105" s="99"/>
      <c r="D105" s="99">
        <f>IF(ISNUMBER($D104),IF(TabProjet[[#This Row],[Is Project]] &lt;&gt;"",$D104+1,$D104),1)</f>
        <v>4</v>
      </c>
      <c r="E105" s="99" t="str">
        <f>IF(TabProjet[[#This Row],[Is Project]] &lt;&gt; "","",".")</f>
        <v>.</v>
      </c>
      <c r="F105" s="99">
        <f>IFERROR(IF(TabProjet[[#This Row],[Is Project]]= "",$F104+1,""),1)</f>
        <v>49</v>
      </c>
      <c r="G105" s="68" t="s">
        <v>175</v>
      </c>
      <c r="H105" s="69" t="s">
        <v>539</v>
      </c>
      <c r="I105" s="70" t="s">
        <v>311</v>
      </c>
      <c r="J105" s="70" t="s">
        <v>19</v>
      </c>
      <c r="K105" s="71"/>
      <c r="L105" s="72">
        <v>44965</v>
      </c>
      <c r="M105" s="73">
        <v>0</v>
      </c>
      <c r="N10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5" s="17">
        <v>0</v>
      </c>
      <c r="P105" s="67">
        <f>TabProjet[[#This Row],[Début]]+(TabProjet[[#This Row],[Deadline]]-TabProjet[[#This Row],[Début]])*TabProjet[[#This Row],[Progression]]</f>
        <v>44965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</row>
    <row r="106" spans="2:72" x14ac:dyDescent="0.3">
      <c r="B106" s="3" t="str">
        <f>TabProjet[[#This Row],[IDProj]] &amp; TabProjet[[#This Row],[Point]] &amp; TabProjet[[#This Row],[IDSubProj]]</f>
        <v>4.50</v>
      </c>
      <c r="C106" s="99"/>
      <c r="D106" s="99">
        <f>IF(ISNUMBER($D105),IF(TabProjet[[#This Row],[Is Project]] &lt;&gt;"",$D105+1,$D105),1)</f>
        <v>4</v>
      </c>
      <c r="E106" s="99" t="str">
        <f>IF(TabProjet[[#This Row],[Is Project]] &lt;&gt; "","",".")</f>
        <v>.</v>
      </c>
      <c r="F106" s="99">
        <f>IFERROR(IF(TabProjet[[#This Row],[Is Project]]= "",$F105+1,""),1)</f>
        <v>50</v>
      </c>
      <c r="G106" s="68" t="s">
        <v>175</v>
      </c>
      <c r="H106" s="69" t="s">
        <v>539</v>
      </c>
      <c r="I106" s="70" t="s">
        <v>311</v>
      </c>
      <c r="J106" s="70" t="s">
        <v>17</v>
      </c>
      <c r="K106" s="71"/>
      <c r="L106" s="72">
        <v>44965</v>
      </c>
      <c r="M106" s="73">
        <v>0</v>
      </c>
      <c r="N10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6" s="17">
        <v>0</v>
      </c>
      <c r="P106" s="67">
        <f>TabProjet[[#This Row],[Début]]+(TabProjet[[#This Row],[Deadline]]-TabProjet[[#This Row],[Début]])*TabProjet[[#This Row],[Progression]]</f>
        <v>44965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</row>
    <row r="107" spans="2:72" x14ac:dyDescent="0.3">
      <c r="B107" s="3" t="str">
        <f>TabProjet[[#This Row],[IDProj]] &amp; TabProjet[[#This Row],[Point]] &amp; TabProjet[[#This Row],[IDSubProj]]</f>
        <v>4.51</v>
      </c>
      <c r="C107" s="99"/>
      <c r="D107" s="99">
        <f>IF(ISNUMBER($D106),IF(TabProjet[[#This Row],[Is Project]] &lt;&gt;"",$D106+1,$D106),1)</f>
        <v>4</v>
      </c>
      <c r="E107" s="99" t="str">
        <f>IF(TabProjet[[#This Row],[Is Project]] &lt;&gt; "","",".")</f>
        <v>.</v>
      </c>
      <c r="F107" s="99">
        <f>IFERROR(IF(TabProjet[[#This Row],[Is Project]]= "",$F106+1,""),1)</f>
        <v>51</v>
      </c>
      <c r="G107" s="68" t="s">
        <v>175</v>
      </c>
      <c r="H107" s="69" t="s">
        <v>539</v>
      </c>
      <c r="I107" s="70" t="s">
        <v>311</v>
      </c>
      <c r="J107" s="70" t="s">
        <v>115</v>
      </c>
      <c r="K107" s="71"/>
      <c r="L107" s="72">
        <v>44965</v>
      </c>
      <c r="M107" s="73">
        <v>0</v>
      </c>
      <c r="N10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7" s="17">
        <v>0</v>
      </c>
      <c r="P107" s="67">
        <f>TabProjet[[#This Row],[Début]]+(TabProjet[[#This Row],[Deadline]]-TabProjet[[#This Row],[Début]])*TabProjet[[#This Row],[Progression]]</f>
        <v>44965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</row>
    <row r="108" spans="2:72" x14ac:dyDescent="0.3">
      <c r="B108" s="3" t="str">
        <f>TabProjet[[#This Row],[IDProj]] &amp; TabProjet[[#This Row],[Point]] &amp; TabProjet[[#This Row],[IDSubProj]]</f>
        <v>4.52</v>
      </c>
      <c r="C108" s="99"/>
      <c r="D108" s="99">
        <f>IF(ISNUMBER($D107),IF(TabProjet[[#This Row],[Is Project]] &lt;&gt;"",$D107+1,$D107),1)</f>
        <v>4</v>
      </c>
      <c r="E108" s="99" t="str">
        <f>IF(TabProjet[[#This Row],[Is Project]] &lt;&gt; "","",".")</f>
        <v>.</v>
      </c>
      <c r="F108" s="99">
        <f>IFERROR(IF(TabProjet[[#This Row],[Is Project]]= "",$F107+1,""),1)</f>
        <v>52</v>
      </c>
      <c r="G108" s="68" t="s">
        <v>175</v>
      </c>
      <c r="H108" s="69" t="s">
        <v>539</v>
      </c>
      <c r="I108" s="70" t="s">
        <v>311</v>
      </c>
      <c r="J108" s="70" t="s">
        <v>14</v>
      </c>
      <c r="K108" s="71"/>
      <c r="L108" s="72">
        <v>44965</v>
      </c>
      <c r="M108" s="73">
        <v>0</v>
      </c>
      <c r="N10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8" s="17">
        <v>0</v>
      </c>
      <c r="P108" s="67">
        <f>TabProjet[[#This Row],[Début]]+(TabProjet[[#This Row],[Deadline]]-TabProjet[[#This Row],[Début]])*TabProjet[[#This Row],[Progression]]</f>
        <v>44965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</row>
    <row r="109" spans="2:72" x14ac:dyDescent="0.3">
      <c r="B109" s="3" t="str">
        <f>TabProjet[[#This Row],[IDProj]] &amp; TabProjet[[#This Row],[Point]] &amp; TabProjet[[#This Row],[IDSubProj]]</f>
        <v>4.53</v>
      </c>
      <c r="C109" s="99"/>
      <c r="D109" s="99">
        <f>IF(ISNUMBER($D108),IF(TabProjet[[#This Row],[Is Project]] &lt;&gt;"",$D108+1,$D108),1)</f>
        <v>4</v>
      </c>
      <c r="E109" s="99" t="str">
        <f>IF(TabProjet[[#This Row],[Is Project]] &lt;&gt; "","",".")</f>
        <v>.</v>
      </c>
      <c r="F109" s="99">
        <f>IFERROR(IF(TabProjet[[#This Row],[Is Project]]= "",$F108+1,""),1)</f>
        <v>53</v>
      </c>
      <c r="G109" s="68" t="s">
        <v>175</v>
      </c>
      <c r="H109" s="69" t="s">
        <v>539</v>
      </c>
      <c r="I109" s="70" t="s">
        <v>311</v>
      </c>
      <c r="J109" s="70" t="s">
        <v>25</v>
      </c>
      <c r="K109" s="71"/>
      <c r="L109" s="72">
        <v>44965</v>
      </c>
      <c r="M109" s="73">
        <v>0</v>
      </c>
      <c r="N10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09" s="17">
        <v>0</v>
      </c>
      <c r="P109" s="67">
        <f>TabProjet[[#This Row],[Début]]+(TabProjet[[#This Row],[Deadline]]-TabProjet[[#This Row],[Début]])*TabProjet[[#This Row],[Progression]]</f>
        <v>44965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</row>
    <row r="110" spans="2:72" x14ac:dyDescent="0.3">
      <c r="B110" s="3" t="str">
        <f>TabProjet[[#This Row],[IDProj]] &amp; TabProjet[[#This Row],[Point]] &amp; TabProjet[[#This Row],[IDSubProj]]</f>
        <v>4.54</v>
      </c>
      <c r="C110" s="99"/>
      <c r="D110" s="99">
        <f>IF(ISNUMBER($D109),IF(TabProjet[[#This Row],[Is Project]] &lt;&gt;"",$D109+1,$D109),1)</f>
        <v>4</v>
      </c>
      <c r="E110" s="99" t="str">
        <f>IF(TabProjet[[#This Row],[Is Project]] &lt;&gt; "","",".")</f>
        <v>.</v>
      </c>
      <c r="F110" s="99">
        <f>IFERROR(IF(TabProjet[[#This Row],[Is Project]]= "",$F109+1,""),1)</f>
        <v>54</v>
      </c>
      <c r="G110" s="68" t="s">
        <v>175</v>
      </c>
      <c r="H110" s="69" t="s">
        <v>539</v>
      </c>
      <c r="I110" s="70" t="s">
        <v>311</v>
      </c>
      <c r="J110" s="70" t="s">
        <v>13</v>
      </c>
      <c r="K110" s="71"/>
      <c r="L110" s="72">
        <v>44965</v>
      </c>
      <c r="M110" s="73">
        <v>0</v>
      </c>
      <c r="N11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10" s="17">
        <v>0</v>
      </c>
      <c r="P110" s="67">
        <f>TabProjet[[#This Row],[Début]]+(TabProjet[[#This Row],[Deadline]]-TabProjet[[#This Row],[Début]])*TabProjet[[#This Row],[Progression]]</f>
        <v>44965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</row>
    <row r="111" spans="2:72" x14ac:dyDescent="0.3">
      <c r="B111" s="3" t="str">
        <f>TabProjet[[#This Row],[IDProj]] &amp; TabProjet[[#This Row],[Point]] &amp; TabProjet[[#This Row],[IDSubProj]]</f>
        <v>4.55</v>
      </c>
      <c r="C111" s="99"/>
      <c r="D111" s="99">
        <f>IF(ISNUMBER($D110),IF(TabProjet[[#This Row],[Is Project]] &lt;&gt;"",$D110+1,$D110),1)</f>
        <v>4</v>
      </c>
      <c r="E111" s="99" t="str">
        <f>IF(TabProjet[[#This Row],[Is Project]] &lt;&gt; "","",".")</f>
        <v>.</v>
      </c>
      <c r="F111" s="99">
        <f>IFERROR(IF(TabProjet[[#This Row],[Is Project]]= "",$F110+1,""),1)</f>
        <v>55</v>
      </c>
      <c r="G111" s="68" t="s">
        <v>175</v>
      </c>
      <c r="H111" s="69" t="s">
        <v>539</v>
      </c>
      <c r="I111" s="70" t="s">
        <v>311</v>
      </c>
      <c r="J111" s="70" t="s">
        <v>24</v>
      </c>
      <c r="K111" s="71"/>
      <c r="L111" s="72">
        <v>44965</v>
      </c>
      <c r="M111" s="73">
        <v>0</v>
      </c>
      <c r="N11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11" s="17">
        <v>0</v>
      </c>
      <c r="P111" s="67">
        <f>TabProjet[[#This Row],[Début]]+(TabProjet[[#This Row],[Deadline]]-TabProjet[[#This Row],[Début]])*TabProjet[[#This Row],[Progression]]</f>
        <v>44965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</row>
    <row r="112" spans="2:72" x14ac:dyDescent="0.3">
      <c r="B112" s="3" t="str">
        <f>TabProjet[[#This Row],[IDProj]] &amp; TabProjet[[#This Row],[Point]] &amp; TabProjet[[#This Row],[IDSubProj]]</f>
        <v>4.56</v>
      </c>
      <c r="C112" s="99"/>
      <c r="D112" s="99">
        <f>IF(ISNUMBER($D111),IF(TabProjet[[#This Row],[Is Project]] &lt;&gt;"",$D111+1,$D111),1)</f>
        <v>4</v>
      </c>
      <c r="E112" s="99" t="str">
        <f>IF(TabProjet[[#This Row],[Is Project]] &lt;&gt; "","",".")</f>
        <v>.</v>
      </c>
      <c r="F112" s="99">
        <f>IFERROR(IF(TabProjet[[#This Row],[Is Project]]= "",$F111+1,""),1)</f>
        <v>56</v>
      </c>
      <c r="G112" s="68" t="s">
        <v>176</v>
      </c>
      <c r="H112" s="69" t="s">
        <v>539</v>
      </c>
      <c r="I112" s="70" t="s">
        <v>311</v>
      </c>
      <c r="J112" s="70" t="s">
        <v>142</v>
      </c>
      <c r="K112" s="71"/>
      <c r="L112" s="72">
        <v>44965</v>
      </c>
      <c r="M112" s="73">
        <v>0</v>
      </c>
      <c r="N11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12" s="17">
        <v>0</v>
      </c>
      <c r="P112" s="67">
        <f>TabProjet[[#This Row],[Début]]+(TabProjet[[#This Row],[Deadline]]-TabProjet[[#This Row],[Début]])*TabProjet[[#This Row],[Progression]]</f>
        <v>44965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</row>
    <row r="113" spans="2:72" x14ac:dyDescent="0.3">
      <c r="B113" s="3" t="str">
        <f>TabProjet[[#This Row],[IDProj]] &amp; TabProjet[[#This Row],[Point]] &amp; TabProjet[[#This Row],[IDSubProj]]</f>
        <v>4.57</v>
      </c>
      <c r="C113" s="99"/>
      <c r="D113" s="99">
        <f>IF(ISNUMBER($D112),IF(TabProjet[[#This Row],[Is Project]] &lt;&gt;"",$D112+1,$D112),1)</f>
        <v>4</v>
      </c>
      <c r="E113" s="99" t="str">
        <f>IF(TabProjet[[#This Row],[Is Project]] &lt;&gt; "","",".")</f>
        <v>.</v>
      </c>
      <c r="F113" s="99">
        <f>IFERROR(IF(TabProjet[[#This Row],[Is Project]]= "",$F112+1,""),1)</f>
        <v>57</v>
      </c>
      <c r="G113" s="68" t="s">
        <v>176</v>
      </c>
      <c r="H113" s="69" t="s">
        <v>539</v>
      </c>
      <c r="I113" s="70" t="s">
        <v>311</v>
      </c>
      <c r="J113" s="70" t="s">
        <v>19</v>
      </c>
      <c r="K113" s="71"/>
      <c r="L113" s="72">
        <v>44965</v>
      </c>
      <c r="M113" s="73">
        <v>0</v>
      </c>
      <c r="N11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44965</v>
      </c>
      <c r="O113" s="17">
        <v>0</v>
      </c>
      <c r="P113" s="67">
        <f>TabProjet[[#This Row],[Début]]+(TabProjet[[#This Row],[Deadline]]-TabProjet[[#This Row],[Début]])*TabProjet[[#This Row],[Progression]]</f>
        <v>44965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</row>
    <row r="114" spans="2:72" x14ac:dyDescent="0.3">
      <c r="B114" s="3" t="str">
        <f>TabProjet[[#This Row],[IDProj]] &amp; TabProjet[[#This Row],[Point]] &amp; TabProjet[[#This Row],[IDSubProj]]</f>
        <v>4.58</v>
      </c>
      <c r="C114" s="99"/>
      <c r="D114" s="99">
        <f>IF(ISNUMBER($D113),IF(TabProjet[[#This Row],[Is Project]] &lt;&gt;"",$D113+1,$D113),1)</f>
        <v>4</v>
      </c>
      <c r="E114" s="99" t="str">
        <f>IF(TabProjet[[#This Row],[Is Project]] &lt;&gt; "","",".")</f>
        <v>.</v>
      </c>
      <c r="F114" s="99">
        <f>IFERROR(IF(TabProjet[[#This Row],[Is Project]]= "",$F113+1,""),1)</f>
        <v>58</v>
      </c>
      <c r="G114" s="68" t="s">
        <v>177</v>
      </c>
      <c r="H114" s="69" t="s">
        <v>539</v>
      </c>
      <c r="I114" s="70" t="s">
        <v>313</v>
      </c>
      <c r="J114" s="70" t="s">
        <v>149</v>
      </c>
      <c r="K114" s="71"/>
      <c r="L114" s="72">
        <v>44964</v>
      </c>
      <c r="M114" s="73">
        <v>0</v>
      </c>
      <c r="N11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44964</v>
      </c>
      <c r="O114" s="17">
        <v>0</v>
      </c>
      <c r="P114" s="67">
        <f>TabProjet[[#This Row],[Début]]+(TabProjet[[#This Row],[Deadline]]-TabProjet[[#This Row],[Début]])*TabProjet[[#This Row],[Progression]]</f>
        <v>44964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</row>
    <row r="115" spans="2:72" x14ac:dyDescent="0.3">
      <c r="B115" s="3" t="str">
        <f>TabProjet[[#This Row],[IDProj]] &amp; TabProjet[[#This Row],[Point]] &amp; TabProjet[[#This Row],[IDSubProj]]</f>
        <v>4.59</v>
      </c>
      <c r="C115" s="99"/>
      <c r="D115" s="99">
        <f>IF(ISNUMBER($D114),IF(TabProjet[[#This Row],[Is Project]] &lt;&gt;"",$D114+1,$D114),1)</f>
        <v>4</v>
      </c>
      <c r="E115" s="99" t="str">
        <f>IF(TabProjet[[#This Row],[Is Project]] &lt;&gt; "","",".")</f>
        <v>.</v>
      </c>
      <c r="F115" s="99">
        <f>IFERROR(IF(TabProjet[[#This Row],[Is Project]]= "",$F114+1,""),1)</f>
        <v>59</v>
      </c>
      <c r="G115" s="68" t="s">
        <v>178</v>
      </c>
      <c r="H115" s="69" t="s">
        <v>539</v>
      </c>
      <c r="I115" s="70" t="s">
        <v>312</v>
      </c>
      <c r="J115" s="70" t="s">
        <v>315</v>
      </c>
      <c r="K115" s="71" t="s">
        <v>316</v>
      </c>
      <c r="L115" s="72">
        <v>44961</v>
      </c>
      <c r="M115" s="73">
        <v>0</v>
      </c>
      <c r="N11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O115" s="17">
        <v>0</v>
      </c>
      <c r="P115" s="67">
        <f>TabProjet[[#This Row],[Début]]+(TabProjet[[#This Row],[Deadline]]-TabProjet[[#This Row],[Début]])*TabProjet[[#This Row],[Progression]]</f>
        <v>44961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</row>
    <row r="116" spans="2:72" x14ac:dyDescent="0.3">
      <c r="B116" s="3" t="str">
        <f>TabProjet[[#This Row],[IDProj]] &amp; TabProjet[[#This Row],[Point]] &amp; TabProjet[[#This Row],[IDSubProj]]</f>
        <v>4.60</v>
      </c>
      <c r="C116" s="99"/>
      <c r="D116" s="99">
        <f>IF(ISNUMBER($D115),IF(TabProjet[[#This Row],[Is Project]] &lt;&gt;"",$D115+1,$D115),1)</f>
        <v>4</v>
      </c>
      <c r="E116" s="99" t="str">
        <f>IF(TabProjet[[#This Row],[Is Project]] &lt;&gt; "","",".")</f>
        <v>.</v>
      </c>
      <c r="F116" s="99">
        <f>IFERROR(IF(TabProjet[[#This Row],[Is Project]]= "",$F115+1,""),1)</f>
        <v>60</v>
      </c>
      <c r="G116" s="68" t="s">
        <v>179</v>
      </c>
      <c r="H116" s="69" t="s">
        <v>539</v>
      </c>
      <c r="I116" s="70" t="s">
        <v>314</v>
      </c>
      <c r="J116" s="70" t="s">
        <v>318</v>
      </c>
      <c r="K116" s="71"/>
      <c r="L116" s="72">
        <v>44960</v>
      </c>
      <c r="M116" s="73">
        <v>0</v>
      </c>
      <c r="N11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44960</v>
      </c>
      <c r="O116" s="17">
        <v>0</v>
      </c>
      <c r="P116" s="67">
        <f>TabProjet[[#This Row],[Début]]+(TabProjet[[#This Row],[Deadline]]-TabProjet[[#This Row],[Début]])*TabProjet[[#This Row],[Progression]]</f>
        <v>44960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</row>
    <row r="117" spans="2:72" ht="28.8" x14ac:dyDescent="0.3">
      <c r="B117" s="3" t="str">
        <f>TabProjet[[#This Row],[IDProj]] &amp; TabProjet[[#This Row],[Point]] &amp; TabProjet[[#This Row],[IDSubProj]]</f>
        <v>4.61</v>
      </c>
      <c r="C117" s="99"/>
      <c r="D117" s="99">
        <f>IF(ISNUMBER($D116),IF(TabProjet[[#This Row],[Is Project]] &lt;&gt;"",$D116+1,$D116),1)</f>
        <v>4</v>
      </c>
      <c r="E117" s="99" t="str">
        <f>IF(TabProjet[[#This Row],[Is Project]] &lt;&gt; "","",".")</f>
        <v>.</v>
      </c>
      <c r="F117" s="99">
        <f>IFERROR(IF(TabProjet[[#This Row],[Is Project]]= "",$F116+1,""),1)</f>
        <v>61</v>
      </c>
      <c r="G117" s="68" t="s">
        <v>180</v>
      </c>
      <c r="H117" s="69" t="s">
        <v>539</v>
      </c>
      <c r="I117" s="70" t="s">
        <v>317</v>
      </c>
      <c r="J117" s="70" t="s">
        <v>26</v>
      </c>
      <c r="K117" s="71"/>
      <c r="L117" s="72">
        <v>44959</v>
      </c>
      <c r="M117" s="73">
        <v>38</v>
      </c>
      <c r="N11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17" s="17">
        <v>0</v>
      </c>
      <c r="P117" s="67">
        <f>TabProjet[[#This Row],[Début]]+(TabProjet[[#This Row],[Deadline]]-TabProjet[[#This Row],[Début]])*TabProjet[[#This Row],[Progression]]</f>
        <v>44959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</row>
    <row r="118" spans="2:72" ht="28.8" x14ac:dyDescent="0.3">
      <c r="B118" s="3" t="str">
        <f>TabProjet[[#This Row],[IDProj]] &amp; TabProjet[[#This Row],[Point]] &amp; TabProjet[[#This Row],[IDSubProj]]</f>
        <v>4.62</v>
      </c>
      <c r="C118" s="99"/>
      <c r="D118" s="99">
        <f>IF(ISNUMBER($D117),IF(TabProjet[[#This Row],[Is Project]] &lt;&gt;"",$D117+1,$D117),1)</f>
        <v>4</v>
      </c>
      <c r="E118" s="99" t="str">
        <f>IF(TabProjet[[#This Row],[Is Project]] &lt;&gt; "","",".")</f>
        <v>.</v>
      </c>
      <c r="F118" s="99">
        <f>IFERROR(IF(TabProjet[[#This Row],[Is Project]]= "",$F117+1,""),1)</f>
        <v>62</v>
      </c>
      <c r="G118" s="68" t="s">
        <v>180</v>
      </c>
      <c r="H118" s="69" t="s">
        <v>539</v>
      </c>
      <c r="I118" s="70" t="s">
        <v>317</v>
      </c>
      <c r="J118" s="70" t="s">
        <v>22</v>
      </c>
      <c r="K118" s="71"/>
      <c r="L118" s="72">
        <v>44959</v>
      </c>
      <c r="M118" s="73">
        <v>38</v>
      </c>
      <c r="N11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18" s="17">
        <v>0</v>
      </c>
      <c r="P118" s="67">
        <f>TabProjet[[#This Row],[Début]]+(TabProjet[[#This Row],[Deadline]]-TabProjet[[#This Row],[Début]])*TabProjet[[#This Row],[Progression]]</f>
        <v>44959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</row>
    <row r="119" spans="2:72" ht="28.8" x14ac:dyDescent="0.3">
      <c r="B119" s="3" t="str">
        <f>TabProjet[[#This Row],[IDProj]] &amp; TabProjet[[#This Row],[Point]] &amp; TabProjet[[#This Row],[IDSubProj]]</f>
        <v>4.63</v>
      </c>
      <c r="C119" s="99"/>
      <c r="D119" s="99">
        <f>IF(ISNUMBER($D118),IF(TabProjet[[#This Row],[Is Project]] &lt;&gt;"",$D118+1,$D118),1)</f>
        <v>4</v>
      </c>
      <c r="E119" s="99" t="str">
        <f>IF(TabProjet[[#This Row],[Is Project]] &lt;&gt; "","",".")</f>
        <v>.</v>
      </c>
      <c r="F119" s="99">
        <f>IFERROR(IF(TabProjet[[#This Row],[Is Project]]= "",$F118+1,""),1)</f>
        <v>63</v>
      </c>
      <c r="G119" s="68" t="s">
        <v>180</v>
      </c>
      <c r="H119" s="69" t="s">
        <v>539</v>
      </c>
      <c r="I119" s="70" t="s">
        <v>317</v>
      </c>
      <c r="J119" s="70" t="s">
        <v>21</v>
      </c>
      <c r="K119" s="71"/>
      <c r="L119" s="72">
        <v>44959</v>
      </c>
      <c r="M119" s="73">
        <v>38</v>
      </c>
      <c r="N11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19" s="17">
        <v>0</v>
      </c>
      <c r="P119" s="67">
        <f>TabProjet[[#This Row],[Début]]+(TabProjet[[#This Row],[Deadline]]-TabProjet[[#This Row],[Début]])*TabProjet[[#This Row],[Progression]]</f>
        <v>44959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</row>
    <row r="120" spans="2:72" ht="28.8" x14ac:dyDescent="0.3">
      <c r="B120" s="3" t="str">
        <f>TabProjet[[#This Row],[IDProj]] &amp; TabProjet[[#This Row],[Point]] &amp; TabProjet[[#This Row],[IDSubProj]]</f>
        <v>4.64</v>
      </c>
      <c r="C120" s="99"/>
      <c r="D120" s="99">
        <f>IF(ISNUMBER($D119),IF(TabProjet[[#This Row],[Is Project]] &lt;&gt;"",$D119+1,$D119),1)</f>
        <v>4</v>
      </c>
      <c r="E120" s="99" t="str">
        <f>IF(TabProjet[[#This Row],[Is Project]] &lt;&gt; "","",".")</f>
        <v>.</v>
      </c>
      <c r="F120" s="99">
        <f>IFERROR(IF(TabProjet[[#This Row],[Is Project]]= "",$F119+1,""),1)</f>
        <v>64</v>
      </c>
      <c r="G120" s="68" t="s">
        <v>180</v>
      </c>
      <c r="H120" s="69" t="s">
        <v>539</v>
      </c>
      <c r="I120" s="70" t="s">
        <v>317</v>
      </c>
      <c r="J120" s="70" t="s">
        <v>23</v>
      </c>
      <c r="K120" s="71"/>
      <c r="L120" s="72">
        <v>44959</v>
      </c>
      <c r="M120" s="73">
        <v>38</v>
      </c>
      <c r="N12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0" s="17">
        <v>0</v>
      </c>
      <c r="P120" s="67">
        <f>TabProjet[[#This Row],[Début]]+(TabProjet[[#This Row],[Deadline]]-TabProjet[[#This Row],[Début]])*TabProjet[[#This Row],[Progression]]</f>
        <v>44959</v>
      </c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</row>
    <row r="121" spans="2:72" ht="28.8" x14ac:dyDescent="0.3">
      <c r="B121" s="3" t="str">
        <f>TabProjet[[#This Row],[IDProj]] &amp; TabProjet[[#This Row],[Point]] &amp; TabProjet[[#This Row],[IDSubProj]]</f>
        <v>4.65</v>
      </c>
      <c r="C121" s="99"/>
      <c r="D121" s="99">
        <f>IF(ISNUMBER($D120),IF(TabProjet[[#This Row],[Is Project]] &lt;&gt;"",$D120+1,$D120),1)</f>
        <v>4</v>
      </c>
      <c r="E121" s="99" t="str">
        <f>IF(TabProjet[[#This Row],[Is Project]] &lt;&gt; "","",".")</f>
        <v>.</v>
      </c>
      <c r="F121" s="99">
        <f>IFERROR(IF(TabProjet[[#This Row],[Is Project]]= "",$F120+1,""),1)</f>
        <v>65</v>
      </c>
      <c r="G121" s="68" t="s">
        <v>180</v>
      </c>
      <c r="H121" s="69" t="s">
        <v>539</v>
      </c>
      <c r="I121" s="70" t="s">
        <v>317</v>
      </c>
      <c r="J121" s="70" t="s">
        <v>15</v>
      </c>
      <c r="K121" s="71"/>
      <c r="L121" s="72">
        <v>44959</v>
      </c>
      <c r="M121" s="73">
        <v>38</v>
      </c>
      <c r="N12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1" s="17">
        <v>0</v>
      </c>
      <c r="P121" s="67">
        <f>TabProjet[[#This Row],[Début]]+(TabProjet[[#This Row],[Deadline]]-TabProjet[[#This Row],[Début]])*TabProjet[[#This Row],[Progression]]</f>
        <v>44959</v>
      </c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</row>
    <row r="122" spans="2:72" ht="28.8" x14ac:dyDescent="0.3">
      <c r="B122" s="3" t="str">
        <f>TabProjet[[#This Row],[IDProj]] &amp; TabProjet[[#This Row],[Point]] &amp; TabProjet[[#This Row],[IDSubProj]]</f>
        <v>4.66</v>
      </c>
      <c r="C122" s="99"/>
      <c r="D122" s="99">
        <f>IF(ISNUMBER($D121),IF(TabProjet[[#This Row],[Is Project]] &lt;&gt;"",$D121+1,$D121),1)</f>
        <v>4</v>
      </c>
      <c r="E122" s="99" t="str">
        <f>IF(TabProjet[[#This Row],[Is Project]] &lt;&gt; "","",".")</f>
        <v>.</v>
      </c>
      <c r="F122" s="99">
        <f>IFERROR(IF(TabProjet[[#This Row],[Is Project]]= "",$F121+1,""),1)</f>
        <v>66</v>
      </c>
      <c r="G122" s="68" t="s">
        <v>180</v>
      </c>
      <c r="H122" s="69" t="s">
        <v>539</v>
      </c>
      <c r="I122" s="70" t="s">
        <v>317</v>
      </c>
      <c r="J122" s="70" t="s">
        <v>134</v>
      </c>
      <c r="K122" s="71"/>
      <c r="L122" s="72">
        <v>44959</v>
      </c>
      <c r="M122" s="73">
        <v>38</v>
      </c>
      <c r="N12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2" s="17">
        <v>0</v>
      </c>
      <c r="P122" s="67">
        <f>TabProjet[[#This Row],[Début]]+(TabProjet[[#This Row],[Deadline]]-TabProjet[[#This Row],[Début]])*TabProjet[[#This Row],[Progression]]</f>
        <v>44959</v>
      </c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</row>
    <row r="123" spans="2:72" ht="28.8" x14ac:dyDescent="0.3">
      <c r="B123" s="3" t="str">
        <f>TabProjet[[#This Row],[IDProj]] &amp; TabProjet[[#This Row],[Point]] &amp; TabProjet[[#This Row],[IDSubProj]]</f>
        <v>4.67</v>
      </c>
      <c r="C123" s="99"/>
      <c r="D123" s="99">
        <f>IF(ISNUMBER($D122),IF(TabProjet[[#This Row],[Is Project]] &lt;&gt;"",$D122+1,$D122),1)</f>
        <v>4</v>
      </c>
      <c r="E123" s="99" t="str">
        <f>IF(TabProjet[[#This Row],[Is Project]] &lt;&gt; "","",".")</f>
        <v>.</v>
      </c>
      <c r="F123" s="99">
        <f>IFERROR(IF(TabProjet[[#This Row],[Is Project]]= "",$F122+1,""),1)</f>
        <v>67</v>
      </c>
      <c r="G123" s="68" t="s">
        <v>180</v>
      </c>
      <c r="H123" s="69" t="s">
        <v>539</v>
      </c>
      <c r="I123" s="70" t="s">
        <v>317</v>
      </c>
      <c r="J123" s="70" t="s">
        <v>20</v>
      </c>
      <c r="K123" s="71"/>
      <c r="L123" s="72">
        <v>44959</v>
      </c>
      <c r="M123" s="73">
        <v>38</v>
      </c>
      <c r="N12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3" s="17">
        <v>0</v>
      </c>
      <c r="P123" s="67">
        <f>TabProjet[[#This Row],[Début]]+(TabProjet[[#This Row],[Deadline]]-TabProjet[[#This Row],[Début]])*TabProjet[[#This Row],[Progression]]</f>
        <v>44959</v>
      </c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</row>
    <row r="124" spans="2:72" ht="28.8" x14ac:dyDescent="0.3">
      <c r="B124" s="3" t="str">
        <f>TabProjet[[#This Row],[IDProj]] &amp; TabProjet[[#This Row],[Point]] &amp; TabProjet[[#This Row],[IDSubProj]]</f>
        <v>4.68</v>
      </c>
      <c r="C124" s="99"/>
      <c r="D124" s="99">
        <f>IF(ISNUMBER($D123),IF(TabProjet[[#This Row],[Is Project]] &lt;&gt;"",$D123+1,$D123),1)</f>
        <v>4</v>
      </c>
      <c r="E124" s="99" t="str">
        <f>IF(TabProjet[[#This Row],[Is Project]] &lt;&gt; "","",".")</f>
        <v>.</v>
      </c>
      <c r="F124" s="99">
        <f>IFERROR(IF(TabProjet[[#This Row],[Is Project]]= "",$F123+1,""),1)</f>
        <v>68</v>
      </c>
      <c r="G124" s="68" t="s">
        <v>180</v>
      </c>
      <c r="H124" s="69" t="s">
        <v>539</v>
      </c>
      <c r="I124" s="70" t="s">
        <v>317</v>
      </c>
      <c r="J124" s="70" t="s">
        <v>18</v>
      </c>
      <c r="K124" s="71"/>
      <c r="L124" s="72">
        <v>44959</v>
      </c>
      <c r="M124" s="73">
        <v>38</v>
      </c>
      <c r="N12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4" s="17">
        <v>0</v>
      </c>
      <c r="P124" s="67">
        <f>TabProjet[[#This Row],[Début]]+(TabProjet[[#This Row],[Deadline]]-TabProjet[[#This Row],[Début]])*TabProjet[[#This Row],[Progression]]</f>
        <v>44959</v>
      </c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</row>
    <row r="125" spans="2:72" ht="28.8" x14ac:dyDescent="0.3">
      <c r="B125" s="3" t="str">
        <f>TabProjet[[#This Row],[IDProj]] &amp; TabProjet[[#This Row],[Point]] &amp; TabProjet[[#This Row],[IDSubProj]]</f>
        <v>4.69</v>
      </c>
      <c r="C125" s="99"/>
      <c r="D125" s="99">
        <f>IF(ISNUMBER($D124),IF(TabProjet[[#This Row],[Is Project]] &lt;&gt;"",$D124+1,$D124),1)</f>
        <v>4</v>
      </c>
      <c r="E125" s="99" t="str">
        <f>IF(TabProjet[[#This Row],[Is Project]] &lt;&gt; "","",".")</f>
        <v>.</v>
      </c>
      <c r="F125" s="99">
        <f>IFERROR(IF(TabProjet[[#This Row],[Is Project]]= "",$F124+1,""),1)</f>
        <v>69</v>
      </c>
      <c r="G125" s="68" t="s">
        <v>180</v>
      </c>
      <c r="H125" s="69" t="s">
        <v>539</v>
      </c>
      <c r="I125" s="70" t="s">
        <v>317</v>
      </c>
      <c r="J125" s="70" t="s">
        <v>142</v>
      </c>
      <c r="K125" s="71"/>
      <c r="L125" s="72">
        <v>44959</v>
      </c>
      <c r="M125" s="73">
        <v>38</v>
      </c>
      <c r="N12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5" s="17">
        <v>0</v>
      </c>
      <c r="P125" s="67">
        <f>TabProjet[[#This Row],[Début]]+(TabProjet[[#This Row],[Deadline]]-TabProjet[[#This Row],[Début]])*TabProjet[[#This Row],[Progression]]</f>
        <v>44959</v>
      </c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</row>
    <row r="126" spans="2:72" ht="28.8" x14ac:dyDescent="0.3">
      <c r="B126" s="3" t="str">
        <f>TabProjet[[#This Row],[IDProj]] &amp; TabProjet[[#This Row],[Point]] &amp; TabProjet[[#This Row],[IDSubProj]]</f>
        <v>4.70</v>
      </c>
      <c r="C126" s="99"/>
      <c r="D126" s="99">
        <f>IF(ISNUMBER($D125),IF(TabProjet[[#This Row],[Is Project]] &lt;&gt;"",$D125+1,$D125),1)</f>
        <v>4</v>
      </c>
      <c r="E126" s="99" t="str">
        <f>IF(TabProjet[[#This Row],[Is Project]] &lt;&gt; "","",".")</f>
        <v>.</v>
      </c>
      <c r="F126" s="99">
        <f>IFERROR(IF(TabProjet[[#This Row],[Is Project]]= "",$F125+1,""),1)</f>
        <v>70</v>
      </c>
      <c r="G126" s="68" t="s">
        <v>180</v>
      </c>
      <c r="H126" s="69" t="s">
        <v>539</v>
      </c>
      <c r="I126" s="70" t="s">
        <v>317</v>
      </c>
      <c r="J126" s="70" t="s">
        <v>19</v>
      </c>
      <c r="K126" s="71"/>
      <c r="L126" s="72">
        <v>44959</v>
      </c>
      <c r="M126" s="73">
        <v>38</v>
      </c>
      <c r="N12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6" s="17">
        <v>0</v>
      </c>
      <c r="P126" s="67">
        <f>TabProjet[[#This Row],[Début]]+(TabProjet[[#This Row],[Deadline]]-TabProjet[[#This Row],[Début]])*TabProjet[[#This Row],[Progression]]</f>
        <v>44959</v>
      </c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</row>
    <row r="127" spans="2:72" ht="28.8" x14ac:dyDescent="0.3">
      <c r="B127" s="3" t="str">
        <f>TabProjet[[#This Row],[IDProj]] &amp; TabProjet[[#This Row],[Point]] &amp; TabProjet[[#This Row],[IDSubProj]]</f>
        <v>4.71</v>
      </c>
      <c r="C127" s="99"/>
      <c r="D127" s="99">
        <f>IF(ISNUMBER($D126),IF(TabProjet[[#This Row],[Is Project]] &lt;&gt;"",$D126+1,$D126),1)</f>
        <v>4</v>
      </c>
      <c r="E127" s="99" t="str">
        <f>IF(TabProjet[[#This Row],[Is Project]] &lt;&gt; "","",".")</f>
        <v>.</v>
      </c>
      <c r="F127" s="99">
        <f>IFERROR(IF(TabProjet[[#This Row],[Is Project]]= "",$F126+1,""),1)</f>
        <v>71</v>
      </c>
      <c r="G127" s="68" t="s">
        <v>180</v>
      </c>
      <c r="H127" s="69" t="s">
        <v>539</v>
      </c>
      <c r="I127" s="70" t="s">
        <v>317</v>
      </c>
      <c r="J127" s="70" t="s">
        <v>17</v>
      </c>
      <c r="K127" s="71"/>
      <c r="L127" s="72">
        <v>44959</v>
      </c>
      <c r="M127" s="73">
        <v>38</v>
      </c>
      <c r="N12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7" s="17">
        <v>0</v>
      </c>
      <c r="P127" s="67">
        <f>TabProjet[[#This Row],[Début]]+(TabProjet[[#This Row],[Deadline]]-TabProjet[[#This Row],[Début]])*TabProjet[[#This Row],[Progression]]</f>
        <v>44959</v>
      </c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</row>
    <row r="128" spans="2:72" ht="28.8" x14ac:dyDescent="0.3">
      <c r="B128" s="3" t="str">
        <f>TabProjet[[#This Row],[IDProj]] &amp; TabProjet[[#This Row],[Point]] &amp; TabProjet[[#This Row],[IDSubProj]]</f>
        <v>4.72</v>
      </c>
      <c r="C128" s="99"/>
      <c r="D128" s="99">
        <f>IF(ISNUMBER($D127),IF(TabProjet[[#This Row],[Is Project]] &lt;&gt;"",$D127+1,$D127),1)</f>
        <v>4</v>
      </c>
      <c r="E128" s="99" t="str">
        <f>IF(TabProjet[[#This Row],[Is Project]] &lt;&gt; "","",".")</f>
        <v>.</v>
      </c>
      <c r="F128" s="99">
        <f>IFERROR(IF(TabProjet[[#This Row],[Is Project]]= "",$F127+1,""),1)</f>
        <v>72</v>
      </c>
      <c r="G128" s="68" t="s">
        <v>180</v>
      </c>
      <c r="H128" s="69" t="s">
        <v>539</v>
      </c>
      <c r="I128" s="70" t="s">
        <v>317</v>
      </c>
      <c r="J128" s="70" t="s">
        <v>115</v>
      </c>
      <c r="K128" s="71"/>
      <c r="L128" s="72">
        <v>44959</v>
      </c>
      <c r="M128" s="73">
        <v>38</v>
      </c>
      <c r="N12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8" s="17">
        <v>0</v>
      </c>
      <c r="P128" s="67">
        <f>TabProjet[[#This Row],[Début]]+(TabProjet[[#This Row],[Deadline]]-TabProjet[[#This Row],[Début]])*TabProjet[[#This Row],[Progression]]</f>
        <v>44959</v>
      </c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</row>
    <row r="129" spans="2:72" ht="28.8" x14ac:dyDescent="0.3">
      <c r="B129" s="3" t="str">
        <f>TabProjet[[#This Row],[IDProj]] &amp; TabProjet[[#This Row],[Point]] &amp; TabProjet[[#This Row],[IDSubProj]]</f>
        <v>4.73</v>
      </c>
      <c r="C129" s="99"/>
      <c r="D129" s="99">
        <f>IF(ISNUMBER($D128),IF(TabProjet[[#This Row],[Is Project]] &lt;&gt;"",$D128+1,$D128),1)</f>
        <v>4</v>
      </c>
      <c r="E129" s="99" t="str">
        <f>IF(TabProjet[[#This Row],[Is Project]] &lt;&gt; "","",".")</f>
        <v>.</v>
      </c>
      <c r="F129" s="99">
        <f>IFERROR(IF(TabProjet[[#This Row],[Is Project]]= "",$F128+1,""),1)</f>
        <v>73</v>
      </c>
      <c r="G129" s="68" t="s">
        <v>180</v>
      </c>
      <c r="H129" s="69" t="s">
        <v>539</v>
      </c>
      <c r="I129" s="70" t="s">
        <v>317</v>
      </c>
      <c r="J129" s="70" t="s">
        <v>14</v>
      </c>
      <c r="K129" s="71"/>
      <c r="L129" s="72">
        <v>44959</v>
      </c>
      <c r="M129" s="73">
        <v>38</v>
      </c>
      <c r="N12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29" s="17">
        <v>0</v>
      </c>
      <c r="P129" s="67">
        <f>TabProjet[[#This Row],[Début]]+(TabProjet[[#This Row],[Deadline]]-TabProjet[[#This Row],[Début]])*TabProjet[[#This Row],[Progression]]</f>
        <v>44959</v>
      </c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</row>
    <row r="130" spans="2:72" ht="28.8" x14ac:dyDescent="0.3">
      <c r="B130" s="3" t="str">
        <f>TabProjet[[#This Row],[IDProj]] &amp; TabProjet[[#This Row],[Point]] &amp; TabProjet[[#This Row],[IDSubProj]]</f>
        <v>4.74</v>
      </c>
      <c r="C130" s="99"/>
      <c r="D130" s="99">
        <f>IF(ISNUMBER($D129),IF(TabProjet[[#This Row],[Is Project]] &lt;&gt;"",$D129+1,$D129),1)</f>
        <v>4</v>
      </c>
      <c r="E130" s="99" t="str">
        <f>IF(TabProjet[[#This Row],[Is Project]] &lt;&gt; "","",".")</f>
        <v>.</v>
      </c>
      <c r="F130" s="99">
        <f>IFERROR(IF(TabProjet[[#This Row],[Is Project]]= "",$F129+1,""),1)</f>
        <v>74</v>
      </c>
      <c r="G130" s="68" t="s">
        <v>180</v>
      </c>
      <c r="H130" s="69" t="s">
        <v>539</v>
      </c>
      <c r="I130" s="70" t="s">
        <v>317</v>
      </c>
      <c r="J130" s="70" t="s">
        <v>25</v>
      </c>
      <c r="K130" s="71"/>
      <c r="L130" s="72">
        <v>44959</v>
      </c>
      <c r="M130" s="73">
        <v>38</v>
      </c>
      <c r="N13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30" s="17">
        <v>0</v>
      </c>
      <c r="P130" s="67">
        <f>TabProjet[[#This Row],[Début]]+(TabProjet[[#This Row],[Deadline]]-TabProjet[[#This Row],[Début]])*TabProjet[[#This Row],[Progression]]</f>
        <v>44959</v>
      </c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</row>
    <row r="131" spans="2:72" ht="28.8" x14ac:dyDescent="0.3">
      <c r="B131" s="3" t="str">
        <f>TabProjet[[#This Row],[IDProj]] &amp; TabProjet[[#This Row],[Point]] &amp; TabProjet[[#This Row],[IDSubProj]]</f>
        <v>4.75</v>
      </c>
      <c r="C131" s="99"/>
      <c r="D131" s="99">
        <f>IF(ISNUMBER($D130),IF(TabProjet[[#This Row],[Is Project]] &lt;&gt;"",$D130+1,$D130),1)</f>
        <v>4</v>
      </c>
      <c r="E131" s="99" t="str">
        <f>IF(TabProjet[[#This Row],[Is Project]] &lt;&gt; "","",".")</f>
        <v>.</v>
      </c>
      <c r="F131" s="99">
        <f>IFERROR(IF(TabProjet[[#This Row],[Is Project]]= "",$F130+1,""),1)</f>
        <v>75</v>
      </c>
      <c r="G131" s="68" t="s">
        <v>180</v>
      </c>
      <c r="H131" s="69" t="s">
        <v>539</v>
      </c>
      <c r="I131" s="70" t="s">
        <v>317</v>
      </c>
      <c r="J131" s="70" t="s">
        <v>13</v>
      </c>
      <c r="K131" s="71"/>
      <c r="L131" s="72">
        <v>44959</v>
      </c>
      <c r="M131" s="73">
        <v>38</v>
      </c>
      <c r="N13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31" s="17">
        <v>0</v>
      </c>
      <c r="P131" s="67">
        <f>TabProjet[[#This Row],[Début]]+(TabProjet[[#This Row],[Deadline]]-TabProjet[[#This Row],[Début]])*TabProjet[[#This Row],[Progression]]</f>
        <v>44959</v>
      </c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</row>
    <row r="132" spans="2:72" ht="28.8" x14ac:dyDescent="0.3">
      <c r="B132" s="3" t="str">
        <f>TabProjet[[#This Row],[IDProj]] &amp; TabProjet[[#This Row],[Point]] &amp; TabProjet[[#This Row],[IDSubProj]]</f>
        <v>4.76</v>
      </c>
      <c r="C132" s="99"/>
      <c r="D132" s="99">
        <f>IF(ISNUMBER($D131),IF(TabProjet[[#This Row],[Is Project]] &lt;&gt;"",$D131+1,$D131),1)</f>
        <v>4</v>
      </c>
      <c r="E132" s="99" t="str">
        <f>IF(TabProjet[[#This Row],[Is Project]] &lt;&gt; "","",".")</f>
        <v>.</v>
      </c>
      <c r="F132" s="99">
        <f>IFERROR(IF(TabProjet[[#This Row],[Is Project]]= "",$F131+1,""),1)</f>
        <v>76</v>
      </c>
      <c r="G132" s="68" t="s">
        <v>180</v>
      </c>
      <c r="H132" s="69" t="s">
        <v>539</v>
      </c>
      <c r="I132" s="70" t="s">
        <v>317</v>
      </c>
      <c r="J132" s="70" t="s">
        <v>24</v>
      </c>
      <c r="K132" s="71"/>
      <c r="L132" s="72">
        <v>44959</v>
      </c>
      <c r="M132" s="73">
        <v>38</v>
      </c>
      <c r="N13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32" s="17">
        <v>0</v>
      </c>
      <c r="P132" s="67">
        <f>TabProjet[[#This Row],[Début]]+(TabProjet[[#This Row],[Deadline]]-TabProjet[[#This Row],[Début]])*TabProjet[[#This Row],[Progression]]</f>
        <v>44959</v>
      </c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</row>
    <row r="133" spans="2:72" x14ac:dyDescent="0.3">
      <c r="B133" s="3" t="str">
        <f>TabProjet[[#This Row],[IDProj]] &amp; TabProjet[[#This Row],[Point]] &amp; TabProjet[[#This Row],[IDSubProj]]</f>
        <v>4.77</v>
      </c>
      <c r="C133" s="99"/>
      <c r="D133" s="99">
        <f>IF(ISNUMBER($D132),IF(TabProjet[[#This Row],[Is Project]] &lt;&gt;"",$D132+1,$D132),1)</f>
        <v>4</v>
      </c>
      <c r="E133" s="99" t="str">
        <f>IF(TabProjet[[#This Row],[Is Project]] &lt;&gt; "","",".")</f>
        <v>.</v>
      </c>
      <c r="F133" s="99">
        <f>IFERROR(IF(TabProjet[[#This Row],[Is Project]]= "",$F132+1,""),1)</f>
        <v>77</v>
      </c>
      <c r="G133" s="68" t="s">
        <v>181</v>
      </c>
      <c r="H133" s="69" t="s">
        <v>539</v>
      </c>
      <c r="I133" s="70" t="s">
        <v>317</v>
      </c>
      <c r="J133" s="70" t="s">
        <v>142</v>
      </c>
      <c r="K133" s="71"/>
      <c r="L133" s="72">
        <v>44959</v>
      </c>
      <c r="M133" s="73">
        <v>38</v>
      </c>
      <c r="N13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33" s="17">
        <v>0</v>
      </c>
      <c r="P133" s="67">
        <f>TabProjet[[#This Row],[Début]]+(TabProjet[[#This Row],[Deadline]]-TabProjet[[#This Row],[Début]])*TabProjet[[#This Row],[Progression]]</f>
        <v>44959</v>
      </c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</row>
    <row r="134" spans="2:72" x14ac:dyDescent="0.3">
      <c r="B134" s="3" t="str">
        <f>TabProjet[[#This Row],[IDProj]] &amp; TabProjet[[#This Row],[Point]] &amp; TabProjet[[#This Row],[IDSubProj]]</f>
        <v>4.78</v>
      </c>
      <c r="C134" s="99"/>
      <c r="D134" s="99">
        <f>IF(ISNUMBER($D133),IF(TabProjet[[#This Row],[Is Project]] &lt;&gt;"",$D133+1,$D133),1)</f>
        <v>4</v>
      </c>
      <c r="E134" s="99" t="str">
        <f>IF(TabProjet[[#This Row],[Is Project]] &lt;&gt; "","",".")</f>
        <v>.</v>
      </c>
      <c r="F134" s="99">
        <f>IFERROR(IF(TabProjet[[#This Row],[Is Project]]= "",$F133+1,""),1)</f>
        <v>78</v>
      </c>
      <c r="G134" s="68" t="s">
        <v>181</v>
      </c>
      <c r="H134" s="69" t="s">
        <v>539</v>
      </c>
      <c r="I134" s="70" t="s">
        <v>317</v>
      </c>
      <c r="J134" s="70" t="s">
        <v>19</v>
      </c>
      <c r="K134" s="71"/>
      <c r="L134" s="72">
        <v>44959</v>
      </c>
      <c r="M134" s="73">
        <v>38</v>
      </c>
      <c r="N13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34" s="17">
        <v>0</v>
      </c>
      <c r="P134" s="67">
        <f>TabProjet[[#This Row],[Début]]+(TabProjet[[#This Row],[Deadline]]-TabProjet[[#This Row],[Début]])*TabProjet[[#This Row],[Progression]]</f>
        <v>44959</v>
      </c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</row>
    <row r="135" spans="2:72" x14ac:dyDescent="0.3">
      <c r="B135" s="3" t="str">
        <f>TabProjet[[#This Row],[IDProj]] &amp; TabProjet[[#This Row],[Point]] &amp; TabProjet[[#This Row],[IDSubProj]]</f>
        <v>4.79</v>
      </c>
      <c r="C135" s="99"/>
      <c r="D135" s="99">
        <f>IF(ISNUMBER($D134),IF(TabProjet[[#This Row],[Is Project]] &lt;&gt;"",$D134+1,$D134),1)</f>
        <v>4</v>
      </c>
      <c r="E135" s="99" t="str">
        <f>IF(TabProjet[[#This Row],[Is Project]] &lt;&gt; "","",".")</f>
        <v>.</v>
      </c>
      <c r="F135" s="99">
        <f>IFERROR(IF(TabProjet[[#This Row],[Is Project]]= "",$F134+1,""),1)</f>
        <v>79</v>
      </c>
      <c r="G135" s="68" t="s">
        <v>182</v>
      </c>
      <c r="H135" s="69" t="s">
        <v>539</v>
      </c>
      <c r="I135" s="70" t="s">
        <v>317</v>
      </c>
      <c r="J135" s="70" t="s">
        <v>149</v>
      </c>
      <c r="K135" s="71"/>
      <c r="L135" s="72">
        <v>44959</v>
      </c>
      <c r="M135" s="73">
        <v>38</v>
      </c>
      <c r="N13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45012</v>
      </c>
      <c r="O135" s="17">
        <v>0</v>
      </c>
      <c r="P135" s="67">
        <f>TabProjet[[#This Row],[Début]]+(TabProjet[[#This Row],[Deadline]]-TabProjet[[#This Row],[Début]])*TabProjet[[#This Row],[Progression]]</f>
        <v>44959</v>
      </c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</row>
    <row r="136" spans="2:72" x14ac:dyDescent="0.3">
      <c r="B136" s="3" t="str">
        <f>TabProjet[[#This Row],[IDProj]] &amp; TabProjet[[#This Row],[Point]] &amp; TabProjet[[#This Row],[IDSubProj]]</f>
        <v>4.80</v>
      </c>
      <c r="C136" s="99"/>
      <c r="D136" s="99">
        <f>IF(ISNUMBER($D135),IF(TabProjet[[#This Row],[Is Project]] &lt;&gt;"",$D135+1,$D135),1)</f>
        <v>4</v>
      </c>
      <c r="E136" s="99" t="str">
        <f>IF(TabProjet[[#This Row],[Is Project]] &lt;&gt; "","",".")</f>
        <v>.</v>
      </c>
      <c r="F136" s="99">
        <f>IFERROR(IF(TabProjet[[#This Row],[Is Project]]= "",$F135+1,""),1)</f>
        <v>80</v>
      </c>
      <c r="G136" s="68" t="s">
        <v>319</v>
      </c>
      <c r="H136" s="69" t="s">
        <v>539</v>
      </c>
      <c r="I136" s="70" t="s">
        <v>320</v>
      </c>
      <c r="J136" s="70" t="s">
        <v>318</v>
      </c>
      <c r="K136" s="71"/>
      <c r="L136" s="72">
        <v>45010</v>
      </c>
      <c r="M136" s="73">
        <v>4</v>
      </c>
      <c r="N13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45015</v>
      </c>
      <c r="O136" s="17">
        <v>0</v>
      </c>
      <c r="P136" s="67">
        <f>TabProjet[[#This Row],[Début]]+(TabProjet[[#This Row],[Deadline]]-TabProjet[[#This Row],[Début]])*TabProjet[[#This Row],[Progression]]</f>
        <v>45010</v>
      </c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</row>
    <row r="137" spans="2:72" x14ac:dyDescent="0.3">
      <c r="B137" s="3" t="str">
        <f>TabProjet[[#This Row],[IDProj]] &amp; TabProjet[[#This Row],[Point]] &amp; TabProjet[[#This Row],[IDSubProj]]</f>
        <v>4.81</v>
      </c>
      <c r="C137" s="99"/>
      <c r="D137" s="99">
        <f>IF(ISNUMBER($D136),IF(TabProjet[[#This Row],[Is Project]] &lt;&gt;"",$D136+1,$D136),1)</f>
        <v>4</v>
      </c>
      <c r="E137" s="99" t="str">
        <f>IF(TabProjet[[#This Row],[Is Project]] &lt;&gt; "","",".")</f>
        <v>.</v>
      </c>
      <c r="F137" s="99">
        <f>IFERROR(IF(TabProjet[[#This Row],[Is Project]]= "",$F136+1,""),1)</f>
        <v>81</v>
      </c>
      <c r="G137" s="68" t="s">
        <v>321</v>
      </c>
      <c r="H137" s="69" t="s">
        <v>539</v>
      </c>
      <c r="I137" s="70" t="s">
        <v>322</v>
      </c>
      <c r="J137" s="70" t="s">
        <v>318</v>
      </c>
      <c r="K137" s="71"/>
      <c r="L137" s="72">
        <v>45015</v>
      </c>
      <c r="M137" s="73">
        <v>4</v>
      </c>
      <c r="N13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45020</v>
      </c>
      <c r="O137" s="17">
        <v>0</v>
      </c>
      <c r="P137" s="67">
        <f>TabProjet[[#This Row],[Début]]+(TabProjet[[#This Row],[Deadline]]-TabProjet[[#This Row],[Début]])*TabProjet[[#This Row],[Progression]]</f>
        <v>45015</v>
      </c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</row>
    <row r="138" spans="2:72" x14ac:dyDescent="0.3">
      <c r="B138" s="3" t="str">
        <f>TabProjet[[#This Row],[IDProj]] &amp; TabProjet[[#This Row],[Point]] &amp; TabProjet[[#This Row],[IDSubProj]]</f>
        <v>4.82</v>
      </c>
      <c r="C138" s="99"/>
      <c r="D138" s="99">
        <f>IF(ISNUMBER($D137),IF(TabProjet[[#This Row],[Is Project]] &lt;&gt;"",$D137+1,$D137),1)</f>
        <v>4</v>
      </c>
      <c r="E138" s="99" t="str">
        <f>IF(TabProjet[[#This Row],[Is Project]] &lt;&gt; "","",".")</f>
        <v>.</v>
      </c>
      <c r="F138" s="99">
        <f>IFERROR(IF(TabProjet[[#This Row],[Is Project]]= "",$F137+1,""),1)</f>
        <v>82</v>
      </c>
      <c r="G138" s="68" t="s">
        <v>183</v>
      </c>
      <c r="H138" s="69" t="s">
        <v>539</v>
      </c>
      <c r="I138" s="70" t="s">
        <v>323</v>
      </c>
      <c r="J138" s="70" t="s">
        <v>108</v>
      </c>
      <c r="K138" s="71" t="s">
        <v>265</v>
      </c>
      <c r="L138" s="72">
        <v>44933</v>
      </c>
      <c r="M138" s="73">
        <v>0</v>
      </c>
      <c r="N13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44935</v>
      </c>
      <c r="O138" s="17">
        <v>0</v>
      </c>
      <c r="P138" s="67">
        <f>TabProjet[[#This Row],[Début]]+(TabProjet[[#This Row],[Deadline]]-TabProjet[[#This Row],[Début]])*TabProjet[[#This Row],[Progression]]</f>
        <v>44933</v>
      </c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</row>
    <row r="139" spans="2:72" x14ac:dyDescent="0.3">
      <c r="B139" s="3" t="str">
        <f>TabProjet[[#This Row],[IDProj]] &amp; TabProjet[[#This Row],[Point]] &amp; TabProjet[[#This Row],[IDSubProj]]</f>
        <v>5</v>
      </c>
      <c r="C139" s="99" t="s">
        <v>27</v>
      </c>
      <c r="D139" s="99">
        <f>IF(ISNUMBER($D138),IF(TabProjet[[#This Row],[Is Project]] &lt;&gt;"",$D138+1,$D138),1)</f>
        <v>5</v>
      </c>
      <c r="E139" s="99" t="str">
        <f>IF(TabProjet[[#This Row],[Is Project]] &lt;&gt; "","",".")</f>
        <v/>
      </c>
      <c r="F139" s="99" t="str">
        <f>IFERROR(IF(TabProjet[[#This Row],[Is Project]]= "",$F138+1,""),1)</f>
        <v/>
      </c>
      <c r="G139" s="68" t="s">
        <v>184</v>
      </c>
      <c r="H139" s="69"/>
      <c r="I139" s="70"/>
      <c r="J139" s="70"/>
      <c r="K139" s="71"/>
      <c r="L139" s="67">
        <f ca="1">IF(MinStartDate(TabProjet[[#This Row],[ID]]) = 0, "", MinStartDate(TabProjet[[#This Row],[ID]]))</f>
        <v>45070</v>
      </c>
      <c r="M139" s="70">
        <f>IFERROR(SUMIFS(TabProjet[Charge en J],TabProjet[Is Project],"",TabProjet[IDProj],TabProjet[[#This Row],[IDProj]]), "")</f>
        <v>128</v>
      </c>
      <c r="N139" s="66">
        <f ca="1">IF(MaxDeadlineDate(TabProjet[[#This Row],[ID]]) = 0, "", MaxDeadlineDate(TabProjet[[#This Row],[ID]]))</f>
        <v>45084</v>
      </c>
      <c r="O139" s="17">
        <f>IFERROR(AVERAGEIFS(TabProjet[Progression],TabProjet[Is Project],"",TabProjet[IDProj],TabProjet[[#This Row],[IDProj]]), 0)</f>
        <v>0</v>
      </c>
      <c r="P139" s="67">
        <f ca="1">TabProjet[[#This Row],[Début]]+(TabProjet[[#This Row],[Deadline]]-TabProjet[[#This Row],[Début]])*TabProjet[[#This Row],[Progression]]</f>
        <v>45070</v>
      </c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</row>
    <row r="140" spans="2:72" x14ac:dyDescent="0.3">
      <c r="B140" s="3" t="str">
        <f>TabProjet[[#This Row],[IDProj]] &amp; TabProjet[[#This Row],[Point]] &amp; TabProjet[[#This Row],[IDSubProj]]</f>
        <v>5.1</v>
      </c>
      <c r="C140" s="99"/>
      <c r="D140" s="99">
        <f>IF(ISNUMBER($D139),IF(TabProjet[[#This Row],[Is Project]] &lt;&gt;"",$D139+1,$D139),1)</f>
        <v>5</v>
      </c>
      <c r="E140" s="99" t="str">
        <f>IF(TabProjet[[#This Row],[Is Project]] &lt;&gt; "","",".")</f>
        <v>.</v>
      </c>
      <c r="F140" s="99">
        <f>IFERROR(IF(TabProjet[[#This Row],[Is Project]]= "",$F139+1,""),1)</f>
        <v>1</v>
      </c>
      <c r="G140" s="68" t="s">
        <v>324</v>
      </c>
      <c r="H140" s="69" t="s">
        <v>539</v>
      </c>
      <c r="I140" s="70">
        <v>4</v>
      </c>
      <c r="J140" s="70" t="s">
        <v>115</v>
      </c>
      <c r="K140" s="71"/>
      <c r="L140" s="74">
        <v>45070</v>
      </c>
      <c r="M140" s="75">
        <v>10</v>
      </c>
      <c r="N14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0" s="17">
        <v>0</v>
      </c>
      <c r="P140" s="67">
        <f>TabProjet[[#This Row],[Début]]+(TabProjet[[#This Row],[Deadline]]-TabProjet[[#This Row],[Début]])*TabProjet[[#This Row],[Progression]]</f>
        <v>45070</v>
      </c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</row>
    <row r="141" spans="2:72" x14ac:dyDescent="0.3">
      <c r="B141" s="3" t="str">
        <f>TabProjet[[#This Row],[IDProj]] &amp; TabProjet[[#This Row],[Point]] &amp; TabProjet[[#This Row],[IDSubProj]]</f>
        <v>5.2</v>
      </c>
      <c r="C141" s="99"/>
      <c r="D141" s="99">
        <f>IF(ISNUMBER($D140),IF(TabProjet[[#This Row],[Is Project]] &lt;&gt;"",$D140+1,$D140),1)</f>
        <v>5</v>
      </c>
      <c r="E141" s="99" t="str">
        <f>IF(TabProjet[[#This Row],[Is Project]] &lt;&gt; "","",".")</f>
        <v>.</v>
      </c>
      <c r="F141" s="99">
        <f>IFERROR(IF(TabProjet[[#This Row],[Is Project]]= "",$F140+1,""),1)</f>
        <v>2</v>
      </c>
      <c r="G141" s="68" t="s">
        <v>325</v>
      </c>
      <c r="H141" s="69" t="s">
        <v>539</v>
      </c>
      <c r="I141" s="70">
        <v>4</v>
      </c>
      <c r="J141" s="70" t="s">
        <v>14</v>
      </c>
      <c r="K141" s="71"/>
      <c r="L141" s="74">
        <v>45070</v>
      </c>
      <c r="M141" s="75">
        <v>10</v>
      </c>
      <c r="N14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1" s="17">
        <v>0</v>
      </c>
      <c r="P141" s="67">
        <f>TabProjet[[#This Row],[Début]]+(TabProjet[[#This Row],[Deadline]]-TabProjet[[#This Row],[Début]])*TabProjet[[#This Row],[Progression]]</f>
        <v>45070</v>
      </c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</row>
    <row r="142" spans="2:72" x14ac:dyDescent="0.3">
      <c r="B142" s="3" t="str">
        <f>TabProjet[[#This Row],[IDProj]] &amp; TabProjet[[#This Row],[Point]] &amp; TabProjet[[#This Row],[IDSubProj]]</f>
        <v>5.3</v>
      </c>
      <c r="C142" s="99"/>
      <c r="D142" s="99">
        <f>IF(ISNUMBER($D141),IF(TabProjet[[#This Row],[Is Project]] &lt;&gt;"",$D141+1,$D141),1)</f>
        <v>5</v>
      </c>
      <c r="E142" s="99" t="str">
        <f>IF(TabProjet[[#This Row],[Is Project]] &lt;&gt; "","",".")</f>
        <v>.</v>
      </c>
      <c r="F142" s="99">
        <f>IFERROR(IF(TabProjet[[#This Row],[Is Project]]= "",$F141+1,""),1)</f>
        <v>3</v>
      </c>
      <c r="G142" s="68" t="s">
        <v>326</v>
      </c>
      <c r="H142" s="69" t="s">
        <v>539</v>
      </c>
      <c r="I142" s="70">
        <v>4</v>
      </c>
      <c r="J142" s="70" t="s">
        <v>25</v>
      </c>
      <c r="K142" s="71"/>
      <c r="L142" s="74">
        <v>45070</v>
      </c>
      <c r="M142" s="75">
        <v>10</v>
      </c>
      <c r="N14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2" s="17">
        <v>0</v>
      </c>
      <c r="P142" s="67">
        <f>TabProjet[[#This Row],[Début]]+(TabProjet[[#This Row],[Deadline]]-TabProjet[[#This Row],[Début]])*TabProjet[[#This Row],[Progression]]</f>
        <v>45070</v>
      </c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</row>
    <row r="143" spans="2:72" x14ac:dyDescent="0.3">
      <c r="B143" s="3" t="str">
        <f>TabProjet[[#This Row],[IDProj]] &amp; TabProjet[[#This Row],[Point]] &amp; TabProjet[[#This Row],[IDSubProj]]</f>
        <v>5.4</v>
      </c>
      <c r="C143" s="99"/>
      <c r="D143" s="99">
        <f>IF(ISNUMBER($D142),IF(TabProjet[[#This Row],[Is Project]] &lt;&gt;"",$D142+1,$D142),1)</f>
        <v>5</v>
      </c>
      <c r="E143" s="99" t="str">
        <f>IF(TabProjet[[#This Row],[Is Project]] &lt;&gt; "","",".")</f>
        <v>.</v>
      </c>
      <c r="F143" s="99">
        <f>IFERROR(IF(TabProjet[[#This Row],[Is Project]]= "",$F142+1,""),1)</f>
        <v>4</v>
      </c>
      <c r="G143" s="68" t="s">
        <v>327</v>
      </c>
      <c r="H143" s="69" t="s">
        <v>539</v>
      </c>
      <c r="I143" s="70">
        <v>4</v>
      </c>
      <c r="J143" s="70" t="s">
        <v>13</v>
      </c>
      <c r="K143" s="71"/>
      <c r="L143" s="74">
        <v>45070</v>
      </c>
      <c r="M143" s="75">
        <v>10</v>
      </c>
      <c r="N14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3" s="17">
        <v>0</v>
      </c>
      <c r="P143" s="67">
        <f>TabProjet[[#This Row],[Début]]+(TabProjet[[#This Row],[Deadline]]-TabProjet[[#This Row],[Début]])*TabProjet[[#This Row],[Progression]]</f>
        <v>45070</v>
      </c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</row>
    <row r="144" spans="2:72" x14ac:dyDescent="0.3">
      <c r="B144" s="3" t="str">
        <f>TabProjet[[#This Row],[IDProj]] &amp; TabProjet[[#This Row],[Point]] &amp; TabProjet[[#This Row],[IDSubProj]]</f>
        <v>5.5</v>
      </c>
      <c r="C144" s="99"/>
      <c r="D144" s="99">
        <f>IF(ISNUMBER($D143),IF(TabProjet[[#This Row],[Is Project]] &lt;&gt;"",$D143+1,$D143),1)</f>
        <v>5</v>
      </c>
      <c r="E144" s="99" t="str">
        <f>IF(TabProjet[[#This Row],[Is Project]] &lt;&gt; "","",".")</f>
        <v>.</v>
      </c>
      <c r="F144" s="99">
        <f>IFERROR(IF(TabProjet[[#This Row],[Is Project]]= "",$F143+1,""),1)</f>
        <v>5</v>
      </c>
      <c r="G144" s="68" t="s">
        <v>328</v>
      </c>
      <c r="H144" s="69" t="s">
        <v>539</v>
      </c>
      <c r="I144" s="70">
        <v>4</v>
      </c>
      <c r="J144" s="70" t="s">
        <v>24</v>
      </c>
      <c r="K144" s="71"/>
      <c r="L144" s="74">
        <v>45070</v>
      </c>
      <c r="M144" s="75">
        <v>10</v>
      </c>
      <c r="N144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4" s="17">
        <v>0</v>
      </c>
      <c r="P144" s="67">
        <f>TabProjet[[#This Row],[Début]]+(TabProjet[[#This Row],[Deadline]]-TabProjet[[#This Row],[Début]])*TabProjet[[#This Row],[Progression]]</f>
        <v>45070</v>
      </c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</row>
    <row r="145" spans="2:72" x14ac:dyDescent="0.3">
      <c r="B145" s="3" t="str">
        <f>TabProjet[[#This Row],[IDProj]] &amp; TabProjet[[#This Row],[Point]] &amp; TabProjet[[#This Row],[IDSubProj]]</f>
        <v>5.6</v>
      </c>
      <c r="C145" s="99"/>
      <c r="D145" s="99">
        <f>IF(ISNUMBER($D144),IF(TabProjet[[#This Row],[Is Project]] &lt;&gt;"",$D144+1,$D144),1)</f>
        <v>5</v>
      </c>
      <c r="E145" s="99" t="str">
        <f>IF(TabProjet[[#This Row],[Is Project]] &lt;&gt; "","",".")</f>
        <v>.</v>
      </c>
      <c r="F145" s="99">
        <f>IFERROR(IF(TabProjet[[#This Row],[Is Project]]= "",$F144+1,""),1)</f>
        <v>6</v>
      </c>
      <c r="G145" s="68" t="s">
        <v>329</v>
      </c>
      <c r="H145" s="69" t="s">
        <v>539</v>
      </c>
      <c r="I145" s="70">
        <v>4</v>
      </c>
      <c r="J145" s="70" t="s">
        <v>115</v>
      </c>
      <c r="K145" s="71" t="s">
        <v>330</v>
      </c>
      <c r="L145" s="74">
        <v>45070</v>
      </c>
      <c r="M145" s="75">
        <v>10</v>
      </c>
      <c r="N145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5" s="17">
        <v>0</v>
      </c>
      <c r="P145" s="67">
        <f>TabProjet[[#This Row],[Début]]+(TabProjet[[#This Row],[Deadline]]-TabProjet[[#This Row],[Début]])*TabProjet[[#This Row],[Progression]]</f>
        <v>45070</v>
      </c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</row>
    <row r="146" spans="2:72" x14ac:dyDescent="0.3">
      <c r="B146" s="3" t="str">
        <f>TabProjet[[#This Row],[IDProj]] &amp; TabProjet[[#This Row],[Point]] &amp; TabProjet[[#This Row],[IDSubProj]]</f>
        <v>5.7</v>
      </c>
      <c r="C146" s="99"/>
      <c r="D146" s="99">
        <f>IF(ISNUMBER($D145),IF(TabProjet[[#This Row],[Is Project]] &lt;&gt;"",$D145+1,$D145),1)</f>
        <v>5</v>
      </c>
      <c r="E146" s="99" t="str">
        <f>IF(TabProjet[[#This Row],[Is Project]] &lt;&gt; "","",".")</f>
        <v>.</v>
      </c>
      <c r="F146" s="99">
        <f>IFERROR(IF(TabProjet[[#This Row],[Is Project]]= "",$F145+1,""),1)</f>
        <v>7</v>
      </c>
      <c r="G146" s="68" t="s">
        <v>331</v>
      </c>
      <c r="H146" s="69" t="s">
        <v>539</v>
      </c>
      <c r="I146" s="70">
        <v>4</v>
      </c>
      <c r="J146" s="70" t="s">
        <v>14</v>
      </c>
      <c r="K146" s="71" t="s">
        <v>330</v>
      </c>
      <c r="L146" s="74">
        <v>45070</v>
      </c>
      <c r="M146" s="75">
        <v>10</v>
      </c>
      <c r="N146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6" s="17">
        <v>0</v>
      </c>
      <c r="P146" s="67">
        <f>TabProjet[[#This Row],[Début]]+(TabProjet[[#This Row],[Deadline]]-TabProjet[[#This Row],[Début]])*TabProjet[[#This Row],[Progression]]</f>
        <v>45070</v>
      </c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</row>
    <row r="147" spans="2:72" x14ac:dyDescent="0.3">
      <c r="B147" s="3" t="str">
        <f>TabProjet[[#This Row],[IDProj]] &amp; TabProjet[[#This Row],[Point]] &amp; TabProjet[[#This Row],[IDSubProj]]</f>
        <v>5.8</v>
      </c>
      <c r="C147" s="99"/>
      <c r="D147" s="99">
        <f>IF(ISNUMBER($D146),IF(TabProjet[[#This Row],[Is Project]] &lt;&gt;"",$D146+1,$D146),1)</f>
        <v>5</v>
      </c>
      <c r="E147" s="99" t="str">
        <f>IF(TabProjet[[#This Row],[Is Project]] &lt;&gt; "","",".")</f>
        <v>.</v>
      </c>
      <c r="F147" s="99">
        <f>IFERROR(IF(TabProjet[[#This Row],[Is Project]]= "",$F146+1,""),1)</f>
        <v>8</v>
      </c>
      <c r="G147" s="68" t="s">
        <v>332</v>
      </c>
      <c r="H147" s="69" t="s">
        <v>539</v>
      </c>
      <c r="I147" s="70">
        <v>4</v>
      </c>
      <c r="J147" s="70" t="s">
        <v>25</v>
      </c>
      <c r="K147" s="71" t="s">
        <v>330</v>
      </c>
      <c r="L147" s="74">
        <v>45070</v>
      </c>
      <c r="M147" s="75">
        <v>10</v>
      </c>
      <c r="N147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7" s="17">
        <v>0</v>
      </c>
      <c r="P147" s="67">
        <f>TabProjet[[#This Row],[Début]]+(TabProjet[[#This Row],[Deadline]]-TabProjet[[#This Row],[Début]])*TabProjet[[#This Row],[Progression]]</f>
        <v>45070</v>
      </c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</row>
    <row r="148" spans="2:72" x14ac:dyDescent="0.3">
      <c r="B148" s="3" t="str">
        <f>TabProjet[[#This Row],[IDProj]] &amp; TabProjet[[#This Row],[Point]] &amp; TabProjet[[#This Row],[IDSubProj]]</f>
        <v>5.9</v>
      </c>
      <c r="C148" s="99"/>
      <c r="D148" s="99">
        <f>IF(ISNUMBER($D147),IF(TabProjet[[#This Row],[Is Project]] &lt;&gt;"",$D147+1,$D147),1)</f>
        <v>5</v>
      </c>
      <c r="E148" s="99" t="str">
        <f>IF(TabProjet[[#This Row],[Is Project]] &lt;&gt; "","",".")</f>
        <v>.</v>
      </c>
      <c r="F148" s="99">
        <f>IFERROR(IF(TabProjet[[#This Row],[Is Project]]= "",$F147+1,""),1)</f>
        <v>9</v>
      </c>
      <c r="G148" s="68" t="s">
        <v>333</v>
      </c>
      <c r="H148" s="69" t="s">
        <v>539</v>
      </c>
      <c r="I148" s="70">
        <v>4</v>
      </c>
      <c r="J148" s="70" t="s">
        <v>13</v>
      </c>
      <c r="K148" s="71" t="s">
        <v>330</v>
      </c>
      <c r="L148" s="74">
        <v>45070</v>
      </c>
      <c r="M148" s="75">
        <v>10</v>
      </c>
      <c r="N148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8" s="17">
        <v>0</v>
      </c>
      <c r="P148" s="67">
        <f>TabProjet[[#This Row],[Début]]+(TabProjet[[#This Row],[Deadline]]-TabProjet[[#This Row],[Début]])*TabProjet[[#This Row],[Progression]]</f>
        <v>45070</v>
      </c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</row>
    <row r="149" spans="2:72" x14ac:dyDescent="0.3">
      <c r="B149" s="3" t="str">
        <f>TabProjet[[#This Row],[IDProj]] &amp; TabProjet[[#This Row],[Point]] &amp; TabProjet[[#This Row],[IDSubProj]]</f>
        <v>5.10</v>
      </c>
      <c r="C149" s="99"/>
      <c r="D149" s="99">
        <f>IF(ISNUMBER($D148),IF(TabProjet[[#This Row],[Is Project]] &lt;&gt;"",$D148+1,$D148),1)</f>
        <v>5</v>
      </c>
      <c r="E149" s="99" t="str">
        <f>IF(TabProjet[[#This Row],[Is Project]] &lt;&gt; "","",".")</f>
        <v>.</v>
      </c>
      <c r="F149" s="99">
        <f>IFERROR(IF(TabProjet[[#This Row],[Is Project]]= "",$F148+1,""),1)</f>
        <v>10</v>
      </c>
      <c r="G149" s="68" t="s">
        <v>334</v>
      </c>
      <c r="H149" s="69" t="s">
        <v>539</v>
      </c>
      <c r="I149" s="70">
        <v>4</v>
      </c>
      <c r="J149" s="70" t="s">
        <v>24</v>
      </c>
      <c r="K149" s="71" t="s">
        <v>330</v>
      </c>
      <c r="L149" s="74">
        <v>45070</v>
      </c>
      <c r="M149" s="75">
        <v>10</v>
      </c>
      <c r="N149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49" s="17">
        <v>0</v>
      </c>
      <c r="P149" s="67">
        <f>TabProjet[[#This Row],[Début]]+(TabProjet[[#This Row],[Deadline]]-TabProjet[[#This Row],[Début]])*TabProjet[[#This Row],[Progression]]</f>
        <v>45070</v>
      </c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</row>
    <row r="150" spans="2:72" x14ac:dyDescent="0.3">
      <c r="B150" s="3" t="str">
        <f>TabProjet[[#This Row],[IDProj]] &amp; TabProjet[[#This Row],[Point]] &amp; TabProjet[[#This Row],[IDSubProj]]</f>
        <v>5.11</v>
      </c>
      <c r="C150" s="99"/>
      <c r="D150" s="99">
        <f>IF(ISNUMBER($D149),IF(TabProjet[[#This Row],[Is Project]] &lt;&gt;"",$D149+1,$D149),1)</f>
        <v>5</v>
      </c>
      <c r="E150" s="99" t="str">
        <f>IF(TabProjet[[#This Row],[Is Project]] &lt;&gt; "","",".")</f>
        <v>.</v>
      </c>
      <c r="F150" s="99">
        <f>IFERROR(IF(TabProjet[[#This Row],[Is Project]]= "",$F149+1,""),1)</f>
        <v>11</v>
      </c>
      <c r="G150" s="68" t="s">
        <v>185</v>
      </c>
      <c r="H150" s="69" t="s">
        <v>539</v>
      </c>
      <c r="I150" s="70">
        <v>4</v>
      </c>
      <c r="J150" s="70" t="s">
        <v>108</v>
      </c>
      <c r="K150" s="71"/>
      <c r="L150" s="74">
        <v>45070</v>
      </c>
      <c r="M150" s="75">
        <v>10</v>
      </c>
      <c r="N150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50" s="17">
        <v>0</v>
      </c>
      <c r="P150" s="67">
        <f>TabProjet[[#This Row],[Début]]+(TabProjet[[#This Row],[Deadline]]-TabProjet[[#This Row],[Début]])*TabProjet[[#This Row],[Progression]]</f>
        <v>45070</v>
      </c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</row>
    <row r="151" spans="2:72" x14ac:dyDescent="0.3">
      <c r="B151" s="3" t="str">
        <f>TabProjet[[#This Row],[IDProj]] &amp; TabProjet[[#This Row],[Point]] &amp; TabProjet[[#This Row],[IDSubProj]]</f>
        <v>5.12</v>
      </c>
      <c r="C151" s="99"/>
      <c r="D151" s="99">
        <f>IF(ISNUMBER($D150),IF(TabProjet[[#This Row],[Is Project]] &lt;&gt;"",$D150+1,$D150),1)</f>
        <v>5</v>
      </c>
      <c r="E151" s="99" t="str">
        <f>IF(TabProjet[[#This Row],[Is Project]] &lt;&gt; "","",".")</f>
        <v>.</v>
      </c>
      <c r="F151" s="99">
        <f>IFERROR(IF(TabProjet[[#This Row],[Is Project]]= "",$F150+1,""),1)</f>
        <v>12</v>
      </c>
      <c r="G151" s="68" t="s">
        <v>186</v>
      </c>
      <c r="H151" s="69" t="s">
        <v>539</v>
      </c>
      <c r="I151" s="70">
        <v>4</v>
      </c>
      <c r="J151" s="70" t="s">
        <v>108</v>
      </c>
      <c r="K151" s="71"/>
      <c r="L151" s="74">
        <v>45070</v>
      </c>
      <c r="M151" s="75">
        <v>10</v>
      </c>
      <c r="N151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45084</v>
      </c>
      <c r="O151" s="17">
        <v>0</v>
      </c>
      <c r="P151" s="67">
        <f>TabProjet[[#This Row],[Début]]+(TabProjet[[#This Row],[Deadline]]-TabProjet[[#This Row],[Début]])*TabProjet[[#This Row],[Progression]]</f>
        <v>45070</v>
      </c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</row>
    <row r="152" spans="2:72" x14ac:dyDescent="0.3">
      <c r="B152" s="3" t="str">
        <f>TabProjet[[#This Row],[IDProj]] &amp; TabProjet[[#This Row],[Point]] &amp; TabProjet[[#This Row],[IDSubProj]]</f>
        <v>5.13</v>
      </c>
      <c r="C152" s="99"/>
      <c r="D152" s="99">
        <f>IF(ISNUMBER($D151),IF(TabProjet[[#This Row],[Is Project]] &lt;&gt;"",$D151+1,$D151),1)</f>
        <v>5</v>
      </c>
      <c r="E152" s="99" t="str">
        <f>IF(TabProjet[[#This Row],[Is Project]] &lt;&gt; "","",".")</f>
        <v>.</v>
      </c>
      <c r="F152" s="99">
        <f>IFERROR(IF(TabProjet[[#This Row],[Is Project]]= "",$F151+1,""),1)</f>
        <v>13</v>
      </c>
      <c r="G152" s="68" t="s">
        <v>335</v>
      </c>
      <c r="H152" s="69" t="s">
        <v>539</v>
      </c>
      <c r="I152" s="70">
        <v>4</v>
      </c>
      <c r="J152" s="70" t="s">
        <v>16</v>
      </c>
      <c r="K152" s="71" t="s">
        <v>336</v>
      </c>
      <c r="L152" s="74">
        <v>45070</v>
      </c>
      <c r="M152" s="75">
        <v>8</v>
      </c>
      <c r="N152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45082</v>
      </c>
      <c r="O152" s="17">
        <v>0</v>
      </c>
      <c r="P152" s="67">
        <f>TabProjet[[#This Row],[Début]]+(TabProjet[[#This Row],[Deadline]]-TabProjet[[#This Row],[Début]])*TabProjet[[#This Row],[Progression]]</f>
        <v>45070</v>
      </c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</row>
    <row r="153" spans="2:72" x14ac:dyDescent="0.3">
      <c r="B153" s="3" t="str">
        <f>TabProjet[[#This Row],[IDProj]] &amp; TabProjet[[#This Row],[Point]] &amp; TabProjet[[#This Row],[IDSubProj]]</f>
        <v>5.14</v>
      </c>
      <c r="C153" s="99"/>
      <c r="D153" s="99">
        <f>IF(ISNUMBER($D152),IF(TabProjet[[#This Row],[Is Project]] &lt;&gt;"",$D152+1,$D152),1)</f>
        <v>5</v>
      </c>
      <c r="E153" s="99" t="str">
        <f>IF(TabProjet[[#This Row],[Is Project]] &lt;&gt; "","",".")</f>
        <v>.</v>
      </c>
      <c r="F153" s="99">
        <f>IFERROR(IF(TabProjet[[#This Row],[Is Project]]= "",$F152+1,""),1)</f>
        <v>14</v>
      </c>
      <c r="G153" s="68" t="s">
        <v>187</v>
      </c>
      <c r="H153" s="69" t="s">
        <v>539</v>
      </c>
      <c r="I153" s="70" t="s">
        <v>337</v>
      </c>
      <c r="J153" s="70" t="s">
        <v>318</v>
      </c>
      <c r="K153" s="71"/>
      <c r="L153" s="74">
        <v>45083</v>
      </c>
      <c r="M153" s="75">
        <v>0</v>
      </c>
      <c r="N153" s="6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45083</v>
      </c>
      <c r="O153" s="17">
        <v>0</v>
      </c>
      <c r="P153" s="67">
        <f>TabProjet[[#This Row],[Début]]+(TabProjet[[#This Row],[Deadline]]-TabProjet[[#This Row],[Début]])*TabProjet[[#This Row],[Progression]]</f>
        <v>45083</v>
      </c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</row>
  </sheetData>
  <sheetProtection sheet="1" formatCells="0" formatColumns="0" formatRows="0" insertColumns="0" insertRows="0" insertHyperlinks="0" deleteRows="0" sort="0" autoFilter="0" pivotTables="0"/>
  <mergeCells count="11">
    <mergeCell ref="R2:W2"/>
    <mergeCell ref="R3:W3"/>
    <mergeCell ref="AI4:AM4"/>
    <mergeCell ref="H1:I1"/>
    <mergeCell ref="H2:I2"/>
    <mergeCell ref="X1:AB1"/>
    <mergeCell ref="X2:AB2"/>
    <mergeCell ref="X3:AB3"/>
    <mergeCell ref="L1:M1"/>
    <mergeCell ref="L2:M2"/>
    <mergeCell ref="R1:W1"/>
  </mergeCells>
  <phoneticPr fontId="1" type="noConversion"/>
  <conditionalFormatting sqref="B14:N153">
    <cfRule type="expression" dxfId="13" priority="15" stopIfTrue="1">
      <formula>$C14&lt;&gt;""</formula>
    </cfRule>
  </conditionalFormatting>
  <conditionalFormatting sqref="Q14:BT153">
    <cfRule type="expression" dxfId="8" priority="14" stopIfTrue="1">
      <formula>AND(Q$9&gt;=$L14, $L14 &lt;&gt; "", Q$9&lt;=$P14, $O14 &lt;&gt; 0, $H14 ="TODO")</formula>
    </cfRule>
    <cfRule type="expression" dxfId="7" priority="16" stopIfTrue="1">
      <formula>AND(Q$9&gt;=$L14, $L14 &lt;&gt; "", Q$9 &lt;= $N14, $N14 &lt;&gt; "", $H14 ="TODO")</formula>
    </cfRule>
    <cfRule type="expression" dxfId="6" priority="12" stopIfTrue="1">
      <formula>AND(Q$9&gt;=$L14, $L14 &lt;&gt; "", Q$9&lt;=$P14, $O14 &lt;&gt; 0, $H14 ="En progress")</formula>
    </cfRule>
    <cfRule type="expression" dxfId="5" priority="17" stopIfTrue="1">
      <formula>AND(Q$9&gt;=$L14, $L14 &lt;&gt; "", Q$9 &lt;= $N14, $N14 &lt;&gt; "", $H14 ="En progress")</formula>
    </cfRule>
    <cfRule type="expression" dxfId="4" priority="10" stopIfTrue="1">
      <formula>AND(Q$9&gt;=$L14, $L14 &lt;&gt; "", Q$9&lt;=$P14, $O14 &lt;&gt; 0, $H14 ="In Hold")</formula>
    </cfRule>
    <cfRule type="expression" dxfId="3" priority="18" stopIfTrue="1">
      <formula>AND(Q$9&gt;=$L14, $L14 &lt;&gt; "", Q$9 &lt;= $N14, $N14 &lt;&gt; "", $H14 ="In Hold")</formula>
    </cfRule>
    <cfRule type="expression" dxfId="2" priority="8" stopIfTrue="1">
      <formula>AND(Q$9&gt;=$L14, $L14 &lt;&gt; "", Q$9&lt;=$P14, $O14 &lt;&gt; 0, $H14 ="Done")</formula>
    </cfRule>
    <cfRule type="expression" dxfId="1" priority="19" stopIfTrue="1">
      <formula>AND(Q$9&gt;=$L14, $L14 &lt;&gt; "", Q$9 &lt;= $N14, $N14 &lt;&gt; "", $H14 ="Done")</formula>
    </cfRule>
    <cfRule type="expression" dxfId="0" priority="2">
      <formula>AND(TODAY()&gt;=Q$9,TODAY()&lt;R$9)</formula>
    </cfRule>
  </conditionalFormatting>
  <conditionalFormatting sqref="H14:H153">
    <cfRule type="expression" dxfId="12" priority="6">
      <formula>$H14="TODO"</formula>
    </cfRule>
    <cfRule type="expression" dxfId="11" priority="5">
      <formula>$H14="En progress"</formula>
    </cfRule>
    <cfRule type="expression" dxfId="10" priority="4">
      <formula>$H14="In Hold"</formula>
    </cfRule>
    <cfRule type="expression" dxfId="9" priority="3">
      <formula>$H14="Done"</formula>
    </cfRule>
  </conditionalFormatting>
  <conditionalFormatting sqref="O14:O153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{12F45AC1-D06A-45A1-B6E3-9315CA6E7D2D}</x14:id>
        </ext>
      </extLst>
    </cfRule>
  </conditionalFormatting>
  <dataValidations count="2">
    <dataValidation type="list" allowBlank="1" showInputMessage="1" showErrorMessage="1" sqref="H14:H153" xr:uid="{5290CA30-152B-4D77-AAAC-DFF26CD2A56B}">
      <formula1>INDIRECT("Tabtheme[Libellé]")</formula1>
    </dataValidation>
    <dataValidation type="list" allowBlank="1" showInputMessage="1" showErrorMessage="1" sqref="J14:J153" xr:uid="{0DA1CA69-676C-420D-BC88-889102F0F47D}">
      <formula1>INDIRECT("tabRessources[Nom]")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 macro="[0]!SwitchDaysWeeks" altText="Day">
                <anchor moveWithCells="1">
                  <from>
                    <xdr:col>45</xdr:col>
                    <xdr:colOff>60960</xdr:colOff>
                    <xdr:row>3</xdr:row>
                    <xdr:rowOff>106680</xdr:rowOff>
                  </from>
                  <to>
                    <xdr:col>47</xdr:col>
                    <xdr:colOff>38100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 macro="[0]!SwitchDaysWeeks">
                <anchor moveWithCells="1">
                  <from>
                    <xdr:col>48</xdr:col>
                    <xdr:colOff>0</xdr:colOff>
                    <xdr:row>3</xdr:row>
                    <xdr:rowOff>106680</xdr:rowOff>
                  </from>
                  <to>
                    <xdr:col>50</xdr:col>
                    <xdr:colOff>144780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 macro="[0]!SwitchDaysWeeks">
                <anchor moveWithCells="1">
                  <from>
                    <xdr:col>51</xdr:col>
                    <xdr:colOff>99060</xdr:colOff>
                    <xdr:row>3</xdr:row>
                    <xdr:rowOff>114300</xdr:rowOff>
                  </from>
                  <to>
                    <xdr:col>53</xdr:col>
                    <xdr:colOff>76200</xdr:colOff>
                    <xdr:row>3</xdr:row>
                    <xdr:rowOff>274320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F45AC1-D06A-45A1-B6E3-9315CA6E7D2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O14:O153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7C7A0-268A-4D97-9BFF-85A28C4AC968}">
  <sheetPr codeName="ShRessources">
    <tabColor theme="9" tint="0.39997558519241921"/>
  </sheetPr>
  <dimension ref="B1:M97"/>
  <sheetViews>
    <sheetView showGridLines="0" workbookViewId="0">
      <selection activeCell="C20" sqref="C20"/>
    </sheetView>
  </sheetViews>
  <sheetFormatPr baseColWidth="10" defaultColWidth="8.88671875" defaultRowHeight="14.4" x14ac:dyDescent="0.3"/>
  <cols>
    <col min="1" max="1" width="2.33203125" customWidth="1"/>
    <col min="2" max="2" width="7.33203125" customWidth="1"/>
    <col min="3" max="3" width="23.88671875" customWidth="1"/>
    <col min="4" max="4" width="30.88671875" customWidth="1"/>
    <col min="5" max="5" width="26.109375" customWidth="1"/>
    <col min="6" max="6" width="16.44140625" customWidth="1"/>
    <col min="7" max="7" width="16.5546875" customWidth="1"/>
    <col min="8" max="8" width="13.6640625" customWidth="1"/>
    <col min="9" max="9" width="12.88671875" customWidth="1"/>
    <col min="10" max="10" width="16.6640625" bestFit="1" customWidth="1"/>
    <col min="11" max="11" width="15.109375" customWidth="1"/>
    <col min="12" max="12" width="11.33203125" customWidth="1"/>
  </cols>
  <sheetData>
    <row r="1" spans="2:13" ht="18" customHeight="1" x14ac:dyDescent="0.3">
      <c r="C1" s="1"/>
      <c r="D1" s="1"/>
      <c r="K1" s="13" t="s">
        <v>95</v>
      </c>
      <c r="L1" s="133">
        <v>44893</v>
      </c>
      <c r="M1" s="133"/>
    </row>
    <row r="2" spans="2:13" ht="18" customHeight="1" x14ac:dyDescent="0.3">
      <c r="C2" s="1"/>
      <c r="D2" s="1"/>
      <c r="K2" s="13" t="s">
        <v>96</v>
      </c>
      <c r="L2" s="132"/>
      <c r="M2" s="132"/>
    </row>
    <row r="3" spans="2:13" ht="18" customHeight="1" thickBot="1" x14ac:dyDescent="0.35">
      <c r="C3" s="1"/>
      <c r="D3" s="1"/>
      <c r="K3" s="12" t="s">
        <v>97</v>
      </c>
      <c r="L3" s="131" t="s">
        <v>98</v>
      </c>
      <c r="M3" s="131"/>
    </row>
    <row r="4" spans="2:13" ht="28.95" customHeight="1" thickTop="1" thickBot="1" x14ac:dyDescent="0.35">
      <c r="B4" s="7"/>
      <c r="C4" s="7" t="s">
        <v>151</v>
      </c>
      <c r="D4" s="7"/>
      <c r="E4" s="7"/>
      <c r="F4" s="7"/>
      <c r="G4" s="7"/>
      <c r="H4" s="7"/>
      <c r="I4" s="7"/>
      <c r="J4" s="7"/>
      <c r="K4" s="7"/>
      <c r="L4" s="7"/>
      <c r="M4" s="7"/>
    </row>
    <row r="5" spans="2:13" ht="18.600000000000001" thickTop="1" x14ac:dyDescent="0.3">
      <c r="H5" s="134" t="s">
        <v>345</v>
      </c>
      <c r="I5" s="134"/>
      <c r="J5" s="78"/>
      <c r="K5" s="134" t="s">
        <v>346</v>
      </c>
      <c r="L5" s="134"/>
      <c r="M5" s="79"/>
    </row>
    <row r="6" spans="2:13" ht="14.4" customHeight="1" x14ac:dyDescent="0.3"/>
    <row r="7" spans="2:13" ht="19.95" customHeight="1" x14ac:dyDescent="0.3">
      <c r="B7" s="111" t="s">
        <v>0</v>
      </c>
      <c r="C7" s="111" t="s">
        <v>104</v>
      </c>
      <c r="D7" s="111" t="s">
        <v>105</v>
      </c>
      <c r="E7" s="111" t="s">
        <v>106</v>
      </c>
      <c r="F7" s="111" t="s">
        <v>107</v>
      </c>
      <c r="G7" s="112" t="s">
        <v>338</v>
      </c>
      <c r="H7" s="112" t="s">
        <v>339</v>
      </c>
      <c r="I7" s="112" t="s">
        <v>340</v>
      </c>
      <c r="J7" s="112" t="s">
        <v>341</v>
      </c>
      <c r="K7" s="112" t="s">
        <v>342</v>
      </c>
      <c r="L7" s="112" t="s">
        <v>343</v>
      </c>
      <c r="M7" s="112" t="s">
        <v>344</v>
      </c>
    </row>
    <row r="8" spans="2:13" ht="18" hidden="1" customHeight="1" x14ac:dyDescent="0.3">
      <c r="B8" s="11" t="s">
        <v>0</v>
      </c>
      <c r="C8" s="11" t="s">
        <v>104</v>
      </c>
      <c r="D8" s="11" t="s">
        <v>105</v>
      </c>
      <c r="E8" s="11" t="s">
        <v>106</v>
      </c>
      <c r="F8" s="11" t="s">
        <v>107</v>
      </c>
      <c r="G8" s="55" t="s">
        <v>338</v>
      </c>
      <c r="H8" s="55" t="s">
        <v>339</v>
      </c>
      <c r="I8" s="55" t="s">
        <v>340</v>
      </c>
      <c r="J8" s="55" t="s">
        <v>341</v>
      </c>
      <c r="K8" s="55" t="s">
        <v>342</v>
      </c>
      <c r="L8" s="55" t="s">
        <v>343</v>
      </c>
      <c r="M8" s="55" t="s">
        <v>344</v>
      </c>
    </row>
    <row r="9" spans="2:13" ht="18" customHeight="1" x14ac:dyDescent="0.3">
      <c r="B9" s="3">
        <v>1</v>
      </c>
      <c r="C9" s="10" t="s">
        <v>108</v>
      </c>
      <c r="D9" s="10" t="s">
        <v>109</v>
      </c>
      <c r="E9" s="10" t="s">
        <v>110</v>
      </c>
      <c r="F9" s="10"/>
      <c r="G9" s="76">
        <v>1</v>
      </c>
      <c r="H9" s="66">
        <v>44284</v>
      </c>
      <c r="I9" s="66">
        <v>44592</v>
      </c>
      <c r="J9" s="77">
        <f>(NETWORKDAYS(TabRessources[[#This Row],[De]],TabRessources[[#This Row],[A]])-TabRessources[[#This Row],[Congés]])*TabRessources[[#This Row],[Disponibilité (%)]]</f>
        <v>201</v>
      </c>
      <c r="K9" s="3">
        <f>SUMIF(TabProjet[Attribuée à],TabRessources[[#This Row],[Nom]],TabProjet[Charge en J])</f>
        <v>89</v>
      </c>
      <c r="L9" s="76">
        <f>TabRessources[[#This Row],[Jours planifiés]]/TabRessources[[#This Row],[Dispo en jours]]</f>
        <v>0.44278606965174128</v>
      </c>
      <c r="M9" s="3">
        <v>20</v>
      </c>
    </row>
    <row r="10" spans="2:13" ht="18" customHeight="1" x14ac:dyDescent="0.3">
      <c r="B10" s="3">
        <v>2</v>
      </c>
      <c r="C10" s="10" t="s">
        <v>11</v>
      </c>
      <c r="D10" s="10" t="s">
        <v>111</v>
      </c>
      <c r="E10" s="10" t="s">
        <v>112</v>
      </c>
      <c r="F10" s="10"/>
      <c r="G10" s="76">
        <v>0.2</v>
      </c>
      <c r="H10" s="66">
        <v>44284</v>
      </c>
      <c r="I10" s="66">
        <v>44592</v>
      </c>
      <c r="J10" s="77">
        <f>(NETWORKDAYS(TabRessources[[#This Row],[De]],TabRessources[[#This Row],[A]])-TabRessources[[#This Row],[Congés]])*TabRessources[[#This Row],[Disponibilité (%)]]</f>
        <v>43.2</v>
      </c>
      <c r="K10" s="3">
        <f>SUMIF(TabProjet[Attribuée à],TabRessources[[#This Row],[Nom]],TabProjet[Charge en J])</f>
        <v>0</v>
      </c>
      <c r="L10" s="76">
        <f>TabRessources[[#This Row],[Jours planifiés]]/TabRessources[[#This Row],[Dispo en jours]]</f>
        <v>0</v>
      </c>
      <c r="M10" s="3">
        <v>5</v>
      </c>
    </row>
    <row r="11" spans="2:13" ht="18" customHeight="1" x14ac:dyDescent="0.3">
      <c r="B11" s="3">
        <v>3</v>
      </c>
      <c r="C11" s="10" t="s">
        <v>24</v>
      </c>
      <c r="D11" s="10" t="s">
        <v>113</v>
      </c>
      <c r="E11" s="10" t="s">
        <v>114</v>
      </c>
      <c r="F11" s="10"/>
      <c r="G11" s="76">
        <v>1</v>
      </c>
      <c r="H11" s="66">
        <v>44284</v>
      </c>
      <c r="I11" s="66">
        <v>44592</v>
      </c>
      <c r="J11" s="77">
        <f>(NETWORKDAYS(TabRessources[[#This Row],[De]],TabRessources[[#This Row],[A]])-TabRessources[[#This Row],[Congés]])*TabRessources[[#This Row],[Disponibilité (%)]]</f>
        <v>211</v>
      </c>
      <c r="K11" s="3">
        <f>SUMIF(TabProjet[Attribuée à],TabRessources[[#This Row],[Nom]],TabProjet[Charge en J])</f>
        <v>189</v>
      </c>
      <c r="L11" s="76">
        <f>TabRessources[[#This Row],[Jours planifiés]]/TabRessources[[#This Row],[Dispo en jours]]</f>
        <v>0.89573459715639814</v>
      </c>
      <c r="M11" s="3">
        <v>10</v>
      </c>
    </row>
    <row r="12" spans="2:13" ht="18" customHeight="1" x14ac:dyDescent="0.3">
      <c r="B12" s="3">
        <v>4</v>
      </c>
      <c r="C12" s="10" t="s">
        <v>115</v>
      </c>
      <c r="D12" s="10" t="s">
        <v>116</v>
      </c>
      <c r="E12" s="10" t="s">
        <v>117</v>
      </c>
      <c r="F12" s="10"/>
      <c r="G12" s="76">
        <v>1</v>
      </c>
      <c r="H12" s="66">
        <v>44298</v>
      </c>
      <c r="I12" s="66">
        <v>44576</v>
      </c>
      <c r="J12" s="77">
        <f>(NETWORKDAYS(TabRessources[[#This Row],[De]],TabRessources[[#This Row],[A]])-TabRessources[[#This Row],[Congés]])*TabRessources[[#This Row],[Disponibilité (%)]]</f>
        <v>190</v>
      </c>
      <c r="K12" s="3">
        <f>SUMIF(TabProjet[Attribuée à],TabRessources[[#This Row],[Nom]],TabProjet[Charge en J])</f>
        <v>189</v>
      </c>
      <c r="L12" s="76">
        <f>TabRessources[[#This Row],[Jours planifiés]]/TabRessources[[#This Row],[Dispo en jours]]</f>
        <v>0.99473684210526314</v>
      </c>
      <c r="M12" s="3">
        <v>10</v>
      </c>
    </row>
    <row r="13" spans="2:13" ht="18" customHeight="1" x14ac:dyDescent="0.3">
      <c r="B13" s="3">
        <v>5</v>
      </c>
      <c r="C13" s="10" t="s">
        <v>14</v>
      </c>
      <c r="D13" s="10" t="s">
        <v>118</v>
      </c>
      <c r="E13" s="10" t="s">
        <v>119</v>
      </c>
      <c r="F13" s="10"/>
      <c r="G13" s="76">
        <v>1</v>
      </c>
      <c r="H13" s="66">
        <v>44298</v>
      </c>
      <c r="I13" s="66">
        <v>44576</v>
      </c>
      <c r="J13" s="77">
        <f>(NETWORKDAYS(TabRessources[[#This Row],[De]],TabRessources[[#This Row],[A]])-TabRessources[[#This Row],[Congés]])*TabRessources[[#This Row],[Disponibilité (%)]]</f>
        <v>185</v>
      </c>
      <c r="K13" s="3">
        <f>SUMIF(TabProjet[Attribuée à],TabRessources[[#This Row],[Nom]],TabProjet[Charge en J])</f>
        <v>189</v>
      </c>
      <c r="L13" s="76">
        <f>TabRessources[[#This Row],[Jours planifiés]]/TabRessources[[#This Row],[Dispo en jours]]</f>
        <v>1.0216216216216216</v>
      </c>
      <c r="M13" s="3">
        <v>15</v>
      </c>
    </row>
    <row r="14" spans="2:13" ht="18" customHeight="1" x14ac:dyDescent="0.3">
      <c r="B14" s="3">
        <v>6</v>
      </c>
      <c r="C14" s="10" t="s">
        <v>25</v>
      </c>
      <c r="D14" s="10" t="s">
        <v>120</v>
      </c>
      <c r="E14" s="10" t="s">
        <v>121</v>
      </c>
      <c r="F14" s="10"/>
      <c r="G14" s="76">
        <v>1</v>
      </c>
      <c r="H14" s="66">
        <v>44298</v>
      </c>
      <c r="I14" s="66">
        <v>44576</v>
      </c>
      <c r="J14" s="77">
        <f>(NETWORKDAYS(TabRessources[[#This Row],[De]],TabRessources[[#This Row],[A]])-TabRessources[[#This Row],[Congés]])*TabRessources[[#This Row],[Disponibilité (%)]]</f>
        <v>200</v>
      </c>
      <c r="K14" s="3">
        <f>SUMIF(TabProjet[Attribuée à],TabRessources[[#This Row],[Nom]],TabProjet[Charge en J])</f>
        <v>186</v>
      </c>
      <c r="L14" s="76">
        <f>TabRessources[[#This Row],[Jours planifiés]]/TabRessources[[#This Row],[Dispo en jours]]</f>
        <v>0.93</v>
      </c>
      <c r="M14" s="3">
        <v>0</v>
      </c>
    </row>
    <row r="15" spans="2:13" ht="18" customHeight="1" x14ac:dyDescent="0.3">
      <c r="B15" s="3">
        <v>7</v>
      </c>
      <c r="C15" s="10" t="s">
        <v>13</v>
      </c>
      <c r="D15" s="10" t="s">
        <v>122</v>
      </c>
      <c r="E15" s="10" t="s">
        <v>123</v>
      </c>
      <c r="F15" s="10"/>
      <c r="G15" s="76">
        <v>1</v>
      </c>
      <c r="H15" s="66">
        <v>44298</v>
      </c>
      <c r="I15" s="66">
        <v>44576</v>
      </c>
      <c r="J15" s="77">
        <f>(NETWORKDAYS(TabRessources[[#This Row],[De]],TabRessources[[#This Row],[A]])-TabRessources[[#This Row],[Congés]])*TabRessources[[#This Row],[Disponibilité (%)]]</f>
        <v>200</v>
      </c>
      <c r="K15" s="3">
        <f>SUMIF(TabProjet[Attribuée à],TabRessources[[#This Row],[Nom]],TabProjet[Charge en J])</f>
        <v>189</v>
      </c>
      <c r="L15" s="76">
        <f>TabRessources[[#This Row],[Jours planifiés]]/TabRessources[[#This Row],[Dispo en jours]]</f>
        <v>0.94499999999999995</v>
      </c>
      <c r="M15" s="3">
        <v>0</v>
      </c>
    </row>
    <row r="16" spans="2:13" ht="18" customHeight="1" x14ac:dyDescent="0.3">
      <c r="B16" s="3">
        <v>8</v>
      </c>
      <c r="C16" s="10" t="s">
        <v>16</v>
      </c>
      <c r="D16" s="10" t="s">
        <v>124</v>
      </c>
      <c r="E16" s="10" t="s">
        <v>125</v>
      </c>
      <c r="F16" s="10"/>
      <c r="G16" s="76">
        <v>0.15</v>
      </c>
      <c r="H16" s="66">
        <v>44284</v>
      </c>
      <c r="I16" s="66">
        <v>44592</v>
      </c>
      <c r="J16" s="77">
        <f>(NETWORKDAYS(TabRessources[[#This Row],[De]],TabRessources[[#This Row],[A]])-TabRessources[[#This Row],[Congés]])*TabRessources[[#This Row],[Disponibilité (%)]]</f>
        <v>33.15</v>
      </c>
      <c r="K16" s="3">
        <f>SUMIF(TabProjet[Attribuée à],TabRessources[[#This Row],[Nom]],TabProjet[Charge en J])</f>
        <v>33</v>
      </c>
      <c r="L16" s="76">
        <f>TabRessources[[#This Row],[Jours planifiés]]/TabRessources[[#This Row],[Dispo en jours]]</f>
        <v>0.99547511312217196</v>
      </c>
      <c r="M16" s="3">
        <v>0</v>
      </c>
    </row>
    <row r="17" spans="2:13" ht="18" customHeight="1" x14ac:dyDescent="0.3">
      <c r="B17" s="3">
        <v>9</v>
      </c>
      <c r="C17" s="10" t="s">
        <v>12</v>
      </c>
      <c r="D17" s="10" t="s">
        <v>126</v>
      </c>
      <c r="E17" s="10" t="s">
        <v>127</v>
      </c>
      <c r="F17" s="10"/>
      <c r="G17" s="76">
        <v>1</v>
      </c>
      <c r="H17" s="66">
        <v>44331</v>
      </c>
      <c r="I17" s="66">
        <v>44592</v>
      </c>
      <c r="J17" s="77">
        <f>(NETWORKDAYS(TabRessources[[#This Row],[De]],TabRessources[[#This Row],[A]])-TabRessources[[#This Row],[Congés]])*TabRessources[[#This Row],[Disponibilité (%)]]</f>
        <v>186</v>
      </c>
      <c r="K17" s="3">
        <f>SUMIF(TabProjet[Attribuée à],TabRessources[[#This Row],[Nom]],TabProjet[Charge en J])</f>
        <v>33</v>
      </c>
      <c r="L17" s="76">
        <f>TabRessources[[#This Row],[Jours planifiés]]/TabRessources[[#This Row],[Dispo en jours]]</f>
        <v>0.17741935483870969</v>
      </c>
      <c r="M17" s="3">
        <v>0</v>
      </c>
    </row>
    <row r="18" spans="2:13" ht="18" customHeight="1" x14ac:dyDescent="0.3">
      <c r="B18" s="3">
        <v>10</v>
      </c>
      <c r="C18" s="10" t="s">
        <v>26</v>
      </c>
      <c r="D18" s="10" t="s">
        <v>128</v>
      </c>
      <c r="E18" s="10" t="s">
        <v>129</v>
      </c>
      <c r="F18" s="10"/>
      <c r="G18" s="76">
        <v>1</v>
      </c>
      <c r="H18" s="66">
        <v>44378</v>
      </c>
      <c r="I18" s="66">
        <v>44576</v>
      </c>
      <c r="J18" s="77">
        <f>(NETWORKDAYS(TabRessources[[#This Row],[De]],TabRessources[[#This Row],[A]])-TabRessources[[#This Row],[Congés]])*TabRessources[[#This Row],[Disponibilité (%)]]</f>
        <v>142</v>
      </c>
      <c r="K18" s="3">
        <f>SUMIF(TabProjet[Attribuée à],TabRessources[[#This Row],[Nom]],TabProjet[Charge en J])</f>
        <v>124</v>
      </c>
      <c r="L18" s="76">
        <f>TabRessources[[#This Row],[Jours planifiés]]/TabRessources[[#This Row],[Dispo en jours]]</f>
        <v>0.87323943661971826</v>
      </c>
      <c r="M18" s="3">
        <v>0</v>
      </c>
    </row>
    <row r="19" spans="2:13" ht="18" customHeight="1" x14ac:dyDescent="0.3">
      <c r="B19" s="3">
        <v>11</v>
      </c>
      <c r="C19" s="10" t="s">
        <v>22</v>
      </c>
      <c r="D19" s="10" t="s">
        <v>130</v>
      </c>
      <c r="E19" s="10" t="s">
        <v>131</v>
      </c>
      <c r="F19" s="10"/>
      <c r="G19" s="76">
        <v>1</v>
      </c>
      <c r="H19" s="66">
        <v>44378</v>
      </c>
      <c r="I19" s="66">
        <v>44576</v>
      </c>
      <c r="J19" s="77">
        <f>(NETWORKDAYS(TabRessources[[#This Row],[De]],TabRessources[[#This Row],[A]])-TabRessources[[#This Row],[Congés]])*TabRessources[[#This Row],[Disponibilité (%)]]</f>
        <v>142</v>
      </c>
      <c r="K19" s="3">
        <f>SUMIF(TabProjet[Attribuée à],TabRessources[[#This Row],[Nom]],TabProjet[Charge en J])</f>
        <v>124</v>
      </c>
      <c r="L19" s="76">
        <f>TabRessources[[#This Row],[Jours planifiés]]/TabRessources[[#This Row],[Dispo en jours]]</f>
        <v>0.87323943661971826</v>
      </c>
      <c r="M19" s="3">
        <v>0</v>
      </c>
    </row>
    <row r="20" spans="2:13" ht="18" customHeight="1" x14ac:dyDescent="0.3">
      <c r="B20" s="3">
        <v>12</v>
      </c>
      <c r="C20" s="10" t="s">
        <v>15</v>
      </c>
      <c r="D20" s="10" t="s">
        <v>132</v>
      </c>
      <c r="E20" s="10" t="s">
        <v>133</v>
      </c>
      <c r="F20" s="10"/>
      <c r="G20" s="76">
        <v>1</v>
      </c>
      <c r="H20" s="66">
        <v>44378</v>
      </c>
      <c r="I20" s="66">
        <v>44576</v>
      </c>
      <c r="J20" s="77">
        <f>(NETWORKDAYS(TabRessources[[#This Row],[De]],TabRessources[[#This Row],[A]])-TabRessources[[#This Row],[Congés]])*TabRessources[[#This Row],[Disponibilité (%)]]</f>
        <v>142</v>
      </c>
      <c r="K20" s="3">
        <f>SUMIF(TabProjet[Attribuée à],TabRessources[[#This Row],[Nom]],TabProjet[Charge en J])</f>
        <v>124</v>
      </c>
      <c r="L20" s="76">
        <f>TabRessources[[#This Row],[Jours planifiés]]/TabRessources[[#This Row],[Dispo en jours]]</f>
        <v>0.87323943661971826</v>
      </c>
      <c r="M20" s="3">
        <v>0</v>
      </c>
    </row>
    <row r="21" spans="2:13" ht="18" customHeight="1" x14ac:dyDescent="0.3">
      <c r="B21" s="3">
        <v>13</v>
      </c>
      <c r="C21" s="10" t="s">
        <v>134</v>
      </c>
      <c r="D21" s="10" t="s">
        <v>132</v>
      </c>
      <c r="E21" s="10" t="s">
        <v>135</v>
      </c>
      <c r="F21" s="10"/>
      <c r="G21" s="76">
        <v>1</v>
      </c>
      <c r="H21" s="66">
        <v>44378</v>
      </c>
      <c r="I21" s="66">
        <v>44576</v>
      </c>
      <c r="J21" s="77">
        <f>(NETWORKDAYS(TabRessources[[#This Row],[De]],TabRessources[[#This Row],[A]])-TabRessources[[#This Row],[Congés]])*TabRessources[[#This Row],[Disponibilité (%)]]</f>
        <v>142</v>
      </c>
      <c r="K21" s="3">
        <f>SUMIF(TabProjet[Attribuée à],TabRessources[[#This Row],[Nom]],TabProjet[Charge en J])</f>
        <v>124</v>
      </c>
      <c r="L21" s="76">
        <f>TabRessources[[#This Row],[Jours planifiés]]/TabRessources[[#This Row],[Dispo en jours]]</f>
        <v>0.87323943661971826</v>
      </c>
      <c r="M21" s="3">
        <v>0</v>
      </c>
    </row>
    <row r="22" spans="2:13" ht="18" customHeight="1" x14ac:dyDescent="0.3">
      <c r="B22" s="3">
        <v>14</v>
      </c>
      <c r="C22" s="10" t="s">
        <v>21</v>
      </c>
      <c r="D22" s="10" t="s">
        <v>136</v>
      </c>
      <c r="E22" s="10" t="s">
        <v>137</v>
      </c>
      <c r="F22" s="10"/>
      <c r="G22" s="76">
        <v>1</v>
      </c>
      <c r="H22" s="66">
        <v>44378</v>
      </c>
      <c r="I22" s="66">
        <v>44576</v>
      </c>
      <c r="J22" s="77">
        <f>(NETWORKDAYS(TabRessources[[#This Row],[De]],TabRessources[[#This Row],[A]])-TabRessources[[#This Row],[Congés]])*TabRessources[[#This Row],[Disponibilité (%)]]</f>
        <v>142</v>
      </c>
      <c r="K22" s="3">
        <f>SUMIF(TabProjet[Attribuée à],TabRessources[[#This Row],[Nom]],TabProjet[Charge en J])</f>
        <v>124</v>
      </c>
      <c r="L22" s="76">
        <f>TabRessources[[#This Row],[Jours planifiés]]/TabRessources[[#This Row],[Dispo en jours]]</f>
        <v>0.87323943661971826</v>
      </c>
      <c r="M22" s="3">
        <v>0</v>
      </c>
    </row>
    <row r="23" spans="2:13" ht="18" customHeight="1" x14ac:dyDescent="0.3">
      <c r="B23" s="3">
        <v>15</v>
      </c>
      <c r="C23" s="10" t="s">
        <v>23</v>
      </c>
      <c r="D23" s="10" t="s">
        <v>136</v>
      </c>
      <c r="E23" s="10" t="s">
        <v>138</v>
      </c>
      <c r="F23" s="10"/>
      <c r="G23" s="76">
        <v>1</v>
      </c>
      <c r="H23" s="66">
        <v>44378</v>
      </c>
      <c r="I23" s="66">
        <v>44576</v>
      </c>
      <c r="J23" s="77">
        <f>(NETWORKDAYS(TabRessources[[#This Row],[De]],TabRessources[[#This Row],[A]])-TabRessources[[#This Row],[Congés]])*TabRessources[[#This Row],[Disponibilité (%)]]</f>
        <v>142</v>
      </c>
      <c r="K23" s="3">
        <f>SUMIF(TabProjet[Attribuée à],TabRessources[[#This Row],[Nom]],TabProjet[Charge en J])</f>
        <v>124</v>
      </c>
      <c r="L23" s="76">
        <f>TabRessources[[#This Row],[Jours planifiés]]/TabRessources[[#This Row],[Dispo en jours]]</f>
        <v>0.87323943661971826</v>
      </c>
      <c r="M23" s="3">
        <v>0</v>
      </c>
    </row>
    <row r="24" spans="2:13" ht="18" customHeight="1" x14ac:dyDescent="0.3">
      <c r="B24" s="3">
        <v>16</v>
      </c>
      <c r="C24" s="10" t="s">
        <v>20</v>
      </c>
      <c r="D24" s="10" t="s">
        <v>139</v>
      </c>
      <c r="E24" s="10" t="s">
        <v>140</v>
      </c>
      <c r="F24" s="10"/>
      <c r="G24" s="76">
        <v>1</v>
      </c>
      <c r="H24" s="66">
        <v>44378</v>
      </c>
      <c r="I24" s="66">
        <v>44576</v>
      </c>
      <c r="J24" s="77">
        <f>(NETWORKDAYS(TabRessources[[#This Row],[De]],TabRessources[[#This Row],[A]])-TabRessources[[#This Row],[Congés]])*TabRessources[[#This Row],[Disponibilité (%)]]</f>
        <v>142</v>
      </c>
      <c r="K24" s="3">
        <f>SUMIF(TabProjet[Attribuée à],TabRessources[[#This Row],[Nom]],TabProjet[Charge en J])</f>
        <v>124</v>
      </c>
      <c r="L24" s="76">
        <f>TabRessources[[#This Row],[Jours planifiés]]/TabRessources[[#This Row],[Dispo en jours]]</f>
        <v>0.87323943661971826</v>
      </c>
      <c r="M24" s="3">
        <v>0</v>
      </c>
    </row>
    <row r="25" spans="2:13" ht="18" customHeight="1" x14ac:dyDescent="0.3">
      <c r="B25" s="3">
        <v>17</v>
      </c>
      <c r="C25" s="10" t="s">
        <v>18</v>
      </c>
      <c r="D25" s="10" t="s">
        <v>139</v>
      </c>
      <c r="E25" s="10" t="s">
        <v>141</v>
      </c>
      <c r="F25" s="10"/>
      <c r="G25" s="76">
        <v>1</v>
      </c>
      <c r="H25" s="66">
        <v>44378</v>
      </c>
      <c r="I25" s="66">
        <v>44576</v>
      </c>
      <c r="J25" s="77">
        <f>(NETWORKDAYS(TabRessources[[#This Row],[De]],TabRessources[[#This Row],[A]])-TabRessources[[#This Row],[Congés]])*TabRessources[[#This Row],[Disponibilité (%)]]</f>
        <v>142</v>
      </c>
      <c r="K25" s="3">
        <f>SUMIF(TabProjet[Attribuée à],TabRessources[[#This Row],[Nom]],TabProjet[Charge en J])</f>
        <v>124</v>
      </c>
      <c r="L25" s="76">
        <f>TabRessources[[#This Row],[Jours planifiés]]/TabRessources[[#This Row],[Dispo en jours]]</f>
        <v>0.87323943661971826</v>
      </c>
      <c r="M25" s="3">
        <v>0</v>
      </c>
    </row>
    <row r="26" spans="2:13" ht="18" customHeight="1" x14ac:dyDescent="0.3">
      <c r="B26" s="3">
        <v>18</v>
      </c>
      <c r="C26" s="10" t="s">
        <v>142</v>
      </c>
      <c r="D26" s="10" t="s">
        <v>145</v>
      </c>
      <c r="E26" s="10" t="s">
        <v>144</v>
      </c>
      <c r="F26" s="10"/>
      <c r="G26" s="76">
        <v>0.75</v>
      </c>
      <c r="H26" s="66">
        <v>44317</v>
      </c>
      <c r="I26" s="66">
        <v>44576</v>
      </c>
      <c r="J26" s="77">
        <f>(NETWORKDAYS(TabRessources[[#This Row],[De]],TabRessources[[#This Row],[A]])-TabRessources[[#This Row],[Congés]])*TabRessources[[#This Row],[Disponibilité (%)]]</f>
        <v>138.75</v>
      </c>
      <c r="K26" s="3">
        <f>SUMIF(TabProjet[Attribuée à],TabRessources[[#This Row],[Nom]],TabProjet[Charge en J])</f>
        <v>146</v>
      </c>
      <c r="L26" s="76">
        <f>TabRessources[[#This Row],[Jours planifiés]]/TabRessources[[#This Row],[Dispo en jours]]</f>
        <v>1.0522522522522522</v>
      </c>
      <c r="M26" s="3">
        <v>0</v>
      </c>
    </row>
    <row r="27" spans="2:13" ht="18" customHeight="1" x14ac:dyDescent="0.3">
      <c r="B27" s="3">
        <v>19</v>
      </c>
      <c r="C27" s="10" t="s">
        <v>19</v>
      </c>
      <c r="D27" s="10" t="s">
        <v>145</v>
      </c>
      <c r="E27" s="10" t="s">
        <v>146</v>
      </c>
      <c r="F27" s="10"/>
      <c r="G27" s="76">
        <v>0.75</v>
      </c>
      <c r="H27" s="66">
        <v>44317</v>
      </c>
      <c r="I27" s="66">
        <v>44576</v>
      </c>
      <c r="J27" s="77">
        <f>(NETWORKDAYS(TabRessources[[#This Row],[De]],TabRessources[[#This Row],[A]])-TabRessources[[#This Row],[Congés]])*TabRessources[[#This Row],[Disponibilité (%)]]</f>
        <v>138.75</v>
      </c>
      <c r="K27" s="3">
        <f>SUMIF(TabProjet[Attribuée à],TabRessources[[#This Row],[Nom]],TabProjet[Charge en J])</f>
        <v>146</v>
      </c>
      <c r="L27" s="76">
        <f>TabRessources[[#This Row],[Jours planifiés]]/TabRessources[[#This Row],[Dispo en jours]]</f>
        <v>1.0522522522522522</v>
      </c>
      <c r="M27" s="3">
        <v>0</v>
      </c>
    </row>
    <row r="28" spans="2:13" ht="18" customHeight="1" x14ac:dyDescent="0.3">
      <c r="B28" s="3">
        <v>20</v>
      </c>
      <c r="C28" s="10" t="s">
        <v>17</v>
      </c>
      <c r="D28" s="10" t="s">
        <v>147</v>
      </c>
      <c r="E28" s="10" t="s">
        <v>148</v>
      </c>
      <c r="F28" s="10"/>
      <c r="G28" s="76">
        <v>0.9</v>
      </c>
      <c r="H28" s="66">
        <v>44378</v>
      </c>
      <c r="I28" s="66">
        <v>44561</v>
      </c>
      <c r="J28" s="77">
        <f>(NETWORKDAYS(TabRessources[[#This Row],[De]],TabRessources[[#This Row],[A]])-TabRessources[[#This Row],[Congés]])*TabRessources[[#This Row],[Disponibilité (%)]]</f>
        <v>118.8</v>
      </c>
      <c r="K28" s="3">
        <f>SUMIF(TabProjet[Attribuée à],TabRessources[[#This Row],[Nom]],TabProjet[Charge en J])</f>
        <v>108</v>
      </c>
      <c r="L28" s="76">
        <f>TabRessources[[#This Row],[Jours planifiés]]/TabRessources[[#This Row],[Dispo en jours]]</f>
        <v>0.90909090909090906</v>
      </c>
      <c r="M28" s="3">
        <v>0</v>
      </c>
    </row>
    <row r="29" spans="2:13" ht="18" customHeight="1" x14ac:dyDescent="0.3">
      <c r="B29" s="3">
        <v>21</v>
      </c>
      <c r="C29" s="10" t="s">
        <v>149</v>
      </c>
      <c r="D29" s="10" t="s">
        <v>150</v>
      </c>
      <c r="E29" s="10"/>
      <c r="F29" s="10"/>
      <c r="G29" s="76">
        <v>0.6</v>
      </c>
      <c r="H29" s="66">
        <v>44409</v>
      </c>
      <c r="I29" s="66">
        <v>44576</v>
      </c>
      <c r="J29" s="77">
        <f>(NETWORKDAYS(TabRessources[[#This Row],[De]],TabRessources[[#This Row],[A]])-TabRessources[[#This Row],[Congés]])*TabRessources[[#This Row],[Disponibilité (%)]]</f>
        <v>72</v>
      </c>
      <c r="K29" s="3">
        <f>SUMIF(TabProjet[Attribuée à],TabRessources[[#This Row],[Nom]],TabProjet[Charge en J])</f>
        <v>69</v>
      </c>
      <c r="L29" s="76">
        <f>TabRessources[[#This Row],[Jours planifiés]]/TabRessources[[#This Row],[Dispo en jours]]</f>
        <v>0.95833333333333337</v>
      </c>
      <c r="M29" s="3">
        <v>0</v>
      </c>
    </row>
    <row r="30" spans="2:13" ht="18" customHeight="1" x14ac:dyDescent="0.3"/>
    <row r="31" spans="2:13" ht="18" customHeight="1" x14ac:dyDescent="0.3"/>
    <row r="32" spans="2:13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</sheetData>
  <mergeCells count="5">
    <mergeCell ref="L3:M3"/>
    <mergeCell ref="L2:M2"/>
    <mergeCell ref="L1:M1"/>
    <mergeCell ref="H5:I5"/>
    <mergeCell ref="K5:L5"/>
  </mergeCells>
  <conditionalFormatting sqref="K9:L29">
    <cfRule type="expression" dxfId="62" priority="4" stopIfTrue="1">
      <formula>AND($L9&lt;=1.0049,$L9&gt;=0.9951)</formula>
    </cfRule>
    <cfRule type="expression" dxfId="61" priority="5">
      <formula>$L9 &gt; 1</formula>
    </cfRule>
    <cfRule type="expression" dxfId="60" priority="6">
      <formula>$L9&lt;1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DBDC-446C-445C-92DB-CD270F969EF7}">
  <sheetPr codeName="ShSettings">
    <tabColor rgb="FF7030A0"/>
  </sheetPr>
  <dimension ref="B1:AP21"/>
  <sheetViews>
    <sheetView showGridLines="0" workbookViewId="0">
      <selection activeCell="M4" sqref="M4"/>
    </sheetView>
  </sheetViews>
  <sheetFormatPr baseColWidth="10" defaultColWidth="8.88671875" defaultRowHeight="14.4" x14ac:dyDescent="0.3"/>
  <cols>
    <col min="1" max="1" width="2.6640625" customWidth="1"/>
    <col min="2" max="2" width="17.44140625" customWidth="1"/>
    <col min="3" max="3" width="22.5546875" bestFit="1" customWidth="1"/>
    <col min="4" max="4" width="23.109375" bestFit="1" customWidth="1"/>
    <col min="5" max="5" width="7.88671875" customWidth="1"/>
    <col min="6" max="6" width="25.6640625" customWidth="1"/>
    <col min="7" max="7" width="17.88671875" bestFit="1" customWidth="1"/>
    <col min="8" max="8" width="4.6640625" customWidth="1"/>
    <col min="9" max="9" width="7.6640625" customWidth="1"/>
    <col min="10" max="10" width="5.33203125" customWidth="1"/>
    <col min="11" max="11" width="6.109375" customWidth="1"/>
    <col min="12" max="12" width="3.88671875" customWidth="1"/>
    <col min="13" max="13" width="15.33203125" customWidth="1"/>
    <col min="14" max="14" width="26.109375" customWidth="1"/>
    <col min="15" max="15" width="6.6640625" customWidth="1"/>
    <col min="16" max="16" width="12.33203125" customWidth="1"/>
    <col min="17" max="17" width="3.6640625" customWidth="1"/>
    <col min="18" max="18" width="8.88671875" customWidth="1"/>
    <col min="19" max="19" width="15.33203125" customWidth="1"/>
  </cols>
  <sheetData>
    <row r="1" spans="2:42" ht="18" customHeight="1" x14ac:dyDescent="0.3">
      <c r="C1" s="1"/>
      <c r="D1" s="1"/>
      <c r="E1" s="1"/>
      <c r="F1" s="1"/>
      <c r="G1" s="1"/>
      <c r="H1" s="1"/>
      <c r="I1" s="1"/>
      <c r="J1" s="1"/>
      <c r="K1" s="1"/>
      <c r="L1" s="1"/>
      <c r="M1" s="13" t="s">
        <v>95</v>
      </c>
      <c r="N1" s="9">
        <v>44893</v>
      </c>
    </row>
    <row r="2" spans="2:42" ht="18" customHeight="1" x14ac:dyDescent="0.3">
      <c r="C2" s="1"/>
      <c r="D2" s="1"/>
      <c r="E2" s="1"/>
      <c r="F2" s="1"/>
      <c r="G2" s="1"/>
      <c r="H2" s="1"/>
      <c r="I2" s="1"/>
      <c r="J2" s="1"/>
      <c r="K2" s="1"/>
      <c r="L2" s="1"/>
      <c r="M2" s="13" t="s">
        <v>96</v>
      </c>
      <c r="N2" s="8"/>
    </row>
    <row r="3" spans="2:42" ht="18" customHeight="1" thickBot="1" x14ac:dyDescent="0.35">
      <c r="C3" s="1"/>
      <c r="D3" s="1"/>
      <c r="E3" s="1"/>
      <c r="F3" s="1"/>
      <c r="G3" s="1"/>
      <c r="H3" s="1"/>
      <c r="I3" s="1"/>
      <c r="J3" s="1"/>
      <c r="K3" s="1"/>
      <c r="L3" s="1"/>
      <c r="M3" s="12" t="s">
        <v>97</v>
      </c>
      <c r="N3" s="8" t="s">
        <v>98</v>
      </c>
      <c r="AO3" t="s">
        <v>83</v>
      </c>
      <c r="AP3" s="4">
        <v>54</v>
      </c>
    </row>
    <row r="4" spans="2:42" ht="28.95" customHeight="1" thickTop="1" thickBot="1" x14ac:dyDescent="0.35">
      <c r="B4" s="7" t="s">
        <v>152</v>
      </c>
      <c r="C4" s="7"/>
      <c r="D4" s="7"/>
      <c r="E4" s="7"/>
      <c r="F4" s="7"/>
      <c r="G4" s="7"/>
      <c r="H4" s="7"/>
      <c r="I4" s="7"/>
      <c r="J4" s="7"/>
      <c r="K4" s="7"/>
      <c r="L4" s="7"/>
      <c r="M4" s="107" t="s">
        <v>354</v>
      </c>
      <c r="N4" s="110">
        <v>2</v>
      </c>
    </row>
    <row r="5" spans="2:42" ht="15" thickTop="1" x14ac:dyDescent="0.3">
      <c r="AH5" s="135" t="s">
        <v>200</v>
      </c>
      <c r="AI5" s="136"/>
      <c r="AJ5" s="137"/>
      <c r="AL5" s="135" t="s">
        <v>197</v>
      </c>
      <c r="AM5" s="136"/>
      <c r="AN5" s="136"/>
      <c r="AO5" s="136"/>
      <c r="AP5" s="137"/>
    </row>
    <row r="6" spans="2:42" x14ac:dyDescent="0.3">
      <c r="B6" s="135" t="s">
        <v>383</v>
      </c>
      <c r="C6" s="136"/>
      <c r="D6" s="136"/>
      <c r="F6" s="135" t="s">
        <v>252</v>
      </c>
      <c r="G6" s="137"/>
    </row>
    <row r="7" spans="2:42" ht="9" customHeight="1" x14ac:dyDescent="0.3"/>
    <row r="8" spans="2:42" ht="16.2" customHeight="1" x14ac:dyDescent="0.3">
      <c r="B8" s="108" t="s">
        <v>348</v>
      </c>
      <c r="C8" s="108" t="s">
        <v>349</v>
      </c>
      <c r="D8" s="109" t="s">
        <v>350</v>
      </c>
      <c r="F8" s="108" t="s">
        <v>250</v>
      </c>
      <c r="G8" s="109" t="s">
        <v>251</v>
      </c>
      <c r="AI8" s="15" t="s">
        <v>198</v>
      </c>
      <c r="AL8" s="138" t="s">
        <v>201</v>
      </c>
      <c r="AM8" s="139"/>
      <c r="AN8" s="140"/>
      <c r="AO8" s="44"/>
      <c r="AP8" s="4" t="s">
        <v>199</v>
      </c>
    </row>
    <row r="9" spans="2:42" ht="13.2" hidden="1" customHeight="1" x14ac:dyDescent="0.3">
      <c r="B9" s="83" t="s">
        <v>348</v>
      </c>
      <c r="C9" s="83" t="s">
        <v>349</v>
      </c>
      <c r="D9" s="83" t="s">
        <v>350</v>
      </c>
      <c r="F9" s="55" t="s">
        <v>250</v>
      </c>
      <c r="G9" s="55" t="s">
        <v>251</v>
      </c>
      <c r="AI9" s="4"/>
      <c r="AJ9" s="4"/>
      <c r="AM9" s="43" t="s">
        <v>196</v>
      </c>
      <c r="AP9" s="45">
        <v>2</v>
      </c>
    </row>
    <row r="10" spans="2:42" x14ac:dyDescent="0.3">
      <c r="B10" s="84" t="s">
        <v>539</v>
      </c>
      <c r="C10" s="85"/>
      <c r="D10" s="100"/>
      <c r="F10" s="56" t="s">
        <v>240</v>
      </c>
      <c r="G10" s="57">
        <v>44927</v>
      </c>
      <c r="AK10" s="14"/>
      <c r="AL10" s="14"/>
      <c r="AP10" s="46">
        <v>1</v>
      </c>
    </row>
    <row r="11" spans="2:42" ht="16.95" customHeight="1" x14ac:dyDescent="0.3">
      <c r="B11" s="84" t="s">
        <v>102</v>
      </c>
      <c r="C11" s="86"/>
      <c r="D11" s="101"/>
      <c r="F11" s="56" t="s">
        <v>241</v>
      </c>
      <c r="G11" s="57">
        <v>45026</v>
      </c>
    </row>
    <row r="12" spans="2:42" ht="16.95" customHeight="1" x14ac:dyDescent="0.3">
      <c r="B12" s="84" t="s">
        <v>540</v>
      </c>
      <c r="C12" s="87"/>
      <c r="D12" s="102"/>
      <c r="F12" s="56" t="s">
        <v>242</v>
      </c>
      <c r="G12" s="57">
        <v>45047</v>
      </c>
    </row>
    <row r="13" spans="2:42" x14ac:dyDescent="0.3">
      <c r="B13" s="113" t="s">
        <v>541</v>
      </c>
      <c r="C13" s="114"/>
      <c r="D13" s="103"/>
      <c r="F13" s="58">
        <v>16565</v>
      </c>
      <c r="G13" s="57">
        <v>45054</v>
      </c>
    </row>
    <row r="14" spans="2:42" x14ac:dyDescent="0.3">
      <c r="B14" s="59"/>
      <c r="C14" s="59"/>
      <c r="F14" s="56" t="s">
        <v>243</v>
      </c>
      <c r="G14" s="57">
        <v>45064</v>
      </c>
    </row>
    <row r="15" spans="2:42" x14ac:dyDescent="0.3">
      <c r="B15" s="59"/>
      <c r="C15" s="59"/>
      <c r="F15" s="56" t="s">
        <v>244</v>
      </c>
      <c r="G15" s="57">
        <v>45075</v>
      </c>
    </row>
    <row r="16" spans="2:42" x14ac:dyDescent="0.3">
      <c r="F16" s="56" t="s">
        <v>245</v>
      </c>
      <c r="G16" s="57">
        <v>45121</v>
      </c>
    </row>
    <row r="17" spans="6:12" x14ac:dyDescent="0.3">
      <c r="F17" s="56" t="s">
        <v>246</v>
      </c>
      <c r="G17" s="57">
        <v>45153</v>
      </c>
    </row>
    <row r="18" spans="6:12" x14ac:dyDescent="0.3">
      <c r="F18" s="56" t="s">
        <v>247</v>
      </c>
      <c r="G18" s="57">
        <v>45231</v>
      </c>
    </row>
    <row r="19" spans="6:12" x14ac:dyDescent="0.3">
      <c r="F19" s="56" t="s">
        <v>248</v>
      </c>
      <c r="G19" s="57">
        <v>45241</v>
      </c>
      <c r="H19" s="33"/>
      <c r="I19" s="33"/>
      <c r="J19" s="33"/>
    </row>
    <row r="20" spans="6:12" x14ac:dyDescent="0.3">
      <c r="F20" s="56" t="s">
        <v>249</v>
      </c>
      <c r="G20" s="57">
        <v>45285</v>
      </c>
    </row>
    <row r="21" spans="6:12" x14ac:dyDescent="0.3">
      <c r="H21" s="34"/>
      <c r="I21" s="34"/>
      <c r="J21" s="34"/>
      <c r="K21" s="34"/>
      <c r="L21" s="34"/>
    </row>
  </sheetData>
  <mergeCells count="5">
    <mergeCell ref="B6:D6"/>
    <mergeCell ref="AL5:AP5"/>
    <mergeCell ref="AL8:AN8"/>
    <mergeCell ref="AH5:AJ5"/>
    <mergeCell ref="F6:G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rop Down 1">
              <controlPr defaultSize="0" autoLine="0" autoPict="0" macro="[0]!change_langue">
                <anchor moveWithCells="1">
                  <from>
                    <xdr:col>13</xdr:col>
                    <xdr:colOff>137160</xdr:colOff>
                    <xdr:row>3</xdr:row>
                    <xdr:rowOff>76200</xdr:rowOff>
                  </from>
                  <to>
                    <xdr:col>13</xdr:col>
                    <xdr:colOff>1706880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B0BA-AB6E-4157-BC58-597B17E80E75}">
  <sheetPr codeName="ShLangue"/>
  <dimension ref="A1:F182"/>
  <sheetViews>
    <sheetView showGridLines="0" topLeftCell="A130" workbookViewId="0">
      <selection activeCell="A161" sqref="A161:B169"/>
    </sheetView>
  </sheetViews>
  <sheetFormatPr baseColWidth="10" defaultColWidth="9.109375" defaultRowHeight="14.4" x14ac:dyDescent="0.3"/>
  <cols>
    <col min="1" max="1" width="66.33203125" bestFit="1" customWidth="1"/>
    <col min="2" max="2" width="57.33203125" bestFit="1" customWidth="1"/>
    <col min="6" max="6" width="15" customWidth="1"/>
  </cols>
  <sheetData>
    <row r="1" spans="1:6" x14ac:dyDescent="0.3">
      <c r="A1" s="1" t="s">
        <v>352</v>
      </c>
      <c r="B1" s="1" t="s">
        <v>353</v>
      </c>
      <c r="F1" t="s">
        <v>354</v>
      </c>
    </row>
    <row r="2" spans="1:6" x14ac:dyDescent="0.3">
      <c r="A2" s="104" t="s">
        <v>95</v>
      </c>
      <c r="B2" s="1" t="s">
        <v>357</v>
      </c>
      <c r="F2" t="s">
        <v>353</v>
      </c>
    </row>
    <row r="3" spans="1:6" x14ac:dyDescent="0.3">
      <c r="A3" s="105" t="s">
        <v>96</v>
      </c>
      <c r="B3" s="1" t="s">
        <v>358</v>
      </c>
      <c r="F3" t="s">
        <v>352</v>
      </c>
    </row>
    <row r="4" spans="1:6" x14ac:dyDescent="0.3">
      <c r="A4" s="104" t="s">
        <v>97</v>
      </c>
      <c r="B4" s="1" t="s">
        <v>359</v>
      </c>
    </row>
    <row r="5" spans="1:6" x14ac:dyDescent="0.3">
      <c r="A5" s="104" t="s">
        <v>153</v>
      </c>
      <c r="B5" s="1" t="s">
        <v>356</v>
      </c>
    </row>
    <row r="6" spans="1:6" x14ac:dyDescent="0.3">
      <c r="A6" s="104" t="s">
        <v>254</v>
      </c>
      <c r="B6" s="1" t="s">
        <v>361</v>
      </c>
    </row>
    <row r="7" spans="1:6" x14ac:dyDescent="0.3">
      <c r="A7" s="104" t="s">
        <v>151</v>
      </c>
      <c r="B7" s="1" t="s">
        <v>362</v>
      </c>
    </row>
    <row r="8" spans="1:6" x14ac:dyDescent="0.3">
      <c r="A8" s="104" t="s">
        <v>152</v>
      </c>
      <c r="B8" s="1" t="s">
        <v>355</v>
      </c>
    </row>
    <row r="9" spans="1:6" x14ac:dyDescent="0.3">
      <c r="A9" s="104" t="s">
        <v>383</v>
      </c>
      <c r="B9" s="1" t="s">
        <v>382</v>
      </c>
    </row>
    <row r="10" spans="1:6" x14ac:dyDescent="0.3">
      <c r="A10" s="104" t="s">
        <v>348</v>
      </c>
      <c r="B10" s="1" t="s">
        <v>363</v>
      </c>
    </row>
    <row r="11" spans="1:6" x14ac:dyDescent="0.3">
      <c r="A11" s="104" t="s">
        <v>349</v>
      </c>
      <c r="B11" s="1" t="s">
        <v>364</v>
      </c>
    </row>
    <row r="12" spans="1:6" x14ac:dyDescent="0.3">
      <c r="A12" s="104" t="s">
        <v>350</v>
      </c>
      <c r="B12" s="1" t="s">
        <v>365</v>
      </c>
    </row>
    <row r="13" spans="1:6" x14ac:dyDescent="0.3">
      <c r="A13" s="104" t="s">
        <v>101</v>
      </c>
      <c r="B13" s="1" t="s">
        <v>101</v>
      </c>
    </row>
    <row r="14" spans="1:6" x14ac:dyDescent="0.3">
      <c r="A14" s="104" t="s">
        <v>102</v>
      </c>
      <c r="B14" s="1" t="s">
        <v>366</v>
      </c>
    </row>
    <row r="15" spans="1:6" x14ac:dyDescent="0.3">
      <c r="A15" s="104" t="s">
        <v>103</v>
      </c>
      <c r="B15" s="1" t="s">
        <v>367</v>
      </c>
    </row>
    <row r="16" spans="1:6" x14ac:dyDescent="0.3">
      <c r="A16" s="104" t="s">
        <v>154</v>
      </c>
      <c r="B16" s="1" t="s">
        <v>368</v>
      </c>
    </row>
    <row r="17" spans="1:2" x14ac:dyDescent="0.3">
      <c r="A17" s="104" t="s">
        <v>252</v>
      </c>
      <c r="B17" s="1" t="s">
        <v>369</v>
      </c>
    </row>
    <row r="18" spans="1:2" x14ac:dyDescent="0.3">
      <c r="A18" s="104" t="s">
        <v>250</v>
      </c>
      <c r="B18" s="1" t="s">
        <v>370</v>
      </c>
    </row>
    <row r="19" spans="1:2" x14ac:dyDescent="0.3">
      <c r="A19" s="104" t="s">
        <v>251</v>
      </c>
      <c r="B19" s="1" t="s">
        <v>251</v>
      </c>
    </row>
    <row r="20" spans="1:2" x14ac:dyDescent="0.3">
      <c r="A20" s="104" t="s">
        <v>240</v>
      </c>
      <c r="B20" s="1" t="s">
        <v>371</v>
      </c>
    </row>
    <row r="21" spans="1:2" x14ac:dyDescent="0.3">
      <c r="A21" s="104" t="s">
        <v>241</v>
      </c>
      <c r="B21" s="1" t="s">
        <v>372</v>
      </c>
    </row>
    <row r="22" spans="1:2" x14ac:dyDescent="0.3">
      <c r="A22" s="104" t="s">
        <v>242</v>
      </c>
      <c r="B22" s="1" t="s">
        <v>373</v>
      </c>
    </row>
    <row r="23" spans="1:2" x14ac:dyDescent="0.3">
      <c r="A23" s="106">
        <v>16565</v>
      </c>
      <c r="B23" s="1" t="s">
        <v>374</v>
      </c>
    </row>
    <row r="24" spans="1:2" x14ac:dyDescent="0.3">
      <c r="A24" s="104" t="s">
        <v>243</v>
      </c>
      <c r="B24" s="1" t="s">
        <v>375</v>
      </c>
    </row>
    <row r="25" spans="1:2" x14ac:dyDescent="0.3">
      <c r="A25" s="104" t="s">
        <v>244</v>
      </c>
      <c r="B25" s="1" t="s">
        <v>376</v>
      </c>
    </row>
    <row r="26" spans="1:2" x14ac:dyDescent="0.3">
      <c r="A26" s="104" t="s">
        <v>245</v>
      </c>
      <c r="B26" s="1" t="s">
        <v>377</v>
      </c>
    </row>
    <row r="27" spans="1:2" x14ac:dyDescent="0.3">
      <c r="A27" s="104" t="s">
        <v>246</v>
      </c>
      <c r="B27" s="1" t="s">
        <v>378</v>
      </c>
    </row>
    <row r="28" spans="1:2" x14ac:dyDescent="0.3">
      <c r="A28" s="104" t="s">
        <v>247</v>
      </c>
      <c r="B28" s="1" t="s">
        <v>379</v>
      </c>
    </row>
    <row r="29" spans="1:2" x14ac:dyDescent="0.3">
      <c r="A29" s="104" t="s">
        <v>248</v>
      </c>
      <c r="B29" s="1" t="s">
        <v>380</v>
      </c>
    </row>
    <row r="30" spans="1:2" x14ac:dyDescent="0.3">
      <c r="A30" s="104" t="s">
        <v>249</v>
      </c>
      <c r="B30" s="1" t="s">
        <v>381</v>
      </c>
    </row>
    <row r="31" spans="1:2" x14ac:dyDescent="0.3">
      <c r="A31" s="104" t="s">
        <v>384</v>
      </c>
      <c r="B31" s="1" t="s">
        <v>384</v>
      </c>
    </row>
    <row r="32" spans="1:2" x14ac:dyDescent="0.3">
      <c r="A32" s="104" t="s">
        <v>345</v>
      </c>
      <c r="B32" s="1" t="s">
        <v>387</v>
      </c>
    </row>
    <row r="33" spans="1:2" x14ac:dyDescent="0.3">
      <c r="A33" s="105" t="s">
        <v>346</v>
      </c>
      <c r="B33" s="1" t="s">
        <v>388</v>
      </c>
    </row>
    <row r="34" spans="1:2" x14ac:dyDescent="0.3">
      <c r="A34" s="104" t="s">
        <v>385</v>
      </c>
      <c r="B34" s="1" t="s">
        <v>389</v>
      </c>
    </row>
    <row r="35" spans="1:2" x14ac:dyDescent="0.3">
      <c r="A35" s="105" t="s">
        <v>386</v>
      </c>
      <c r="B35" s="1" t="s">
        <v>390</v>
      </c>
    </row>
    <row r="36" spans="1:2" x14ac:dyDescent="0.3">
      <c r="A36" s="104" t="s">
        <v>109</v>
      </c>
      <c r="B36" s="1" t="s">
        <v>391</v>
      </c>
    </row>
    <row r="37" spans="1:2" x14ac:dyDescent="0.3">
      <c r="A37" s="104" t="s">
        <v>111</v>
      </c>
      <c r="B37" s="1" t="s">
        <v>111</v>
      </c>
    </row>
    <row r="38" spans="1:2" x14ac:dyDescent="0.3">
      <c r="A38" s="104" t="s">
        <v>113</v>
      </c>
      <c r="B38" s="1" t="s">
        <v>392</v>
      </c>
    </row>
    <row r="39" spans="1:2" x14ac:dyDescent="0.3">
      <c r="A39" s="104" t="s">
        <v>116</v>
      </c>
      <c r="B39" s="1" t="s">
        <v>393</v>
      </c>
    </row>
    <row r="40" spans="1:2" x14ac:dyDescent="0.3">
      <c r="A40" s="104" t="s">
        <v>118</v>
      </c>
      <c r="B40" s="1" t="s">
        <v>394</v>
      </c>
    </row>
    <row r="41" spans="1:2" x14ac:dyDescent="0.3">
      <c r="A41" s="104" t="s">
        <v>120</v>
      </c>
      <c r="B41" s="1" t="s">
        <v>395</v>
      </c>
    </row>
    <row r="42" spans="1:2" x14ac:dyDescent="0.3">
      <c r="A42" s="105" t="s">
        <v>122</v>
      </c>
      <c r="B42" s="1" t="s">
        <v>396</v>
      </c>
    </row>
    <row r="43" spans="1:2" x14ac:dyDescent="0.3">
      <c r="A43" s="104" t="s">
        <v>124</v>
      </c>
      <c r="B43" s="1" t="s">
        <v>397</v>
      </c>
    </row>
    <row r="44" spans="1:2" x14ac:dyDescent="0.3">
      <c r="A44" s="104" t="s">
        <v>126</v>
      </c>
      <c r="B44" s="1" t="s">
        <v>398</v>
      </c>
    </row>
    <row r="45" spans="1:2" x14ac:dyDescent="0.3">
      <c r="A45" s="105" t="s">
        <v>128</v>
      </c>
      <c r="B45" s="1" t="s">
        <v>399</v>
      </c>
    </row>
    <row r="46" spans="1:2" x14ac:dyDescent="0.3">
      <c r="A46" s="104" t="s">
        <v>130</v>
      </c>
      <c r="B46" s="1" t="s">
        <v>400</v>
      </c>
    </row>
    <row r="47" spans="1:2" x14ac:dyDescent="0.3">
      <c r="A47" s="105" t="s">
        <v>132</v>
      </c>
      <c r="B47" s="1" t="s">
        <v>401</v>
      </c>
    </row>
    <row r="48" spans="1:2" x14ac:dyDescent="0.3">
      <c r="A48" s="104" t="s">
        <v>136</v>
      </c>
      <c r="B48" s="1" t="s">
        <v>402</v>
      </c>
    </row>
    <row r="49" spans="1:2" x14ac:dyDescent="0.3">
      <c r="A49" s="104" t="s">
        <v>139</v>
      </c>
      <c r="B49" s="1" t="s">
        <v>403</v>
      </c>
    </row>
    <row r="50" spans="1:2" x14ac:dyDescent="0.3">
      <c r="A50" s="104" t="s">
        <v>143</v>
      </c>
      <c r="B50" s="1" t="s">
        <v>404</v>
      </c>
    </row>
    <row r="51" spans="1:2" x14ac:dyDescent="0.3">
      <c r="A51" s="104" t="s">
        <v>145</v>
      </c>
      <c r="B51" s="1" t="s">
        <v>404</v>
      </c>
    </row>
    <row r="52" spans="1:2" x14ac:dyDescent="0.3">
      <c r="A52" s="105" t="s">
        <v>147</v>
      </c>
      <c r="B52" s="1" t="s">
        <v>405</v>
      </c>
    </row>
    <row r="53" spans="1:2" x14ac:dyDescent="0.3">
      <c r="A53" s="104" t="s">
        <v>150</v>
      </c>
      <c r="B53" s="1" t="s">
        <v>406</v>
      </c>
    </row>
    <row r="54" spans="1:2" x14ac:dyDescent="0.3">
      <c r="A54" s="105" t="s">
        <v>0</v>
      </c>
      <c r="B54" s="1" t="s">
        <v>0</v>
      </c>
    </row>
    <row r="55" spans="1:2" x14ac:dyDescent="0.3">
      <c r="A55" s="104" t="s">
        <v>104</v>
      </c>
      <c r="B55" s="1" t="s">
        <v>407</v>
      </c>
    </row>
    <row r="56" spans="1:2" x14ac:dyDescent="0.3">
      <c r="A56" s="104" t="s">
        <v>105</v>
      </c>
      <c r="B56" s="1" t="s">
        <v>408</v>
      </c>
    </row>
    <row r="57" spans="1:2" x14ac:dyDescent="0.3">
      <c r="A57" s="104" t="s">
        <v>106</v>
      </c>
      <c r="B57" s="1" t="s">
        <v>409</v>
      </c>
    </row>
    <row r="58" spans="1:2" x14ac:dyDescent="0.3">
      <c r="A58" s="104" t="s">
        <v>107</v>
      </c>
      <c r="B58" s="1" t="s">
        <v>410</v>
      </c>
    </row>
    <row r="59" spans="1:2" x14ac:dyDescent="0.3">
      <c r="A59" s="104" t="s">
        <v>338</v>
      </c>
      <c r="B59" s="1" t="s">
        <v>411</v>
      </c>
    </row>
    <row r="60" spans="1:2" x14ac:dyDescent="0.3">
      <c r="A60" s="104" t="s">
        <v>339</v>
      </c>
      <c r="B60" s="1" t="s">
        <v>412</v>
      </c>
    </row>
    <row r="61" spans="1:2" x14ac:dyDescent="0.3">
      <c r="A61" s="104" t="s">
        <v>340</v>
      </c>
      <c r="B61" s="1" t="s">
        <v>413</v>
      </c>
    </row>
    <row r="62" spans="1:2" x14ac:dyDescent="0.3">
      <c r="A62" s="104" t="s">
        <v>341</v>
      </c>
      <c r="B62" s="1" t="s">
        <v>414</v>
      </c>
    </row>
    <row r="63" spans="1:2" x14ac:dyDescent="0.3">
      <c r="A63" s="104" t="s">
        <v>342</v>
      </c>
      <c r="B63" s="1" t="s">
        <v>415</v>
      </c>
    </row>
    <row r="64" spans="1:2" x14ac:dyDescent="0.3">
      <c r="A64" s="104" t="s">
        <v>343</v>
      </c>
      <c r="B64" s="1" t="s">
        <v>416</v>
      </c>
    </row>
    <row r="65" spans="1:2" x14ac:dyDescent="0.3">
      <c r="A65" s="104" t="s">
        <v>344</v>
      </c>
      <c r="B65" s="1" t="s">
        <v>417</v>
      </c>
    </row>
    <row r="66" spans="1:2" x14ac:dyDescent="0.3">
      <c r="A66" s="104" t="s">
        <v>354</v>
      </c>
      <c r="B66" s="1" t="s">
        <v>360</v>
      </c>
    </row>
    <row r="67" spans="1:2" x14ac:dyDescent="0.3">
      <c r="A67" s="104" t="s">
        <v>155</v>
      </c>
      <c r="B67" s="1" t="s">
        <v>418</v>
      </c>
    </row>
    <row r="68" spans="1:2" x14ac:dyDescent="0.3">
      <c r="A68" s="104" t="s">
        <v>156</v>
      </c>
      <c r="B68" s="1" t="s">
        <v>419</v>
      </c>
    </row>
    <row r="69" spans="1:2" x14ac:dyDescent="0.3">
      <c r="A69" s="104" t="s">
        <v>157</v>
      </c>
      <c r="B69" s="1" t="s">
        <v>420</v>
      </c>
    </row>
    <row r="70" spans="1:2" x14ac:dyDescent="0.3">
      <c r="A70" s="104" t="s">
        <v>257</v>
      </c>
      <c r="B70" s="1" t="s">
        <v>421</v>
      </c>
    </row>
    <row r="71" spans="1:2" x14ac:dyDescent="0.3">
      <c r="A71" s="104" t="s">
        <v>258</v>
      </c>
      <c r="B71" s="1" t="s">
        <v>422</v>
      </c>
    </row>
    <row r="72" spans="1:2" x14ac:dyDescent="0.3">
      <c r="A72" s="104" t="s">
        <v>259</v>
      </c>
      <c r="B72" s="1" t="s">
        <v>423</v>
      </c>
    </row>
    <row r="73" spans="1:2" x14ac:dyDescent="0.3">
      <c r="A73" s="104" t="s">
        <v>260</v>
      </c>
      <c r="B73" s="1" t="s">
        <v>424</v>
      </c>
    </row>
    <row r="74" spans="1:2" x14ac:dyDescent="0.3">
      <c r="A74" s="104" t="s">
        <v>261</v>
      </c>
      <c r="B74" s="1" t="s">
        <v>425</v>
      </c>
    </row>
    <row r="75" spans="1:2" x14ac:dyDescent="0.3">
      <c r="A75" s="104" t="s">
        <v>262</v>
      </c>
      <c r="B75" s="1" t="s">
        <v>426</v>
      </c>
    </row>
    <row r="76" spans="1:2" x14ac:dyDescent="0.3">
      <c r="A76" s="104" t="s">
        <v>158</v>
      </c>
      <c r="B76" s="1" t="s">
        <v>427</v>
      </c>
    </row>
    <row r="77" spans="1:2" x14ac:dyDescent="0.3">
      <c r="A77" s="104" t="s">
        <v>159</v>
      </c>
      <c r="B77" s="1" t="s">
        <v>428</v>
      </c>
    </row>
    <row r="78" spans="1:2" x14ac:dyDescent="0.3">
      <c r="A78" s="104" t="s">
        <v>160</v>
      </c>
      <c r="B78" s="1" t="s">
        <v>429</v>
      </c>
    </row>
    <row r="79" spans="1:2" x14ac:dyDescent="0.3">
      <c r="A79" s="104" t="s">
        <v>266</v>
      </c>
      <c r="B79" s="1" t="s">
        <v>430</v>
      </c>
    </row>
    <row r="80" spans="1:2" x14ac:dyDescent="0.3">
      <c r="A80" s="104" t="s">
        <v>269</v>
      </c>
      <c r="B80" s="1" t="s">
        <v>431</v>
      </c>
    </row>
    <row r="81" spans="1:2" x14ac:dyDescent="0.3">
      <c r="A81" s="104" t="s">
        <v>270</v>
      </c>
      <c r="B81" s="1" t="s">
        <v>432</v>
      </c>
    </row>
    <row r="82" spans="1:2" x14ac:dyDescent="0.3">
      <c r="A82" s="104" t="s">
        <v>271</v>
      </c>
      <c r="B82" s="1" t="s">
        <v>433</v>
      </c>
    </row>
    <row r="83" spans="1:2" x14ac:dyDescent="0.3">
      <c r="A83" s="104" t="s">
        <v>272</v>
      </c>
      <c r="B83" s="1" t="s">
        <v>434</v>
      </c>
    </row>
    <row r="84" spans="1:2" x14ac:dyDescent="0.3">
      <c r="A84" s="104" t="s">
        <v>273</v>
      </c>
      <c r="B84" s="1" t="s">
        <v>435</v>
      </c>
    </row>
    <row r="85" spans="1:2" x14ac:dyDescent="0.3">
      <c r="A85" s="104" t="s">
        <v>161</v>
      </c>
      <c r="B85" s="1" t="s">
        <v>436</v>
      </c>
    </row>
    <row r="86" spans="1:2" x14ac:dyDescent="0.3">
      <c r="A86" s="104" t="s">
        <v>162</v>
      </c>
      <c r="B86" s="1" t="s">
        <v>437</v>
      </c>
    </row>
    <row r="87" spans="1:2" x14ac:dyDescent="0.3">
      <c r="A87" s="104" t="s">
        <v>163</v>
      </c>
      <c r="B87" s="1" t="s">
        <v>438</v>
      </c>
    </row>
    <row r="88" spans="1:2" x14ac:dyDescent="0.3">
      <c r="A88" s="104" t="s">
        <v>164</v>
      </c>
      <c r="B88" s="1" t="s">
        <v>439</v>
      </c>
    </row>
    <row r="89" spans="1:2" x14ac:dyDescent="0.3">
      <c r="A89" s="104" t="s">
        <v>165</v>
      </c>
      <c r="B89" s="1" t="s">
        <v>440</v>
      </c>
    </row>
    <row r="90" spans="1:2" x14ac:dyDescent="0.3">
      <c r="A90" s="104" t="s">
        <v>278</v>
      </c>
      <c r="B90" s="1" t="s">
        <v>441</v>
      </c>
    </row>
    <row r="91" spans="1:2" x14ac:dyDescent="0.3">
      <c r="A91" s="104" t="s">
        <v>279</v>
      </c>
      <c r="B91" s="1" t="s">
        <v>442</v>
      </c>
    </row>
    <row r="92" spans="1:2" x14ac:dyDescent="0.3">
      <c r="A92" s="104" t="s">
        <v>280</v>
      </c>
      <c r="B92" s="1" t="s">
        <v>443</v>
      </c>
    </row>
    <row r="93" spans="1:2" x14ac:dyDescent="0.3">
      <c r="A93" s="104" t="s">
        <v>281</v>
      </c>
      <c r="B93" s="1" t="s">
        <v>444</v>
      </c>
    </row>
    <row r="94" spans="1:2" x14ac:dyDescent="0.3">
      <c r="A94" s="104" t="s">
        <v>282</v>
      </c>
      <c r="B94" s="1" t="s">
        <v>445</v>
      </c>
    </row>
    <row r="95" spans="1:2" x14ac:dyDescent="0.3">
      <c r="A95" s="104" t="s">
        <v>283</v>
      </c>
      <c r="B95" s="1" t="s">
        <v>446</v>
      </c>
    </row>
    <row r="96" spans="1:2" x14ac:dyDescent="0.3">
      <c r="A96" s="104" t="s">
        <v>284</v>
      </c>
      <c r="B96" s="1" t="s">
        <v>447</v>
      </c>
    </row>
    <row r="97" spans="1:2" x14ac:dyDescent="0.3">
      <c r="A97" s="104" t="s">
        <v>166</v>
      </c>
      <c r="B97" s="1" t="s">
        <v>448</v>
      </c>
    </row>
    <row r="98" spans="1:2" x14ac:dyDescent="0.3">
      <c r="A98" s="104" t="s">
        <v>167</v>
      </c>
      <c r="B98" s="1" t="s">
        <v>449</v>
      </c>
    </row>
    <row r="99" spans="1:2" x14ac:dyDescent="0.3">
      <c r="A99" s="104" t="s">
        <v>285</v>
      </c>
      <c r="B99" s="1" t="s">
        <v>450</v>
      </c>
    </row>
    <row r="100" spans="1:2" x14ac:dyDescent="0.3">
      <c r="A100" s="104" t="s">
        <v>286</v>
      </c>
      <c r="B100" s="1" t="s">
        <v>451</v>
      </c>
    </row>
    <row r="101" spans="1:2" x14ac:dyDescent="0.3">
      <c r="A101" s="104" t="s">
        <v>287</v>
      </c>
      <c r="B101" s="1" t="s">
        <v>452</v>
      </c>
    </row>
    <row r="102" spans="1:2" x14ac:dyDescent="0.3">
      <c r="A102" s="104" t="s">
        <v>288</v>
      </c>
      <c r="B102" s="1" t="s">
        <v>453</v>
      </c>
    </row>
    <row r="103" spans="1:2" x14ac:dyDescent="0.3">
      <c r="A103" s="104" t="s">
        <v>289</v>
      </c>
      <c r="B103" s="1" t="s">
        <v>454</v>
      </c>
    </row>
    <row r="104" spans="1:2" x14ac:dyDescent="0.3">
      <c r="A104" s="104" t="s">
        <v>168</v>
      </c>
      <c r="B104" s="1" t="s">
        <v>455</v>
      </c>
    </row>
    <row r="105" spans="1:2" x14ac:dyDescent="0.3">
      <c r="A105" s="104" t="s">
        <v>169</v>
      </c>
      <c r="B105" s="1" t="s">
        <v>456</v>
      </c>
    </row>
    <row r="106" spans="1:2" x14ac:dyDescent="0.3">
      <c r="A106" s="104" t="s">
        <v>170</v>
      </c>
      <c r="B106" s="1" t="s">
        <v>457</v>
      </c>
    </row>
    <row r="107" spans="1:2" x14ac:dyDescent="0.3">
      <c r="A107" s="104" t="s">
        <v>171</v>
      </c>
      <c r="B107" s="1" t="s">
        <v>458</v>
      </c>
    </row>
    <row r="108" spans="1:2" x14ac:dyDescent="0.3">
      <c r="A108" s="104" t="s">
        <v>293</v>
      </c>
      <c r="B108" s="1" t="s">
        <v>459</v>
      </c>
    </row>
    <row r="109" spans="1:2" x14ac:dyDescent="0.3">
      <c r="A109" s="104" t="s">
        <v>294</v>
      </c>
      <c r="B109" s="1" t="s">
        <v>460</v>
      </c>
    </row>
    <row r="110" spans="1:2" x14ac:dyDescent="0.3">
      <c r="A110" s="104" t="s">
        <v>295</v>
      </c>
      <c r="B110" s="1" t="s">
        <v>461</v>
      </c>
    </row>
    <row r="111" spans="1:2" x14ac:dyDescent="0.3">
      <c r="A111" s="104" t="s">
        <v>296</v>
      </c>
      <c r="B111" s="1" t="s">
        <v>462</v>
      </c>
    </row>
    <row r="112" spans="1:2" x14ac:dyDescent="0.3">
      <c r="A112" s="104" t="s">
        <v>297</v>
      </c>
      <c r="B112" s="1" t="s">
        <v>463</v>
      </c>
    </row>
    <row r="113" spans="1:2" x14ac:dyDescent="0.3">
      <c r="A113" s="104" t="s">
        <v>298</v>
      </c>
      <c r="B113" s="1" t="s">
        <v>464</v>
      </c>
    </row>
    <row r="114" spans="1:2" x14ac:dyDescent="0.3">
      <c r="A114" s="104" t="s">
        <v>299</v>
      </c>
      <c r="B114" s="1" t="s">
        <v>465</v>
      </c>
    </row>
    <row r="115" spans="1:2" x14ac:dyDescent="0.3">
      <c r="A115" s="104" t="s">
        <v>300</v>
      </c>
      <c r="B115" s="1" t="s">
        <v>466</v>
      </c>
    </row>
    <row r="116" spans="1:2" x14ac:dyDescent="0.3">
      <c r="A116" s="104" t="s">
        <v>301</v>
      </c>
      <c r="B116" s="1" t="s">
        <v>467</v>
      </c>
    </row>
    <row r="117" spans="1:2" x14ac:dyDescent="0.3">
      <c r="A117" s="104" t="s">
        <v>302</v>
      </c>
      <c r="B117" s="1" t="s">
        <v>468</v>
      </c>
    </row>
    <row r="118" spans="1:2" x14ac:dyDescent="0.3">
      <c r="A118" s="104" t="s">
        <v>303</v>
      </c>
      <c r="B118" s="1" t="s">
        <v>469</v>
      </c>
    </row>
    <row r="119" spans="1:2" x14ac:dyDescent="0.3">
      <c r="A119" s="104" t="s">
        <v>304</v>
      </c>
      <c r="B119" s="1" t="s">
        <v>470</v>
      </c>
    </row>
    <row r="120" spans="1:2" x14ac:dyDescent="0.3">
      <c r="A120" s="104" t="s">
        <v>305</v>
      </c>
      <c r="B120" s="1" t="s">
        <v>471</v>
      </c>
    </row>
    <row r="121" spans="1:2" x14ac:dyDescent="0.3">
      <c r="A121" s="104" t="s">
        <v>306</v>
      </c>
      <c r="B121" s="1" t="s">
        <v>472</v>
      </c>
    </row>
    <row r="122" spans="1:2" x14ac:dyDescent="0.3">
      <c r="A122" s="104" t="s">
        <v>307</v>
      </c>
      <c r="B122" s="1" t="s">
        <v>473</v>
      </c>
    </row>
    <row r="123" spans="1:2" x14ac:dyDescent="0.3">
      <c r="A123" s="104" t="s">
        <v>172</v>
      </c>
      <c r="B123" s="1" t="s">
        <v>474</v>
      </c>
    </row>
    <row r="124" spans="1:2" x14ac:dyDescent="0.3">
      <c r="A124" s="104" t="s">
        <v>173</v>
      </c>
      <c r="B124" s="1" t="s">
        <v>475</v>
      </c>
    </row>
    <row r="125" spans="1:2" x14ac:dyDescent="0.3">
      <c r="A125" s="104" t="s">
        <v>174</v>
      </c>
      <c r="B125" s="1" t="s">
        <v>476</v>
      </c>
    </row>
    <row r="126" spans="1:2" x14ac:dyDescent="0.3">
      <c r="A126" s="104" t="s">
        <v>175</v>
      </c>
      <c r="B126" s="1" t="s">
        <v>477</v>
      </c>
    </row>
    <row r="127" spans="1:2" x14ac:dyDescent="0.3">
      <c r="A127" s="104" t="s">
        <v>176</v>
      </c>
      <c r="B127" s="1" t="s">
        <v>478</v>
      </c>
    </row>
    <row r="128" spans="1:2" x14ac:dyDescent="0.3">
      <c r="A128" s="104" t="s">
        <v>177</v>
      </c>
      <c r="B128" s="1" t="s">
        <v>479</v>
      </c>
    </row>
    <row r="129" spans="1:2" x14ac:dyDescent="0.3">
      <c r="A129" s="104" t="s">
        <v>178</v>
      </c>
      <c r="B129" s="1" t="s">
        <v>480</v>
      </c>
    </row>
    <row r="130" spans="1:2" x14ac:dyDescent="0.3">
      <c r="A130" s="104" t="s">
        <v>179</v>
      </c>
      <c r="B130" s="1" t="s">
        <v>481</v>
      </c>
    </row>
    <row r="131" spans="1:2" x14ac:dyDescent="0.3">
      <c r="A131" s="104" t="s">
        <v>180</v>
      </c>
      <c r="B131" s="1" t="s">
        <v>482</v>
      </c>
    </row>
    <row r="132" spans="1:2" x14ac:dyDescent="0.3">
      <c r="A132" s="104" t="s">
        <v>181</v>
      </c>
      <c r="B132" s="1" t="s">
        <v>483</v>
      </c>
    </row>
    <row r="133" spans="1:2" x14ac:dyDescent="0.3">
      <c r="A133" s="104" t="s">
        <v>182</v>
      </c>
      <c r="B133" s="1" t="s">
        <v>484</v>
      </c>
    </row>
    <row r="134" spans="1:2" x14ac:dyDescent="0.3">
      <c r="A134" s="104" t="s">
        <v>319</v>
      </c>
      <c r="B134" s="1" t="s">
        <v>485</v>
      </c>
    </row>
    <row r="135" spans="1:2" x14ac:dyDescent="0.3">
      <c r="A135" s="104" t="s">
        <v>321</v>
      </c>
      <c r="B135" s="1" t="s">
        <v>486</v>
      </c>
    </row>
    <row r="136" spans="1:2" x14ac:dyDescent="0.3">
      <c r="A136" s="104" t="s">
        <v>183</v>
      </c>
      <c r="B136" s="1" t="s">
        <v>487</v>
      </c>
    </row>
    <row r="137" spans="1:2" x14ac:dyDescent="0.3">
      <c r="A137" s="104" t="s">
        <v>184</v>
      </c>
      <c r="B137" s="1" t="s">
        <v>488</v>
      </c>
    </row>
    <row r="138" spans="1:2" x14ac:dyDescent="0.3">
      <c r="A138" s="104" t="s">
        <v>324</v>
      </c>
      <c r="B138" s="1" t="s">
        <v>489</v>
      </c>
    </row>
    <row r="139" spans="1:2" x14ac:dyDescent="0.3">
      <c r="A139" s="104" t="s">
        <v>325</v>
      </c>
      <c r="B139" s="1" t="s">
        <v>490</v>
      </c>
    </row>
    <row r="140" spans="1:2" x14ac:dyDescent="0.3">
      <c r="A140" s="104" t="s">
        <v>326</v>
      </c>
      <c r="B140" s="1" t="s">
        <v>491</v>
      </c>
    </row>
    <row r="141" spans="1:2" x14ac:dyDescent="0.3">
      <c r="A141" s="104" t="s">
        <v>327</v>
      </c>
      <c r="B141" s="1" t="s">
        <v>492</v>
      </c>
    </row>
    <row r="142" spans="1:2" x14ac:dyDescent="0.3">
      <c r="A142" s="104" t="s">
        <v>328</v>
      </c>
      <c r="B142" s="1" t="s">
        <v>493</v>
      </c>
    </row>
    <row r="143" spans="1:2" x14ac:dyDescent="0.3">
      <c r="A143" s="104" t="s">
        <v>329</v>
      </c>
      <c r="B143" s="1" t="s">
        <v>494</v>
      </c>
    </row>
    <row r="144" spans="1:2" x14ac:dyDescent="0.3">
      <c r="A144" s="104" t="s">
        <v>331</v>
      </c>
      <c r="B144" s="1" t="s">
        <v>495</v>
      </c>
    </row>
    <row r="145" spans="1:2" x14ac:dyDescent="0.3">
      <c r="A145" s="104" t="s">
        <v>332</v>
      </c>
      <c r="B145" s="1" t="s">
        <v>496</v>
      </c>
    </row>
    <row r="146" spans="1:2" x14ac:dyDescent="0.3">
      <c r="A146" s="104" t="s">
        <v>333</v>
      </c>
      <c r="B146" s="1" t="s">
        <v>497</v>
      </c>
    </row>
    <row r="147" spans="1:2" x14ac:dyDescent="0.3">
      <c r="A147" s="104" t="s">
        <v>334</v>
      </c>
      <c r="B147" s="1" t="s">
        <v>498</v>
      </c>
    </row>
    <row r="148" spans="1:2" x14ac:dyDescent="0.3">
      <c r="A148" s="104" t="s">
        <v>185</v>
      </c>
      <c r="B148" s="1" t="s">
        <v>499</v>
      </c>
    </row>
    <row r="149" spans="1:2" x14ac:dyDescent="0.3">
      <c r="A149" s="104" t="s">
        <v>186</v>
      </c>
      <c r="B149" s="1" t="s">
        <v>500</v>
      </c>
    </row>
    <row r="150" spans="1:2" x14ac:dyDescent="0.3">
      <c r="A150" s="104" t="s">
        <v>335</v>
      </c>
      <c r="B150" s="1" t="s">
        <v>501</v>
      </c>
    </row>
    <row r="151" spans="1:2" x14ac:dyDescent="0.3">
      <c r="A151" s="104" t="s">
        <v>187</v>
      </c>
      <c r="B151" s="1" t="s">
        <v>502</v>
      </c>
    </row>
    <row r="152" spans="1:2" x14ac:dyDescent="0.3">
      <c r="A152" s="104" t="s">
        <v>256</v>
      </c>
      <c r="B152" s="1" t="s">
        <v>503</v>
      </c>
    </row>
    <row r="153" spans="1:2" x14ac:dyDescent="0.3">
      <c r="A153" s="104" t="s">
        <v>267</v>
      </c>
      <c r="B153" s="1" t="s">
        <v>505</v>
      </c>
    </row>
    <row r="154" spans="1:2" x14ac:dyDescent="0.3">
      <c r="A154" s="104" t="s">
        <v>275</v>
      </c>
      <c r="B154" s="1" t="s">
        <v>506</v>
      </c>
    </row>
    <row r="155" spans="1:2" x14ac:dyDescent="0.3">
      <c r="A155" s="104" t="s">
        <v>277</v>
      </c>
      <c r="B155" s="1" t="s">
        <v>507</v>
      </c>
    </row>
    <row r="156" spans="1:2" x14ac:dyDescent="0.3">
      <c r="A156" s="104" t="s">
        <v>308</v>
      </c>
      <c r="B156" s="1" t="s">
        <v>508</v>
      </c>
    </row>
    <row r="157" spans="1:2" x14ac:dyDescent="0.3">
      <c r="A157" s="104" t="s">
        <v>316</v>
      </c>
      <c r="B157" s="1" t="s">
        <v>509</v>
      </c>
    </row>
    <row r="158" spans="1:2" x14ac:dyDescent="0.3">
      <c r="A158" s="104" t="s">
        <v>265</v>
      </c>
      <c r="B158" s="1" t="s">
        <v>504</v>
      </c>
    </row>
    <row r="159" spans="1:2" x14ac:dyDescent="0.3">
      <c r="A159" s="104" t="s">
        <v>330</v>
      </c>
      <c r="B159" s="1" t="s">
        <v>510</v>
      </c>
    </row>
    <row r="160" spans="1:2" x14ac:dyDescent="0.3">
      <c r="A160" s="104" t="s">
        <v>336</v>
      </c>
      <c r="B160" s="1" t="s">
        <v>511</v>
      </c>
    </row>
    <row r="161" spans="1:2" x14ac:dyDescent="0.3">
      <c r="A161" s="104" t="s">
        <v>255</v>
      </c>
      <c r="B161" s="1" t="s">
        <v>512</v>
      </c>
    </row>
    <row r="162" spans="1:2" x14ac:dyDescent="0.3">
      <c r="A162" s="104" t="s">
        <v>100</v>
      </c>
      <c r="B162" s="1" t="s">
        <v>513</v>
      </c>
    </row>
    <row r="163" spans="1:2" x14ac:dyDescent="0.3">
      <c r="A163" s="104" t="s">
        <v>193</v>
      </c>
      <c r="B163" s="1" t="s">
        <v>514</v>
      </c>
    </row>
    <row r="164" spans="1:2" x14ac:dyDescent="0.3">
      <c r="A164" s="104" t="s">
        <v>3</v>
      </c>
      <c r="B164" s="1" t="s">
        <v>515</v>
      </c>
    </row>
    <row r="165" spans="1:2" x14ac:dyDescent="0.3">
      <c r="A165" s="104" t="s">
        <v>253</v>
      </c>
      <c r="B165" s="1" t="s">
        <v>516</v>
      </c>
    </row>
    <row r="166" spans="1:2" x14ac:dyDescent="0.3">
      <c r="A166" s="104" t="s">
        <v>4</v>
      </c>
      <c r="B166" s="1" t="s">
        <v>517</v>
      </c>
    </row>
    <row r="167" spans="1:2" x14ac:dyDescent="0.3">
      <c r="A167" s="104" t="s">
        <v>347</v>
      </c>
      <c r="B167" s="1" t="s">
        <v>531</v>
      </c>
    </row>
    <row r="168" spans="1:2" x14ac:dyDescent="0.3">
      <c r="A168" s="104" t="s">
        <v>5</v>
      </c>
      <c r="B168" s="1" t="s">
        <v>5</v>
      </c>
    </row>
    <row r="169" spans="1:2" x14ac:dyDescent="0.3">
      <c r="A169" s="104" t="s">
        <v>6</v>
      </c>
      <c r="B169" s="1" t="s">
        <v>6</v>
      </c>
    </row>
    <row r="170" spans="1:2" x14ac:dyDescent="0.3">
      <c r="A170" s="104" t="s">
        <v>518</v>
      </c>
      <c r="B170" s="1" t="s">
        <v>522</v>
      </c>
    </row>
    <row r="171" spans="1:2" x14ac:dyDescent="0.3">
      <c r="A171" s="104" t="s">
        <v>519</v>
      </c>
      <c r="B171" s="1" t="s">
        <v>523</v>
      </c>
    </row>
    <row r="172" spans="1:2" x14ac:dyDescent="0.3">
      <c r="A172" s="104" t="s">
        <v>520</v>
      </c>
      <c r="B172" s="1" t="s">
        <v>524</v>
      </c>
    </row>
    <row r="173" spans="1:2" x14ac:dyDescent="0.3">
      <c r="A173" s="104" t="s">
        <v>521</v>
      </c>
      <c r="B173" s="1" t="s">
        <v>525</v>
      </c>
    </row>
    <row r="174" spans="1:2" x14ac:dyDescent="0.3">
      <c r="A174" s="104" t="s">
        <v>87</v>
      </c>
      <c r="B174" s="1" t="s">
        <v>526</v>
      </c>
    </row>
    <row r="175" spans="1:2" x14ac:dyDescent="0.3">
      <c r="A175" s="104" t="s">
        <v>88</v>
      </c>
      <c r="B175" s="1" t="s">
        <v>527</v>
      </c>
    </row>
    <row r="176" spans="1:2" x14ac:dyDescent="0.3">
      <c r="A176" s="104" t="s">
        <v>89</v>
      </c>
      <c r="B176" s="1" t="s">
        <v>528</v>
      </c>
    </row>
    <row r="177" spans="1:2" x14ac:dyDescent="0.3">
      <c r="A177" s="104" t="s">
        <v>90</v>
      </c>
      <c r="B177" s="1" t="s">
        <v>529</v>
      </c>
    </row>
    <row r="178" spans="1:2" x14ac:dyDescent="0.3">
      <c r="A178" s="104" t="s">
        <v>351</v>
      </c>
      <c r="B178" s="1" t="s">
        <v>530</v>
      </c>
    </row>
    <row r="179" spans="1:2" x14ac:dyDescent="0.3">
      <c r="A179" s="104" t="s">
        <v>532</v>
      </c>
      <c r="B179" s="1" t="s">
        <v>533</v>
      </c>
    </row>
    <row r="180" spans="1:2" x14ac:dyDescent="0.3">
      <c r="A180" s="104" t="s">
        <v>534</v>
      </c>
      <c r="B180" s="1" t="s">
        <v>535</v>
      </c>
    </row>
    <row r="181" spans="1:2" x14ac:dyDescent="0.3">
      <c r="A181" s="104" t="s">
        <v>536</v>
      </c>
      <c r="B181" s="1" t="s">
        <v>537</v>
      </c>
    </row>
    <row r="182" spans="1:2" x14ac:dyDescent="0.3">
      <c r="A182" s="104" t="s">
        <v>538</v>
      </c>
      <c r="B182" s="1" t="s">
        <v>196</v>
      </c>
    </row>
  </sheetData>
  <conditionalFormatting sqref="A2:A182">
    <cfRule type="duplicateValues" dxfId="33" priority="70"/>
  </conditionalFormatting>
  <conditionalFormatting sqref="B2:B182">
    <cfRule type="duplicateValues" dxfId="32" priority="72"/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A2DA-8C4C-452C-9C71-7B8473D9CF17}">
  <sheetPr codeName="ShBackend"/>
  <dimension ref="A1:C5"/>
  <sheetViews>
    <sheetView showGridLines="0" workbookViewId="0">
      <selection activeCell="C13" sqref="C13"/>
    </sheetView>
  </sheetViews>
  <sheetFormatPr baseColWidth="10" defaultColWidth="8.88671875" defaultRowHeight="14.4" x14ac:dyDescent="0.3"/>
  <cols>
    <col min="1" max="1" width="18.33203125" customWidth="1"/>
    <col min="4" max="4" width="12.33203125" customWidth="1"/>
  </cols>
  <sheetData>
    <row r="1" spans="1:3" x14ac:dyDescent="0.3">
      <c r="A1" s="20" t="s">
        <v>86</v>
      </c>
      <c r="B1" s="1" cm="1">
        <f t="array" ref="B1">_xlfn.IFS(IsDaysGantt,1,IsWeeksGant,7,IsMonthsGantt,30)</f>
        <v>1</v>
      </c>
      <c r="C1" s="1">
        <v>1</v>
      </c>
    </row>
    <row r="2" spans="1:3" x14ac:dyDescent="0.3">
      <c r="A2" s="20" t="s">
        <v>99</v>
      </c>
      <c r="B2" t="b">
        <v>0</v>
      </c>
    </row>
    <row r="3" spans="1:3" x14ac:dyDescent="0.3">
      <c r="A3" s="20" t="s">
        <v>192</v>
      </c>
      <c r="B3" t="b">
        <f>RadioBtnResult=1</f>
        <v>1</v>
      </c>
    </row>
    <row r="4" spans="1:3" x14ac:dyDescent="0.3">
      <c r="A4" s="20" t="s">
        <v>190</v>
      </c>
      <c r="B4" s="4" t="b">
        <f>RadioBtnResult=2</f>
        <v>0</v>
      </c>
    </row>
    <row r="5" spans="1:3" x14ac:dyDescent="0.3">
      <c r="A5" s="20" t="s">
        <v>191</v>
      </c>
      <c r="B5" t="b">
        <f>RadioBtnResult=3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26</vt:i4>
      </vt:variant>
    </vt:vector>
  </HeadingPairs>
  <TitlesOfParts>
    <vt:vector size="29" baseType="lpstr">
      <vt:lpstr>Plan de charge</vt:lpstr>
      <vt:lpstr>Ressources</vt:lpstr>
      <vt:lpstr>Paramétrage</vt:lpstr>
      <vt:lpstr>DaysToIncrement</vt:lpstr>
      <vt:lpstr>FirstMonthTheme</vt:lpstr>
      <vt:lpstr>GanttHeader</vt:lpstr>
      <vt:lpstr>GanttHeaderAll</vt:lpstr>
      <vt:lpstr>GanttHeaderDateWeeks</vt:lpstr>
      <vt:lpstr>GanttHeaderMonthsWeeks</vt:lpstr>
      <vt:lpstr>GanttHeaderYears</vt:lpstr>
      <vt:lpstr>IsDaysGantt</vt:lpstr>
      <vt:lpstr>IsMaximize</vt:lpstr>
      <vt:lpstr>IsMonthsGantt</vt:lpstr>
      <vt:lpstr>IsProject</vt:lpstr>
      <vt:lpstr>IsWeeksGant</vt:lpstr>
      <vt:lpstr>Langue</vt:lpstr>
      <vt:lpstr>LBL_HOLIDAY_LIST</vt:lpstr>
      <vt:lpstr>LBL_STATUS</vt:lpstr>
      <vt:lpstr>LBL_TAB_HOLIDAYS</vt:lpstr>
      <vt:lpstr>LBL_TAB_STATUS</vt:lpstr>
      <vt:lpstr>ProgressionFormat</vt:lpstr>
      <vt:lpstr>ProjectStart</vt:lpstr>
      <vt:lpstr>RadioBtnResult</vt:lpstr>
      <vt:lpstr>RESS_LBL_TAB</vt:lpstr>
      <vt:lpstr>ScrollingIncrement</vt:lpstr>
      <vt:lpstr>SecondMonthTheme</vt:lpstr>
      <vt:lpstr>SETT_HEADER</vt:lpstr>
      <vt:lpstr>SETT_SUBHEADER</vt:lpstr>
      <vt:lpstr>TodayFormat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Samir</cp:lastModifiedBy>
  <cp:lastPrinted>2023-04-05T10:50:05Z</cp:lastPrinted>
  <dcterms:created xsi:type="dcterms:W3CDTF">2023-04-01T16:52:07Z</dcterms:created>
  <dcterms:modified xsi:type="dcterms:W3CDTF">2023-10-27T09:52:11Z</dcterms:modified>
</cp:coreProperties>
</file>