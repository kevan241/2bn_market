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ctrlProps/ctrlProp4.xml" ContentType="application/vnd.ms-excel.controlpropertie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amir\Desktop\"/>
    </mc:Choice>
  </mc:AlternateContent>
  <xr:revisionPtr revIDLastSave="0" documentId="13_ncr:1_{678655FF-699C-451B-8B62-51A99710C014}" xr6:coauthVersionLast="47" xr6:coauthVersionMax="47" xr10:uidLastSave="{00000000-0000-0000-0000-000000000000}"/>
  <bookViews>
    <workbookView xWindow="-108" yWindow="-108" windowWidth="23256" windowHeight="12456" tabRatio="397" firstSheet="1" activeTab="1" xr2:uid="{E9E35B5E-CE22-48DD-9FF9-C057520BCDE5}"/>
  </bookViews>
  <sheets>
    <sheet name="Guide d'utilisation" sheetId="5" state="veryHidden" r:id="rId1"/>
    <sheet name="Diagramme de Gantt" sheetId="1" r:id="rId2"/>
    <sheet name="Ressources" sheetId="4" r:id="rId3"/>
    <sheet name="Paramétrage" sheetId="2" r:id="rId4"/>
    <sheet name="Langue" sheetId="6" state="veryHidden" r:id="rId5"/>
    <sheet name="Backend" sheetId="3" state="veryHidden" r:id="rId6"/>
  </sheets>
  <functionGroups builtInGroupCount="19"/>
  <definedNames>
    <definedName name="DaysToIncrement">Backend!$B$1</definedName>
    <definedName name="FirstMonthTheme">Paramétrage!$AP$9</definedName>
    <definedName name="GanttHeader">'Diagramme de Gantt'!$P$9:$BS$9</definedName>
    <definedName name="GanttHeaderAll">'Diagramme de Gantt'!$P$5:$BS$11</definedName>
    <definedName name="GanttHeaderDateWeeks">'Diagramme de Gantt'!$P$8:$BS$8</definedName>
    <definedName name="GanttHeaderMonthsWeeks">'Diagramme de Gantt'!$P$5:$BS$5</definedName>
    <definedName name="GanttHeaderYears">'Diagramme de Gantt'!$P$6:$BS$6</definedName>
    <definedName name="IsDaysGantt">Backend!$B$3</definedName>
    <definedName name="IsMaximize">Backend!$B$2</definedName>
    <definedName name="IsMonthsGantt">Backend!$B$5</definedName>
    <definedName name="IsProject">Paramétrage!$AI$8</definedName>
    <definedName name="IsWeeksGant">Backend!$B$4</definedName>
    <definedName name="Langue">Paramétrage!$N$4</definedName>
    <definedName name="LBL_HOLIDAY_LIST">Paramétrage!$F$6</definedName>
    <definedName name="LBL_STATUS">Paramétrage!$B$6</definedName>
    <definedName name="LBL_TAB_HOLIDAYS">Paramétrage!$F$8:$G$8</definedName>
    <definedName name="LBL_TAB_STATUS">Paramétrage!$B$8:$D$8</definedName>
    <definedName name="ProgressionFormat">Paramétrage!$F$12</definedName>
    <definedName name="ProjectDone">Paramétrage!#REF!</definedName>
    <definedName name="ProjectStart">'Diagramme de Gantt'!$AH$4</definedName>
    <definedName name="RadioBtnResult">Backend!$C$1</definedName>
    <definedName name="ScrollingIncrement">Paramétrage!$AP$3</definedName>
    <definedName name="SecondMonthTheme">Paramétrage!$AP$10</definedName>
    <definedName name="SETT_HEADER">Paramétrage!$M$1:$M$3</definedName>
    <definedName name="SETT_SUBHEADER">Paramétrage!$B$4</definedName>
    <definedName name="TodayFormat">Paramétrage!$AM$9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P6" i="1" l="1"/>
  <c r="BP5" i="1"/>
  <c r="BL6" i="1"/>
  <c r="BL5" i="1"/>
  <c r="BG6" i="1"/>
  <c r="BG5" i="1"/>
  <c r="BC6" i="1"/>
  <c r="BC5" i="1"/>
  <c r="AY6" i="1"/>
  <c r="AY5" i="1"/>
  <c r="AT6" i="1"/>
  <c r="AT5" i="1"/>
  <c r="AP6" i="1"/>
  <c r="AP5" i="1"/>
  <c r="AL6" i="1"/>
  <c r="AL5" i="1"/>
  <c r="AG6" i="1"/>
  <c r="AG5" i="1"/>
  <c r="AC6" i="1"/>
  <c r="AC5" i="1"/>
  <c r="Y6" i="1"/>
  <c r="Y5" i="1"/>
  <c r="T6" i="1"/>
  <c r="T5" i="1"/>
  <c r="P6" i="1"/>
  <c r="P5" i="1"/>
  <c r="F14" i="1" l="1"/>
  <c r="F15" i="1" s="1"/>
  <c r="F16" i="1" s="1"/>
  <c r="F17" i="1" s="1"/>
  <c r="F18" i="1" s="1"/>
  <c r="F19" i="1" s="1"/>
  <c r="F20" i="1"/>
  <c r="F21" i="1" s="1"/>
  <c r="F22" i="1" s="1"/>
  <c r="F23" i="1" s="1"/>
  <c r="F24" i="1" s="1"/>
  <c r="F25" i="1" s="1"/>
  <c r="F26" i="1"/>
  <c r="F27" i="1" s="1"/>
  <c r="F28" i="1" s="1"/>
  <c r="F29" i="1" s="1"/>
  <c r="F30" i="1" s="1"/>
  <c r="F31" i="1" s="1"/>
  <c r="F32" i="1" s="1"/>
  <c r="F33" i="1"/>
  <c r="F34" i="1" s="1"/>
  <c r="F35" i="1" s="1"/>
  <c r="F36" i="1" s="1"/>
  <c r="F37" i="1" s="1"/>
  <c r="F38" i="1" s="1"/>
  <c r="F39" i="1" s="1"/>
  <c r="F40" i="1" s="1"/>
  <c r="F41" i="1" s="1"/>
  <c r="F42" i="1" s="1"/>
  <c r="F43" i="1" s="1"/>
  <c r="F44" i="1" s="1"/>
  <c r="F45" i="1" s="1"/>
  <c r="F46" i="1" s="1"/>
  <c r="F47" i="1" s="1"/>
  <c r="F48" i="1" s="1"/>
  <c r="F49" i="1"/>
  <c r="F50" i="1" s="1"/>
  <c r="F51" i="1" s="1"/>
  <c r="F52" i="1" s="1"/>
  <c r="F53" i="1" s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D14" i="1"/>
  <c r="D15" i="1" s="1"/>
  <c r="D16" i="1" s="1"/>
  <c r="D17" i="1" s="1"/>
  <c r="D18" i="1" s="1"/>
  <c r="D19" i="1" s="1"/>
  <c r="D20" i="1" s="1"/>
  <c r="D21" i="1" s="1"/>
  <c r="D22" i="1" s="1"/>
  <c r="D23" i="1" s="1"/>
  <c r="D24" i="1" s="1"/>
  <c r="D25" i="1" s="1"/>
  <c r="D26" i="1" s="1"/>
  <c r="D27" i="1" s="1"/>
  <c r="D28" i="1" s="1"/>
  <c r="D29" i="1" s="1"/>
  <c r="D30" i="1" s="1"/>
  <c r="D31" i="1" s="1"/>
  <c r="D32" i="1" s="1"/>
  <c r="D33" i="1" s="1"/>
  <c r="D34" i="1" s="1"/>
  <c r="D35" i="1" s="1"/>
  <c r="D36" i="1" s="1"/>
  <c r="D37" i="1" s="1"/>
  <c r="D38" i="1" s="1"/>
  <c r="D39" i="1" s="1"/>
  <c r="D40" i="1" s="1"/>
  <c r="D41" i="1" s="1"/>
  <c r="D42" i="1" s="1"/>
  <c r="D43" i="1" s="1"/>
  <c r="D44" i="1" s="1"/>
  <c r="D45" i="1" s="1"/>
  <c r="D46" i="1" s="1"/>
  <c r="D47" i="1" s="1"/>
  <c r="D48" i="1" s="1"/>
  <c r="D49" i="1" s="1"/>
  <c r="D50" i="1" s="1"/>
  <c r="D51" i="1" s="1"/>
  <c r="D52" i="1" s="1"/>
  <c r="D53" i="1" s="1"/>
  <c r="M53" i="1" l="1"/>
  <c r="M52" i="1"/>
  <c r="M51" i="1"/>
  <c r="M50" i="1"/>
  <c r="M48" i="1"/>
  <c r="M47" i="1"/>
  <c r="M46" i="1"/>
  <c r="M45" i="1"/>
  <c r="M44" i="1"/>
  <c r="M43" i="1"/>
  <c r="M42" i="1"/>
  <c r="M41" i="1"/>
  <c r="M40" i="1"/>
  <c r="M39" i="1"/>
  <c r="M38" i="1"/>
  <c r="M37" i="1"/>
  <c r="M36" i="1"/>
  <c r="M35" i="1"/>
  <c r="M34" i="1"/>
  <c r="M32" i="1"/>
  <c r="M31" i="1"/>
  <c r="M30" i="1"/>
  <c r="M29" i="1"/>
  <c r="M28" i="1"/>
  <c r="M27" i="1"/>
  <c r="M25" i="1"/>
  <c r="M24" i="1"/>
  <c r="M23" i="1"/>
  <c r="M22" i="1"/>
  <c r="M21" i="1"/>
  <c r="M16" i="1"/>
  <c r="M17" i="1"/>
  <c r="M18" i="1"/>
  <c r="M19" i="1"/>
  <c r="M15" i="1"/>
  <c r="L49" i="1" l="1"/>
  <c r="N49" i="1"/>
  <c r="L14" i="1"/>
  <c r="B15" i="1"/>
  <c r="B14" i="1"/>
  <c r="B4" i="3"/>
  <c r="B5" i="3"/>
  <c r="B3" i="3"/>
  <c r="K14" i="1"/>
  <c r="M14" i="1"/>
  <c r="BI8" i="1" l="1"/>
  <c r="BI11" i="1" s="1"/>
  <c r="N9" i="1"/>
  <c r="B16" i="1"/>
  <c r="B17" i="1"/>
  <c r="B18" i="1"/>
  <c r="B20" i="1"/>
  <c r="BK8" i="1"/>
  <c r="Q8" i="1"/>
  <c r="R8" i="1"/>
  <c r="BH8" i="1"/>
  <c r="BL8" i="1"/>
  <c r="BQ8" i="1"/>
  <c r="AD8" i="1"/>
  <c r="BJ8" i="1"/>
  <c r="AE8" i="1"/>
  <c r="AB8" i="1"/>
  <c r="AF8" i="1"/>
  <c r="AG8" i="1"/>
  <c r="AU8" i="1"/>
  <c r="AH8" i="1"/>
  <c r="AZ8" i="1"/>
  <c r="AT8" i="1"/>
  <c r="BA8" i="1"/>
  <c r="AJ8" i="1"/>
  <c r="BN8" i="1"/>
  <c r="AK8" i="1"/>
  <c r="BO8" i="1"/>
  <c r="AI8" i="1"/>
  <c r="BM8" i="1"/>
  <c r="P8" i="1"/>
  <c r="AR8" i="1"/>
  <c r="BP8" i="1"/>
  <c r="S8" i="1"/>
  <c r="AV8" i="1"/>
  <c r="T8" i="1"/>
  <c r="AW8" i="1"/>
  <c r="U8" i="1"/>
  <c r="AX8" i="1"/>
  <c r="V8" i="1"/>
  <c r="AY8" i="1"/>
  <c r="BB8" i="1"/>
  <c r="W8" i="1"/>
  <c r="BC8" i="1"/>
  <c r="X8" i="1"/>
  <c r="BD8" i="1"/>
  <c r="Y8" i="1"/>
  <c r="AO8" i="1"/>
  <c r="BE8" i="1"/>
  <c r="AL8" i="1"/>
  <c r="BR8" i="1"/>
  <c r="AM8" i="1"/>
  <c r="BS8" i="1"/>
  <c r="AN8" i="1"/>
  <c r="Z8" i="1"/>
  <c r="AP8" i="1"/>
  <c r="BF8" i="1"/>
  <c r="AA8" i="1"/>
  <c r="AQ8" i="1"/>
  <c r="BG8" i="1"/>
  <c r="AC8" i="1"/>
  <c r="AS8" i="1"/>
  <c r="B1" i="3" a="1"/>
  <c r="B1" i="3" s="1"/>
  <c r="B19" i="1" l="1"/>
  <c r="B21" i="1"/>
  <c r="AH11" i="1"/>
  <c r="AL11" i="1"/>
  <c r="AP11" i="1"/>
  <c r="AQ11" i="1"/>
  <c r="BN11" i="1"/>
  <c r="AJ11" i="1"/>
  <c r="BS11" i="1"/>
  <c r="AS11" i="1"/>
  <c r="AO11" i="1"/>
  <c r="BO11" i="1"/>
  <c r="BM11" i="1"/>
  <c r="AI11" i="1"/>
  <c r="AR11" i="1"/>
  <c r="BP11" i="1"/>
  <c r="AK11" i="1"/>
  <c r="BR11" i="1"/>
  <c r="AN11" i="1"/>
  <c r="AM11" i="1"/>
  <c r="BQ11" i="1"/>
  <c r="AT11" i="1"/>
  <c r="AU11" i="1"/>
  <c r="AW11" i="1"/>
  <c r="R11" i="1"/>
  <c r="S11" i="1"/>
  <c r="AX11" i="1"/>
  <c r="T11" i="1"/>
  <c r="AY11" i="1"/>
  <c r="U11" i="1"/>
  <c r="AZ11" i="1"/>
  <c r="V11" i="1"/>
  <c r="BA11" i="1"/>
  <c r="W11" i="1"/>
  <c r="BB11" i="1"/>
  <c r="X11" i="1"/>
  <c r="BC11" i="1"/>
  <c r="Y11" i="1"/>
  <c r="BD11" i="1"/>
  <c r="BE11" i="1"/>
  <c r="Z11" i="1"/>
  <c r="AA11" i="1"/>
  <c r="BF11" i="1"/>
  <c r="AB11" i="1"/>
  <c r="BG11" i="1"/>
  <c r="AC11" i="1"/>
  <c r="BH11" i="1"/>
  <c r="AD11" i="1"/>
  <c r="AG11" i="1"/>
  <c r="BL11" i="1"/>
  <c r="AF11" i="1"/>
  <c r="BK11" i="1"/>
  <c r="AE11" i="1"/>
  <c r="BJ11" i="1"/>
  <c r="P11" i="1"/>
  <c r="AV11" i="1"/>
  <c r="Q11" i="1"/>
  <c r="B22" i="1" l="1"/>
  <c r="B23" i="1" l="1"/>
  <c r="B24" i="1" l="1"/>
  <c r="B25" i="1" l="1"/>
  <c r="P9" i="1"/>
  <c r="AP9" i="1"/>
  <c r="AO9" i="1"/>
  <c r="AM9" i="1"/>
  <c r="AL9" i="1"/>
  <c r="AC9" i="1"/>
  <c r="S9" i="1"/>
  <c r="AK9" i="1"/>
  <c r="AH9" i="1"/>
  <c r="AS9" i="1"/>
  <c r="BJ9" i="1"/>
  <c r="AT9" i="1"/>
  <c r="BH9" i="1"/>
  <c r="AW9" i="1"/>
  <c r="BQ9" i="1"/>
  <c r="R9" i="1"/>
  <c r="BR9" i="1"/>
  <c r="BS9" i="1"/>
  <c r="AB9" i="1"/>
  <c r="T9" i="1"/>
  <c r="BO9" i="1"/>
  <c r="AA9" i="1"/>
  <c r="BG9" i="1"/>
  <c r="AY9" i="1"/>
  <c r="BC9" i="1"/>
  <c r="AX9" i="1"/>
  <c r="AQ9" i="1"/>
  <c r="AD9" i="1"/>
  <c r="W9" i="1"/>
  <c r="V9" i="1"/>
  <c r="AZ9" i="1"/>
  <c r="BE9" i="1"/>
  <c r="U9" i="1"/>
  <c r="BF9" i="1"/>
  <c r="AN9" i="1"/>
  <c r="AF9" i="1"/>
  <c r="BI9" i="1"/>
  <c r="Z9" i="1"/>
  <c r="BP9" i="1"/>
  <c r="AR9" i="1"/>
  <c r="AJ9" i="1"/>
  <c r="AG9" i="1"/>
  <c r="BM9" i="1"/>
  <c r="BN9" i="1"/>
  <c r="BA9" i="1"/>
  <c r="AV9" i="1"/>
  <c r="BK9" i="1"/>
  <c r="BL9" i="1"/>
  <c r="AU9" i="1"/>
  <c r="AE9" i="1"/>
  <c r="Y9" i="1"/>
  <c r="AI9" i="1"/>
  <c r="BB9" i="1"/>
  <c r="BD9" i="1"/>
  <c r="X9" i="1"/>
  <c r="Q9" i="1"/>
  <c r="B26" i="1" l="1"/>
  <c r="B27" i="1" l="1"/>
  <c r="M20" i="1"/>
  <c r="K20" i="1"/>
  <c r="B28" i="1" l="1"/>
  <c r="O42" i="1"/>
  <c r="O36" i="1"/>
  <c r="O52" i="1"/>
  <c r="O16" i="1"/>
  <c r="O23" i="1"/>
  <c r="O37" i="1"/>
  <c r="O39" i="1"/>
  <c r="O45" i="1"/>
  <c r="O18" i="1"/>
  <c r="O41" i="1"/>
  <c r="O51" i="1"/>
  <c r="O22" i="1"/>
  <c r="O31" i="1"/>
  <c r="O47" i="1"/>
  <c r="O44" i="1"/>
  <c r="O29" i="1"/>
  <c r="O38" i="1"/>
  <c r="O50" i="1"/>
  <c r="O30" i="1"/>
  <c r="O46" i="1"/>
  <c r="O40" i="1"/>
  <c r="O53" i="1"/>
  <c r="O43" i="1"/>
  <c r="O28" i="1"/>
  <c r="O34" i="1"/>
  <c r="O35" i="1"/>
  <c r="B29" i="1" l="1"/>
  <c r="O24" i="1"/>
  <c r="O19" i="1"/>
  <c r="O25" i="1"/>
  <c r="O15" i="1"/>
  <c r="O32" i="1"/>
  <c r="O48" i="1"/>
  <c r="O27" i="1"/>
  <c r="O21" i="1"/>
  <c r="B30" i="1" l="1"/>
  <c r="B31" i="1" l="1"/>
  <c r="B32" i="1" l="1"/>
  <c r="B33" i="1" l="1"/>
  <c r="B34" i="1" l="1"/>
  <c r="K26" i="1"/>
  <c r="M26" i="1"/>
  <c r="B35" i="1" l="1"/>
  <c r="B36" i="1" l="1"/>
  <c r="B37" i="1" l="1"/>
  <c r="B38" i="1" l="1"/>
  <c r="B39" i="1" l="1"/>
  <c r="B40" i="1" l="1"/>
  <c r="B41" i="1" l="1"/>
  <c r="B42" i="1" l="1"/>
  <c r="B43" i="1" l="1"/>
  <c r="B44" i="1" l="1"/>
  <c r="B45" i="1" l="1"/>
  <c r="B46" i="1" l="1"/>
  <c r="B47" i="1" l="1"/>
  <c r="B48" i="1" l="1"/>
  <c r="B49" i="1" l="1"/>
  <c r="M49" i="1"/>
  <c r="K49" i="1"/>
  <c r="B50" i="1" l="1"/>
  <c r="K33" i="1"/>
  <c r="M33" i="1"/>
  <c r="M12" i="1" l="1"/>
  <c r="K12" i="1"/>
  <c r="B51" i="1"/>
  <c r="B52" i="1" l="1"/>
  <c r="B53" i="1" l="1"/>
  <c r="O17" i="1" l="1"/>
  <c r="N20" i="1" l="1"/>
  <c r="O20" i="1" s="1"/>
  <c r="L20" i="1"/>
  <c r="L26" i="1"/>
  <c r="O49" i="1"/>
  <c r="L33" i="1"/>
  <c r="L12" i="1" l="1"/>
  <c r="N26" i="1" l="1"/>
  <c r="O26" i="1" s="1"/>
  <c r="N33" i="1"/>
  <c r="O33" i="1" l="1"/>
  <c r="N14" i="1"/>
  <c r="O14" i="1" s="1"/>
  <c r="N12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<sst xmlns="http://schemas.openxmlformats.org/spreadsheetml/2006/main" count="655" uniqueCount="420">
  <si>
    <t>ID</t>
  </si>
  <si>
    <t>WBS - Activité / tâche</t>
  </si>
  <si>
    <t>Dépendance</t>
  </si>
  <si>
    <t>Attribuée à</t>
  </si>
  <si>
    <t>Début</t>
  </si>
  <si>
    <t>Deadline</t>
  </si>
  <si>
    <t>Progression</t>
  </si>
  <si>
    <t>Thème</t>
  </si>
  <si>
    <t>IDProj</t>
  </si>
  <si>
    <t>Point</t>
  </si>
  <si>
    <t>IDSubProj</t>
  </si>
  <si>
    <t>Olivier Robespierre</t>
  </si>
  <si>
    <t>Bernard Dupuis</t>
  </si>
  <si>
    <t>Eric Duteil</t>
  </si>
  <si>
    <t>Denise Attali</t>
  </si>
  <si>
    <t>Marcel Poste</t>
  </si>
  <si>
    <t>Daniel Château</t>
  </si>
  <si>
    <t>Georges Clonet</t>
  </si>
  <si>
    <t>Marc Ellin</t>
  </si>
  <si>
    <t>Antoine Fleur</t>
  </si>
  <si>
    <t>Henri Saulnier</t>
  </si>
  <si>
    <t>Edouard Leperre</t>
  </si>
  <si>
    <t>Gérard Lourte</t>
  </si>
  <si>
    <t>Carine Refour</t>
  </si>
  <si>
    <t>Jacques Meunier</t>
  </si>
  <si>
    <t>Jean Albert</t>
  </si>
  <si>
    <t>Marianne Anselme</t>
  </si>
  <si>
    <t>X</t>
  </si>
  <si>
    <t>Is Project</t>
  </si>
  <si>
    <t>C0</t>
  </si>
  <si>
    <t>C1</t>
  </si>
  <si>
    <t>C2</t>
  </si>
  <si>
    <t>C3</t>
  </si>
  <si>
    <t>C4</t>
  </si>
  <si>
    <t>C5</t>
  </si>
  <si>
    <t>C6</t>
  </si>
  <si>
    <t>C7</t>
  </si>
  <si>
    <t>C8</t>
  </si>
  <si>
    <t>C9</t>
  </si>
  <si>
    <t>C10</t>
  </si>
  <si>
    <t>C11</t>
  </si>
  <si>
    <t>C12</t>
  </si>
  <si>
    <t>C13</t>
  </si>
  <si>
    <t>C14</t>
  </si>
  <si>
    <t>C15</t>
  </si>
  <si>
    <t>C16</t>
  </si>
  <si>
    <t>C17</t>
  </si>
  <si>
    <t>C18</t>
  </si>
  <si>
    <t>C19</t>
  </si>
  <si>
    <t>C20</t>
  </si>
  <si>
    <t>C21</t>
  </si>
  <si>
    <t>C22</t>
  </si>
  <si>
    <t>C23</t>
  </si>
  <si>
    <t>C24</t>
  </si>
  <si>
    <t>C25</t>
  </si>
  <si>
    <t>C26</t>
  </si>
  <si>
    <t>C27</t>
  </si>
  <si>
    <t>C28</t>
  </si>
  <si>
    <t>C29</t>
  </si>
  <si>
    <t>C30</t>
  </si>
  <si>
    <t>C31</t>
  </si>
  <si>
    <t>C32</t>
  </si>
  <si>
    <t>C33</t>
  </si>
  <si>
    <t>C34</t>
  </si>
  <si>
    <t>C35</t>
  </si>
  <si>
    <t>C36</t>
  </si>
  <si>
    <t>C37</t>
  </si>
  <si>
    <t>C38</t>
  </si>
  <si>
    <t>C39</t>
  </si>
  <si>
    <t>C40</t>
  </si>
  <si>
    <t>C41</t>
  </si>
  <si>
    <t>C42</t>
  </si>
  <si>
    <t>C43</t>
  </si>
  <si>
    <t>C44</t>
  </si>
  <si>
    <t>C45</t>
  </si>
  <si>
    <t>C46</t>
  </si>
  <si>
    <t>C47</t>
  </si>
  <si>
    <t>C48</t>
  </si>
  <si>
    <t>C49</t>
  </si>
  <si>
    <t>C50</t>
  </si>
  <si>
    <t>C51</t>
  </si>
  <si>
    <t>C52</t>
  </si>
  <si>
    <t>C53</t>
  </si>
  <si>
    <t>Scrolling Increment:</t>
  </si>
  <si>
    <t>C54</t>
  </si>
  <si>
    <t>C55</t>
  </si>
  <si>
    <t>Gantt type</t>
  </si>
  <si>
    <t>Diagramme de Gantt</t>
  </si>
  <si>
    <t>Nom / Code projet</t>
  </si>
  <si>
    <t>Référence</t>
  </si>
  <si>
    <t>Non/code du portefeuille</t>
  </si>
  <si>
    <t>PMO</t>
  </si>
  <si>
    <t>Project X</t>
  </si>
  <si>
    <t>R47P58X</t>
  </si>
  <si>
    <t>Portefeuille X</t>
  </si>
  <si>
    <t>Alain DURAND</t>
  </si>
  <si>
    <t>Date de création</t>
  </si>
  <si>
    <t>Date de la version</t>
  </si>
  <si>
    <t>Numéro de version</t>
  </si>
  <si>
    <t>V3.4</t>
  </si>
  <si>
    <t>Maximize</t>
  </si>
  <si>
    <t>Statut</t>
  </si>
  <si>
    <t>Urgent</t>
  </si>
  <si>
    <t>En progress</t>
  </si>
  <si>
    <t>Reporté</t>
  </si>
  <si>
    <t>Nom</t>
  </si>
  <si>
    <t>Rôle</t>
  </si>
  <si>
    <t>Adresse email</t>
  </si>
  <si>
    <t>Téléphone</t>
  </si>
  <si>
    <t>Chantal Dupont</t>
  </si>
  <si>
    <t>Chef de Projet</t>
  </si>
  <si>
    <t>DupontC@confassis.com</t>
  </si>
  <si>
    <t>Sponsor</t>
  </si>
  <si>
    <t>RobespierreO@confassis.com</t>
  </si>
  <si>
    <t>Responsable Intégration</t>
  </si>
  <si>
    <t>MeunierJ@confassis.com</t>
  </si>
  <si>
    <t>Monique Davant</t>
  </si>
  <si>
    <t>Coordinatrice Finances</t>
  </si>
  <si>
    <t>DavantM@confassis.com</t>
  </si>
  <si>
    <t>Coordinatrice Ventes</t>
  </si>
  <si>
    <t>AttaliD@confassis.com</t>
  </si>
  <si>
    <t>Coordinateur Achats</t>
  </si>
  <si>
    <t>AlbertJ@confassis.com</t>
  </si>
  <si>
    <t>Coordinateur Logistique</t>
  </si>
  <si>
    <t>DuteilE@confassis.com</t>
  </si>
  <si>
    <t>Directeur Informatique</t>
  </si>
  <si>
    <t>ChateauD@confassis.com</t>
  </si>
  <si>
    <t>Responsable du Changement</t>
  </si>
  <si>
    <t>DupuisB@confassis.com</t>
  </si>
  <si>
    <t>Expert SAP Finances FI/CO</t>
  </si>
  <si>
    <t>AnselmeM@confassis.com</t>
  </si>
  <si>
    <t>Expert SAP Finances Immobilisations</t>
  </si>
  <si>
    <t>LourteG@confassis.com</t>
  </si>
  <si>
    <t>Expert SAP Ventes</t>
  </si>
  <si>
    <t>PosteM@confassis.com</t>
  </si>
  <si>
    <t>Bernard Tassin</t>
  </si>
  <si>
    <t>TassinB@confassis.com</t>
  </si>
  <si>
    <t>Expert SAP Achats</t>
  </si>
  <si>
    <t>LeperreE@confassis.com</t>
  </si>
  <si>
    <t>RefourC@confassis.com</t>
  </si>
  <si>
    <t>Expert SAP Logistique</t>
  </si>
  <si>
    <t>SaulnierH@confassis.com</t>
  </si>
  <si>
    <t>EllinM@confassis.com</t>
  </si>
  <si>
    <t>Juliette Binot</t>
  </si>
  <si>
    <t>Experte Master Data</t>
  </si>
  <si>
    <t>BinotJ@confassis.com</t>
  </si>
  <si>
    <t>Expert Master Data</t>
  </si>
  <si>
    <t>FleurA@confassis.com</t>
  </si>
  <si>
    <t>Coordinateur Production</t>
  </si>
  <si>
    <t>ClonetG@confassis.com</t>
  </si>
  <si>
    <t>Utilisateurs CMRL</t>
  </si>
  <si>
    <t>Testeurs et valideurs</t>
  </si>
  <si>
    <t>Ressources</t>
  </si>
  <si>
    <t>Paramétrage</t>
  </si>
  <si>
    <t>Guide d'utilisation</t>
  </si>
  <si>
    <t>Projet</t>
  </si>
  <si>
    <t>Initialisation</t>
  </si>
  <si>
    <t>Etude d'opportunité et approbation</t>
  </si>
  <si>
    <t>Préparation de la Charte Projet - Justification</t>
  </si>
  <si>
    <t xml:space="preserve">Estimation coûts/délais </t>
  </si>
  <si>
    <t>Rédaction de la Charte Projet</t>
  </si>
  <si>
    <t>Approbation de la Charte Projet</t>
  </si>
  <si>
    <t>Planification</t>
  </si>
  <si>
    <t>Conception générale</t>
  </si>
  <si>
    <t>Rédaction du cahier des charges</t>
  </si>
  <si>
    <t>Etablissement du Planning</t>
  </si>
  <si>
    <t>Etablissement Plan de Communication</t>
  </si>
  <si>
    <t>Approbation Cahier des charges,Plan de communication, Plan de projet et Planning</t>
  </si>
  <si>
    <t>Réalisation</t>
  </si>
  <si>
    <t xml:space="preserve">Paramétrage et tests unitaires </t>
  </si>
  <si>
    <t>Paramétrage et corrections Master Data</t>
  </si>
  <si>
    <t>Paramétrage, programmation et test Production</t>
  </si>
  <si>
    <t xml:space="preserve">Tests, corrections et validation du système </t>
  </si>
  <si>
    <t>Validation officielle par les utilisateurs</t>
  </si>
  <si>
    <t>Validation de la phase par le comité de direction</t>
  </si>
  <si>
    <t>Contrôle et suivi</t>
  </si>
  <si>
    <t>Tests d'intégration et de consolidation</t>
  </si>
  <si>
    <t>FORMATION DES UTILISATEURS</t>
  </si>
  <si>
    <t>Préparation et validation environnement pré-productif</t>
  </si>
  <si>
    <t>Déploiement</t>
  </si>
  <si>
    <t>Basculement et validation</t>
  </si>
  <si>
    <t>Validation Master Data</t>
  </si>
  <si>
    <t>Validation par les utilisateurs</t>
  </si>
  <si>
    <t>Décision de démarrage productif</t>
  </si>
  <si>
    <t>Démarrage productif</t>
  </si>
  <si>
    <t>Suivi bon fonctionnement, documentation et corrections</t>
  </si>
  <si>
    <t>Corrections Master Data</t>
  </si>
  <si>
    <t>Suivi par les utilisateurs</t>
  </si>
  <si>
    <t>Clôture mensuelle</t>
  </si>
  <si>
    <t>PV Accusé de réception</t>
  </si>
  <si>
    <t>Clôture</t>
  </si>
  <si>
    <t>Liste des corrections</t>
  </si>
  <si>
    <t>Documentation leçons apprises Projet</t>
  </si>
  <si>
    <t>Plan de corrections</t>
  </si>
  <si>
    <t>Réunion de clôture</t>
  </si>
  <si>
    <t>1.0</t>
  </si>
  <si>
    <t>2.1</t>
  </si>
  <si>
    <t>2.2-2.4</t>
  </si>
  <si>
    <t>3.1-3.3</t>
  </si>
  <si>
    <t>3.4</t>
  </si>
  <si>
    <t>3.5</t>
  </si>
  <si>
    <t xml:space="preserve"> </t>
  </si>
  <si>
    <t>4.1</t>
  </si>
  <si>
    <t>4.2</t>
  </si>
  <si>
    <t>4.3</t>
  </si>
  <si>
    <t>4.4</t>
  </si>
  <si>
    <t>4.5</t>
  </si>
  <si>
    <t>4.6</t>
  </si>
  <si>
    <t>4.7</t>
  </si>
  <si>
    <t>4.8</t>
  </si>
  <si>
    <t>4.9</t>
  </si>
  <si>
    <t>4.10</t>
  </si>
  <si>
    <t>4.11</t>
  </si>
  <si>
    <t>4.12</t>
  </si>
  <si>
    <t>4.13</t>
  </si>
  <si>
    <t>4.14</t>
  </si>
  <si>
    <t>1,2,3,4</t>
  </si>
  <si>
    <t>IsWeeksGantt</t>
  </si>
  <si>
    <t>IsMonthsGantt</t>
  </si>
  <si>
    <t>IsDaysGantt</t>
  </si>
  <si>
    <t>Prédécesseur</t>
  </si>
  <si>
    <t>DateProgression</t>
  </si>
  <si>
    <t>Date progression</t>
  </si>
  <si>
    <t>Today</t>
  </si>
  <si>
    <t>Gantt</t>
  </si>
  <si>
    <t>Thème activité</t>
  </si>
  <si>
    <t>Tests d'intégration et consolidation, validation du système</t>
  </si>
  <si>
    <t>Thème En tête</t>
  </si>
  <si>
    <t>Choisir la couleur des activités</t>
  </si>
  <si>
    <t>Bords Aujourd'hui</t>
  </si>
  <si>
    <t>Activation des macros :</t>
  </si>
  <si>
    <t>Pour s'assurer du bon fonctionnement du template, vérifiez que les macros sont activées</t>
  </si>
  <si>
    <t xml:space="preserve">Déblocage des macros : </t>
  </si>
  <si>
    <t>Si un message rouge apparait en haut du fichier, procédez comme suit pour débloquer les macros : 
Pour ce faire, cliquez sur le bouton droit sur le fichier avant de l'ouvrir, choisissez Propriétés, puis activez la case à cocher Débloquer sous l’onglet Général.</t>
  </si>
  <si>
    <t>Exploitation du fichier</t>
  </si>
  <si>
    <t>1. Ajout des activités et des tâches du projet</t>
  </si>
  <si>
    <t xml:space="preserve">Rendez-vous dans la feuille "Diagramme de Gantt" </t>
  </si>
  <si>
    <t>Dans la colonne "WBS : Work Breakdown Structure ou Structure de Découpage du Projet" : renseignez les activités de votre projet ainsi que les tâches qui en découlent en modifiant le texte exemple</t>
  </si>
  <si>
    <t>Pour ajouter une nouvelle activité, placez-vous sur une ligne vide en bas du tableau, puis cliquez sur le bouton "Ajouter une activité" et renseignez le nom de l'activité :</t>
  </si>
  <si>
    <t>Notez que vous pouvez ajouter une nouvelle ligne entre les lignes existantes.</t>
  </si>
  <si>
    <t>Ainsi, vous pouvez vous placer sur la ligne d'une activité au dessus de laquelle vous souhaitez créer une nouvelle activité, puis cliquer sur le bouton d'ajout.</t>
  </si>
  <si>
    <t>Procédez de même pour l'ajout des tâches.</t>
  </si>
  <si>
    <t>Pour supprimer une ligne, placez vous sur l'activité ou tâche à supprimer, puis cliquez sur le bouton "supprimer"</t>
  </si>
  <si>
    <t>Notez que vous pouvez faire une suppression multiple en sélectionnant les lignes à supprimer, puis en cliquant sur le bouton de suppression :</t>
  </si>
  <si>
    <r>
      <rPr>
        <b/>
        <sz val="12"/>
        <color rgb="FFFF0000"/>
        <rFont val="Candara"/>
        <family val="2"/>
      </rPr>
      <t>Attention</t>
    </r>
    <r>
      <rPr>
        <sz val="12"/>
        <color theme="1"/>
        <rFont val="Candara"/>
        <family val="2"/>
      </rPr>
      <t xml:space="preserve"> : Si vous prévoyez des tâches simultanées ou qui se chevauchent, pensez à modifier manuellement la durée de la tâche pour ajuster la deadline de façon à ce que la ressource ne soit pas "surbookée".</t>
    </r>
  </si>
  <si>
    <t>Si vous souhaitez convertir une tâche en activité et vice versa, placez-vous sur l'activité ou la tâche en question, puis cliquez sur le bouton "convertir à une activité/tâche"</t>
  </si>
  <si>
    <t>Notez manuellement la progression des tâches au fur et à mesure de leur avancement</t>
  </si>
  <si>
    <t>2. Création des dépendances</t>
  </si>
  <si>
    <t>Pour chaque tâche, notez le prédécesseur : c’est-à-direla tâche qui doit obligatoirement commencer avant le début de cette tâche</t>
  </si>
  <si>
    <t>Ces dépendances sont seulement pour votre référence. Elles ne s'afficheront pas sur le calendrier.</t>
  </si>
  <si>
    <t>De cette manière, si vous décalez la date de début d'une tâche, assurez-vous également de modifier la date de début de la tâche qui lui succède.</t>
  </si>
  <si>
    <t>3. Mise à jour du statut des activités et des tâches</t>
  </si>
  <si>
    <t>Rendez-vous dans la feuille "paramétrage" et renseignez les libellés des statuts d'avancement dans la colonne "planification" :</t>
  </si>
  <si>
    <t>Pour ajouter un nouveau statut, cliquez sur le signe (+) puis renseignez son libellé et attribuez une couleur de votre choix</t>
  </si>
  <si>
    <t>Notez que les couleurs foncées représentent l'avancement réel des tâches/activités, alors que les couleurs dégradées représentent la durée de la tâche/activité en question</t>
  </si>
  <si>
    <t>Pour supprimer un statut, utilisez le signe (x)</t>
  </si>
  <si>
    <t>Revenez à présent à la feuille "diagramme de Gantt" et affectez les bons statuts aux activités/tâches :</t>
  </si>
  <si>
    <t>4. Affectation des ressources</t>
  </si>
  <si>
    <t>Rendez-vous dans la feuille "ressources"</t>
  </si>
  <si>
    <t>Modifiez les données en mettant les informations concernant vos ressources.</t>
  </si>
  <si>
    <t>Vous pouvez ajouter une nouvelle ressource à la liste existant en modifiant la ligne vide en dessous du tableau :</t>
  </si>
  <si>
    <t>Revenez à la feuille "Diagramme de Gantt" et affectez les ressources aux différentes tâches en utilisant les listes déroulantes :</t>
  </si>
  <si>
    <t>5. Dates de début et durées des activités/tâches</t>
  </si>
  <si>
    <t xml:space="preserve">Mettez la date du début de chaque activité/tâche projet puis renseignez sa durée globale. </t>
  </si>
  <si>
    <t>Ce faisant, vous obtiendez la deadline qui prend en compte les jours ouvrables.</t>
  </si>
  <si>
    <t>Vous verrez également la barre de progression s'afficher sur le calendrier :</t>
  </si>
  <si>
    <r>
      <t xml:space="preserve">Notez que vous pouvez changer l'échelle de temps de </t>
    </r>
    <r>
      <rPr>
        <b/>
        <sz val="12"/>
        <color theme="1"/>
        <rFont val="Candara"/>
        <family val="2"/>
      </rPr>
      <t>Jour</t>
    </r>
    <r>
      <rPr>
        <sz val="12"/>
        <color theme="1"/>
        <rFont val="Candara"/>
        <family val="2"/>
      </rPr>
      <t xml:space="preserve"> à </t>
    </r>
    <r>
      <rPr>
        <b/>
        <sz val="12"/>
        <color theme="1"/>
        <rFont val="Candara"/>
        <family val="2"/>
      </rPr>
      <t>Semaine</t>
    </r>
    <r>
      <rPr>
        <sz val="12"/>
        <color theme="1"/>
        <rFont val="Candara"/>
        <family val="2"/>
      </rPr>
      <t xml:space="preserve"> ou à </t>
    </r>
    <r>
      <rPr>
        <b/>
        <sz val="12"/>
        <color theme="1"/>
        <rFont val="Candara"/>
        <family val="2"/>
      </rPr>
      <t>Mois</t>
    </r>
    <r>
      <rPr>
        <sz val="12"/>
        <color theme="1"/>
        <rFont val="Candara"/>
        <family val="2"/>
      </rPr>
      <t>.</t>
    </r>
  </si>
  <si>
    <t>En cliquant sur le bouton "Aujourd'hui", l'affichage du calendrier revient à la date actuelle :</t>
  </si>
  <si>
    <t>Jour de l’an</t>
  </si>
  <si>
    <t>Lundi de Pâques</t>
  </si>
  <si>
    <t>Fête du travail</t>
  </si>
  <si>
    <t>Jeudi de l’Ascension</t>
  </si>
  <si>
    <t>Lundi de Pentecôte</t>
  </si>
  <si>
    <t>Fête nationale</t>
  </si>
  <si>
    <t>Assomption</t>
  </si>
  <si>
    <t>La Toussaint</t>
  </si>
  <si>
    <t>Armistice</t>
  </si>
  <si>
    <t>Noël</t>
  </si>
  <si>
    <t>Jour férié</t>
  </si>
  <si>
    <t>Date</t>
  </si>
  <si>
    <t>LISTE DES JOURS FÉRIÉS EN 2023</t>
  </si>
  <si>
    <t>Charge en J</t>
  </si>
  <si>
    <t>Libellé</t>
  </si>
  <si>
    <t>Couleur du % réalisé</t>
  </si>
  <si>
    <t>Couleur du % restant</t>
  </si>
  <si>
    <t>Etat global de toutes les activités</t>
  </si>
  <si>
    <t>Français</t>
  </si>
  <si>
    <t>Anglais</t>
  </si>
  <si>
    <t>Langue</t>
  </si>
  <si>
    <t>Date of Creation</t>
  </si>
  <si>
    <t>Version Date</t>
  </si>
  <si>
    <t>Version Number</t>
  </si>
  <si>
    <t>User Guide</t>
  </si>
  <si>
    <t>Plan de charge</t>
  </si>
  <si>
    <t>Workload Plan</t>
  </si>
  <si>
    <t>Resources</t>
  </si>
  <si>
    <t>Settings</t>
  </si>
  <si>
    <t>STATUS D'AVANCEMENT</t>
  </si>
  <si>
    <t>PROGRESS STATUS</t>
  </si>
  <si>
    <t>Label</t>
  </si>
  <si>
    <t>Color for % Completed</t>
  </si>
  <si>
    <t>Color for % Remaining</t>
  </si>
  <si>
    <t>In Progress</t>
  </si>
  <si>
    <t>Postponed</t>
  </si>
  <si>
    <t>Project</t>
  </si>
  <si>
    <t>LIST OF PUBLIC HOLIDAYS IN 2023</t>
  </si>
  <si>
    <t>Public Holiday</t>
  </si>
  <si>
    <t>New Year's Day</t>
  </si>
  <si>
    <t>Easter Monday</t>
  </si>
  <si>
    <t>Labor Day</t>
  </si>
  <si>
    <t>Victory in Europe Day (VE Day)</t>
  </si>
  <si>
    <t>Ascension Day</t>
  </si>
  <si>
    <t>Whit Monday</t>
  </si>
  <si>
    <t>National Day</t>
  </si>
  <si>
    <t>Assumption Day</t>
  </si>
  <si>
    <t>All Saints' Day</t>
  </si>
  <si>
    <t>Armistice Day</t>
  </si>
  <si>
    <t>Christmas Day</t>
  </si>
  <si>
    <t>RESOURCES SHEET</t>
  </si>
  <si>
    <t>Ressource en sous-charge</t>
  </si>
  <si>
    <t>Underloaded Resource</t>
  </si>
  <si>
    <t>Ressource en surcharge</t>
  </si>
  <si>
    <t>Overloaded Resource</t>
  </si>
  <si>
    <t>Ajouter une ressource</t>
  </si>
  <si>
    <t>Add a Resource</t>
  </si>
  <si>
    <t>Supprimer une ressource</t>
  </si>
  <si>
    <t>Delete a Resource</t>
  </si>
  <si>
    <t>Project Manager</t>
  </si>
  <si>
    <t>Integration Manager</t>
  </si>
  <si>
    <t>Finance Coordinator</t>
  </si>
  <si>
    <t>Sales Coordinator</t>
  </si>
  <si>
    <t>Purchasing Coordinator</t>
  </si>
  <si>
    <t>Logistics Coordinator</t>
  </si>
  <si>
    <t>IT Director</t>
  </si>
  <si>
    <t>Change Manager</t>
  </si>
  <si>
    <t>SAP Finance FI/CO Expert</t>
  </si>
  <si>
    <t>SAP Asset Accounting Expert</t>
  </si>
  <si>
    <t>SAP Sales Expert</t>
  </si>
  <si>
    <t>SAP Purchasing Expert</t>
  </si>
  <si>
    <t>SAP Logistics Expert</t>
  </si>
  <si>
    <t>Master Data Expert</t>
  </si>
  <si>
    <t>Production Coordinator</t>
  </si>
  <si>
    <t>Testers and Validators</t>
  </si>
  <si>
    <t>Name</t>
  </si>
  <si>
    <t>Role</t>
  </si>
  <si>
    <t>Email Address</t>
  </si>
  <si>
    <t>Phone</t>
  </si>
  <si>
    <t>Language</t>
  </si>
  <si>
    <t>Initialization</t>
  </si>
  <si>
    <t>Opportunity Study and Approval</t>
  </si>
  <si>
    <t>Project Charter Preparation - Justification</t>
  </si>
  <si>
    <t>Project Charter Writing</t>
  </si>
  <si>
    <t>Project Charter Approval</t>
  </si>
  <si>
    <t>Planning</t>
  </si>
  <si>
    <t>Specification Writing</t>
  </si>
  <si>
    <t>Approval of Specifications, Communication Plan, Project Plan, and Schedule</t>
  </si>
  <si>
    <t>Execution</t>
  </si>
  <si>
    <t>Master Data Parameterization and Corrections</t>
  </si>
  <si>
    <t>Production Parameterization, Programming, and Testing</t>
  </si>
  <si>
    <t>System Testing, Corrections, and Validation</t>
  </si>
  <si>
    <t>Official User Validation</t>
  </si>
  <si>
    <t>Phase Validation by Steering Committee</t>
  </si>
  <si>
    <t>Control and Monitoring</t>
  </si>
  <si>
    <t>Integration and Consolidation Testing, System Validation</t>
  </si>
  <si>
    <t>USER TRAINING</t>
  </si>
  <si>
    <t>Preparation and Validation of Pre-Production Environment</t>
  </si>
  <si>
    <t>Deployment</t>
  </si>
  <si>
    <t>Switching and Validation</t>
  </si>
  <si>
    <t>Master Data Validation</t>
  </si>
  <si>
    <t>User Validation</t>
  </si>
  <si>
    <t>Decision for Productive Start</t>
  </si>
  <si>
    <t>Productive Start</t>
  </si>
  <si>
    <t>Monitoring System Performance, Documentation, and Corrections</t>
  </si>
  <si>
    <t>Master Data Corrections</t>
  </si>
  <si>
    <t>User Monitoring</t>
  </si>
  <si>
    <t>Acknowledgment Meeting</t>
  </si>
  <si>
    <t>Closure</t>
  </si>
  <si>
    <t>Project Lessons Learned Documentation</t>
  </si>
  <si>
    <t>Correction Plan</t>
  </si>
  <si>
    <t>Closing Meeting</t>
  </si>
  <si>
    <t>Activity / Task</t>
  </si>
  <si>
    <t>Status</t>
  </si>
  <si>
    <t>Predecessor</t>
  </si>
  <si>
    <t>Assigned to</t>
  </si>
  <si>
    <t>Commentaires</t>
  </si>
  <si>
    <t>Comments</t>
  </si>
  <si>
    <t>Start Date</t>
  </si>
  <si>
    <t>Ajouter une activité</t>
  </si>
  <si>
    <t>Add an Activity</t>
  </si>
  <si>
    <t>Ajouter une tâche</t>
  </si>
  <si>
    <t>Add a Task</t>
  </si>
  <si>
    <t>Convertir à une activité / tâche</t>
  </si>
  <si>
    <t>Convert to an Activity / Task</t>
  </si>
  <si>
    <t>Supprimer</t>
  </si>
  <si>
    <t>Delete</t>
  </si>
  <si>
    <t>Project Name / Code</t>
  </si>
  <si>
    <t>Reference</t>
  </si>
  <si>
    <t>Portfolio Name / Code</t>
  </si>
  <si>
    <t>PMO (Project Management Office)</t>
  </si>
  <si>
    <t>Overall Status of all Activities</t>
  </si>
  <si>
    <t>Jour</t>
  </si>
  <si>
    <t>Day</t>
  </si>
  <si>
    <t>Semaine</t>
  </si>
  <si>
    <t>Week</t>
  </si>
  <si>
    <t>Mois</t>
  </si>
  <si>
    <t>Month</t>
  </si>
  <si>
    <t>Aujourd'hui</t>
  </si>
  <si>
    <t>Cost/Time Estimation</t>
  </si>
  <si>
    <t>General Design</t>
  </si>
  <si>
    <t>Establishment of the Schedule</t>
  </si>
  <si>
    <t>Establishment of the Communication Plan</t>
  </si>
  <si>
    <t>Parameterization and Unit Testing</t>
  </si>
  <si>
    <t>Integration and Consolidation Testing</t>
  </si>
  <si>
    <t>Monthly Closure</t>
  </si>
  <si>
    <t>Correction List</t>
  </si>
  <si>
    <t>Gantt Chart</t>
  </si>
  <si>
    <t>Effort in days</t>
  </si>
  <si>
    <t>TODO</t>
  </si>
  <si>
    <t>In Hold</t>
  </si>
  <si>
    <t>Done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</si>
</sst>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d"/>
  </numFmts>
  <fonts count="37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0"/>
      <color theme="9" tint="-0.249977111117893"/>
      <name val="Calibri"/>
      <family val="2"/>
      <scheme val="minor"/>
    </font>
    <font>
      <b/>
      <sz val="10"/>
      <color theme="9" tint="-0.499984740745262"/>
      <name val="Calibri"/>
      <family val="2"/>
      <scheme val="minor"/>
    </font>
    <font>
      <b/>
      <sz val="11"/>
      <color theme="2" tint="-0.74999237037263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rgb="FF00B050"/>
      <name val="Calibri"/>
      <family val="2"/>
      <scheme val="minor"/>
    </font>
    <font>
      <sz val="11"/>
      <color theme="7" tint="0.79998168889431442"/>
      <name val="Calibri"/>
      <family val="2"/>
      <scheme val="minor"/>
    </font>
    <font>
      <b/>
      <sz val="11"/>
      <color rgb="FF2C6646"/>
      <name val="Calibri"/>
      <family val="2"/>
      <scheme val="minor"/>
    </font>
    <font>
      <sz val="11"/>
      <color theme="1" tint="0.14999847407452621"/>
      <name val="Calibri"/>
      <family val="2"/>
      <scheme val="minor"/>
    </font>
    <font>
      <sz val="11"/>
      <color theme="1" tint="0.249977111117893"/>
      <name val="Calibri"/>
      <family val="2"/>
      <scheme val="minor"/>
    </font>
    <font>
      <sz val="8"/>
      <color rgb="FF000000"/>
      <name val="Segoe UI"/>
      <family val="2"/>
    </font>
    <font>
      <b/>
      <sz val="16"/>
      <color theme="0"/>
      <name val="Calibri"/>
      <family val="2"/>
    </font>
    <font>
      <sz val="11"/>
      <color rgb="FF005677"/>
      <name val="Calibri"/>
      <family val="2"/>
      <scheme val="minor"/>
    </font>
    <font>
      <sz val="11"/>
      <color theme="1" tint="0.34998626667073579"/>
      <name val="Calibri"/>
      <family val="2"/>
      <scheme val="minor"/>
    </font>
    <font>
      <sz val="10"/>
      <color theme="1" tint="0.34998626667073579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2"/>
      <color theme="0"/>
      <name val="Calibri"/>
      <family val="2"/>
    </font>
    <font>
      <sz val="6"/>
      <color theme="9" tint="-0.499984740745262"/>
      <name val="Calibri"/>
      <family val="2"/>
      <scheme val="minor"/>
    </font>
    <font>
      <sz val="6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11"/>
      <color theme="2" tint="-0.499984740745262"/>
      <name val="Calibri"/>
      <family val="2"/>
      <scheme val="minor"/>
    </font>
    <font>
      <sz val="11"/>
      <color theme="9" tint="-0.499984740745262"/>
      <name val="Calibri"/>
      <family val="2"/>
      <scheme val="minor"/>
    </font>
    <font>
      <b/>
      <sz val="14"/>
      <name val="Candara"/>
      <family val="2"/>
    </font>
    <font>
      <sz val="12"/>
      <name val="Candara"/>
      <family val="2"/>
    </font>
    <font>
      <b/>
      <sz val="14"/>
      <color theme="1"/>
      <name val="Candara"/>
      <family val="2"/>
    </font>
    <font>
      <sz val="12"/>
      <color theme="1"/>
      <name val="Candara"/>
      <family val="2"/>
    </font>
    <font>
      <b/>
      <sz val="16"/>
      <color theme="1"/>
      <name val="Candara"/>
      <family val="2"/>
    </font>
    <font>
      <b/>
      <sz val="12"/>
      <color rgb="FFFF0000"/>
      <name val="Candara"/>
      <family val="2"/>
    </font>
    <font>
      <b/>
      <sz val="12"/>
      <color theme="1"/>
      <name val="Candara"/>
      <family val="2"/>
    </font>
    <font>
      <sz val="9.9"/>
      <color theme="2" tint="-0.749992370372631"/>
      <name val="Arial"/>
      <family val="2"/>
    </font>
    <font>
      <sz val="11"/>
      <color theme="2" tint="-0.74999237037263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9" tint="0.79998168889431442"/>
      <name val="Calibri"/>
      <family val="2"/>
      <scheme val="minor"/>
    </font>
    <font>
      <b/>
      <sz val="8"/>
      <color theme="0"/>
      <name val="Calibri"/>
      <family val="2"/>
    </font>
  </fonts>
  <fills count="23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rgb="FFB9E1CB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4868E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C6E0B4"/>
        <bgColor indexed="64"/>
      </patternFill>
    </fill>
    <fill>
      <gradientFill degree="270">
        <stop position="0">
          <color rgb="FF62BD8A"/>
        </stop>
        <stop position="1">
          <color rgb="FF98D4B2"/>
        </stop>
      </gradientFill>
    </fill>
    <fill>
      <patternFill patternType="solid">
        <fgColor rgb="FFF3F9FF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8989"/>
        <bgColor indexed="64"/>
      </patternFill>
    </fill>
    <fill>
      <patternFill patternType="solid">
        <fgColor rgb="FF9DAFF1"/>
        <bgColor indexed="64"/>
      </patternFill>
    </fill>
    <fill>
      <patternFill patternType="solid">
        <fgColor rgb="FFFFE38B"/>
        <bgColor indexed="64"/>
      </patternFill>
    </fill>
    <fill>
      <patternFill patternType="solid">
        <fgColor rgb="FFF1F7ED"/>
        <bgColor indexed="64"/>
      </patternFill>
    </fill>
    <fill>
      <patternFill patternType="solid">
        <fgColor theme="9"/>
        <bgColor theme="9"/>
      </patternFill>
    </fill>
    <fill>
      <patternFill patternType="solid">
        <fgColor theme="0"/>
        <bgColor indexed="64"/>
      </patternFill>
    </fill>
    <fill>
      <patternFill patternType="lightUp">
        <bgColor theme="6"/>
      </patternFill>
    </fill>
    <fill>
      <patternFill patternType="lightUp">
        <fgColor auto="1"/>
        <bgColor theme="6"/>
      </patternFill>
    </fill>
    <fill>
      <patternFill patternType="solid">
        <fgColor theme="9"/>
        <bgColor indexed="64"/>
      </patternFill>
    </fill>
    <fill>
      <patternFill patternType="solid">
        <fgColor rgb="FF92D050"/>
        <bgColor indexed="64"/>
      </patternFill>
    </fill>
  </fills>
  <borders count="28">
    <border>
      <left/>
      <right/>
      <top/>
      <bottom/>
      <diagonal/>
    </border>
    <border>
      <left style="thin">
        <color theme="9"/>
      </left>
      <right/>
      <top style="thin">
        <color theme="9"/>
      </top>
      <bottom/>
      <diagonal/>
    </border>
    <border>
      <left style="thin">
        <color theme="5"/>
      </left>
      <right style="thin">
        <color theme="5"/>
      </right>
      <top/>
      <bottom/>
      <diagonal/>
    </border>
    <border>
      <left style="thin">
        <color theme="9" tint="-0.24994659260841701"/>
      </left>
      <right style="thin">
        <color theme="9" tint="-0.24994659260841701"/>
      </right>
      <top style="thin">
        <color theme="9" tint="-0.24994659260841701"/>
      </top>
      <bottom style="thin">
        <color theme="9" tint="-0.24994659260841701"/>
      </bottom>
      <diagonal/>
    </border>
    <border>
      <left/>
      <right/>
      <top style="thick">
        <color theme="0"/>
      </top>
      <bottom style="thick">
        <color theme="0"/>
      </bottom>
      <diagonal/>
    </border>
    <border>
      <left/>
      <right/>
      <top/>
      <bottom style="thin">
        <color rgb="FF91E0FF"/>
      </bottom>
      <diagonal/>
    </border>
    <border>
      <left/>
      <right/>
      <top style="thin">
        <color rgb="FF91E0FF"/>
      </top>
      <bottom style="thin">
        <color rgb="FF91E0FF"/>
      </bottom>
      <diagonal/>
    </border>
    <border>
      <left/>
      <right/>
      <top/>
      <bottom style="thick">
        <color theme="0"/>
      </bottom>
      <diagonal/>
    </border>
    <border>
      <left style="thin">
        <color theme="9"/>
      </left>
      <right style="thin">
        <color theme="9"/>
      </right>
      <top style="thin">
        <color theme="9"/>
      </top>
      <bottom style="thin">
        <color theme="9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9" tint="-0.24994659260841701"/>
      </left>
      <right/>
      <top style="thin">
        <color theme="9" tint="-0.24994659260841701"/>
      </top>
      <bottom/>
      <diagonal/>
    </border>
    <border>
      <left/>
      <right/>
      <top style="thin">
        <color theme="9" tint="-0.24994659260841701"/>
      </top>
      <bottom/>
      <diagonal/>
    </border>
    <border>
      <left/>
      <right style="thin">
        <color theme="9" tint="-0.24994659260841701"/>
      </right>
      <top style="thin">
        <color theme="9" tint="-0.24994659260841701"/>
      </top>
      <bottom/>
      <diagonal/>
    </border>
    <border>
      <left style="thin">
        <color theme="9" tint="-0.24994659260841701"/>
      </left>
      <right/>
      <top/>
      <bottom/>
      <diagonal/>
    </border>
    <border>
      <left/>
      <right style="thin">
        <color theme="9" tint="-0.24994659260841701"/>
      </right>
      <top/>
      <bottom/>
      <diagonal/>
    </border>
    <border>
      <left style="thin">
        <color theme="9" tint="-0.24994659260841701"/>
      </left>
      <right/>
      <top/>
      <bottom style="thin">
        <color theme="9" tint="-0.24994659260841701"/>
      </bottom>
      <diagonal/>
    </border>
    <border>
      <left/>
      <right/>
      <top/>
      <bottom style="thin">
        <color theme="9" tint="-0.24994659260841701"/>
      </bottom>
      <diagonal/>
    </border>
    <border>
      <left/>
      <right style="thin">
        <color theme="9" tint="-0.24994659260841701"/>
      </right>
      <top/>
      <bottom style="thin">
        <color theme="9" tint="-0.24994659260841701"/>
      </bottom>
      <diagonal/>
    </border>
    <border>
      <left/>
      <right style="thin">
        <color theme="9"/>
      </right>
      <top style="thin">
        <color theme="9"/>
      </top>
      <bottom/>
      <diagonal/>
    </border>
    <border>
      <left style="thin">
        <color theme="9"/>
      </left>
      <right/>
      <top style="thin">
        <color theme="9"/>
      </top>
      <bottom style="thin">
        <color theme="9"/>
      </bottom>
      <diagonal/>
    </border>
    <border>
      <left/>
      <right style="thin">
        <color theme="9"/>
      </right>
      <top style="thin">
        <color theme="9"/>
      </top>
      <bottom style="thin">
        <color theme="9"/>
      </bottom>
      <diagonal/>
    </border>
    <border>
      <left/>
      <right/>
      <top style="thin">
        <color theme="9"/>
      </top>
      <bottom style="thin">
        <color theme="9"/>
      </bottom>
      <diagonal/>
    </border>
    <border>
      <left/>
      <right/>
      <top style="thin">
        <color theme="9"/>
      </top>
      <bottom/>
      <diagonal/>
    </border>
    <border>
      <left style="thin">
        <color theme="9"/>
      </left>
      <right style="thin">
        <color theme="9"/>
      </right>
      <top style="thin">
        <color theme="9"/>
      </top>
      <bottom/>
      <diagonal/>
    </border>
    <border>
      <left style="thin">
        <color theme="9" tint="0.59996337778862885"/>
      </left>
      <right style="thin">
        <color theme="9" tint="0.59996337778862885"/>
      </right>
      <top style="thin">
        <color theme="9" tint="0.59996337778862885"/>
      </top>
      <bottom style="thin">
        <color theme="9" tint="0.59996337778862885"/>
      </bottom>
      <diagonal/>
    </border>
    <border>
      <left style="thin">
        <color theme="9"/>
      </left>
      <right style="thin">
        <color theme="9"/>
      </right>
      <top style="thin">
        <color theme="9"/>
      </top>
      <bottom style="thin">
        <color theme="0" tint="-0.14996795556505021"/>
      </bottom>
      <diagonal/>
    </border>
    <border>
      <left style="thin">
        <color theme="9"/>
      </left>
      <right/>
      <top style="thin">
        <color theme="9"/>
      </top>
      <bottom style="thin">
        <color theme="9" tint="0.39997558519241921"/>
      </bottom>
      <diagonal/>
    </border>
    <border>
      <left style="thin">
        <color theme="9"/>
      </left>
      <right style="thin">
        <color theme="9" tint="0.39997558519241921"/>
      </right>
      <top style="thin">
        <color theme="9"/>
      </top>
      <bottom style="thin">
        <color theme="9" tint="0.39997558519241921"/>
      </bottom>
      <diagonal/>
    </border>
  </borders>
  <cellStyleXfs count="2">
    <xf numFmtId="0" fontId="0" fillId="0" borderId="0"/>
    <xf numFmtId="9" fontId="5" fillId="0" borderId="0" applyFont="0" applyFill="0" applyBorder="0" applyAlignment="0" applyProtection="0"/>
  </cellStyleXfs>
  <cellXfs count="135">
    <xf numFmtId="0" fontId="0" fillId="0" borderId="0" xfId="0"/>
    <xf numFmtId="0" fontId="0" fillId="0" borderId="0" xfId="0" applyAlignment="1">
      <alignment horizontal="center" vertical="center"/>
    </xf>
    <xf numFmtId="0" fontId="9" fillId="3" borderId="1" xfId="0" applyFont="1" applyFill="1" applyBorder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164" fontId="4" fillId="8" borderId="0" xfId="0" applyNumberFormat="1" applyFont="1" applyFill="1" applyAlignment="1">
      <alignment horizontal="left" vertical="center"/>
    </xf>
    <xf numFmtId="164" fontId="4" fillId="9" borderId="0" xfId="0" applyNumberFormat="1" applyFont="1" applyFill="1" applyAlignment="1">
      <alignment horizontal="left" vertical="center"/>
    </xf>
    <xf numFmtId="0" fontId="13" fillId="10" borderId="4" xfId="0" applyFont="1" applyFill="1" applyBorder="1" applyAlignment="1">
      <alignment vertical="center"/>
    </xf>
    <xf numFmtId="0" fontId="16" fillId="12" borderId="0" xfId="0" applyFont="1" applyFill="1" applyAlignment="1">
      <alignment horizontal="left" vertical="center"/>
    </xf>
    <xf numFmtId="14" fontId="16" fillId="12" borderId="0" xfId="0" applyNumberFormat="1" applyFont="1" applyFill="1" applyAlignment="1">
      <alignment horizontal="left" vertical="center"/>
    </xf>
    <xf numFmtId="0" fontId="10" fillId="0" borderId="0" xfId="0" applyFont="1" applyAlignment="1">
      <alignment horizontal="left" vertical="center"/>
    </xf>
    <xf numFmtId="0" fontId="17" fillId="0" borderId="1" xfId="0" applyFont="1" applyBorder="1" applyAlignment="1">
      <alignment horizontal="center" vertical="center"/>
    </xf>
    <xf numFmtId="0" fontId="16" fillId="12" borderId="7" xfId="0" applyFont="1" applyFill="1" applyBorder="1" applyAlignment="1">
      <alignment vertical="center"/>
    </xf>
    <xf numFmtId="0" fontId="16" fillId="12" borderId="0" xfId="0" applyFont="1" applyFill="1" applyAlignment="1">
      <alignment vertical="center"/>
    </xf>
    <xf numFmtId="0" fontId="8" fillId="0" borderId="0" xfId="0" applyFont="1"/>
    <xf numFmtId="0" fontId="7" fillId="2" borderId="8" xfId="0" applyFont="1" applyFill="1" applyBorder="1" applyAlignment="1">
      <alignment horizontal="center"/>
    </xf>
    <xf numFmtId="14" fontId="10" fillId="0" borderId="0" xfId="0" applyNumberFormat="1" applyFont="1" applyAlignment="1">
      <alignment horizontal="center" vertical="center"/>
    </xf>
    <xf numFmtId="0" fontId="10" fillId="0" borderId="0" xfId="0" applyFont="1" applyAlignment="1">
      <alignment vertical="center"/>
    </xf>
    <xf numFmtId="0" fontId="0" fillId="0" borderId="0" xfId="0" applyAlignment="1" applyProtection="1">
      <alignment horizontal="center" vertical="center"/>
      <protection locked="0"/>
    </xf>
    <xf numFmtId="0" fontId="10" fillId="0" borderId="0" xfId="0" applyFont="1" applyAlignment="1" applyProtection="1">
      <alignment horizontal="center" vertical="center"/>
      <protection locked="0"/>
    </xf>
    <xf numFmtId="0" fontId="10" fillId="0" borderId="0" xfId="0" applyFont="1" applyAlignment="1" applyProtection="1">
      <alignment vertical="center" wrapText="1"/>
      <protection locked="0"/>
    </xf>
    <xf numFmtId="0" fontId="10" fillId="0" borderId="0" xfId="0" applyFont="1" applyAlignment="1" applyProtection="1">
      <alignment horizontal="left" vertical="center"/>
      <protection locked="0"/>
    </xf>
    <xf numFmtId="14" fontId="10" fillId="0" borderId="0" xfId="0" applyNumberFormat="1" applyFont="1" applyAlignment="1" applyProtection="1">
      <alignment horizontal="center" vertical="center"/>
      <protection locked="0"/>
    </xf>
    <xf numFmtId="0" fontId="10" fillId="0" borderId="0" xfId="0" applyFont="1" applyAlignment="1" applyProtection="1">
      <alignment vertical="center"/>
      <protection locked="0"/>
    </xf>
    <xf numFmtId="14" fontId="10" fillId="0" borderId="9" xfId="0" applyNumberFormat="1" applyFont="1" applyBorder="1" applyAlignment="1" applyProtection="1">
      <alignment horizontal="center" vertical="center"/>
      <protection locked="0"/>
    </xf>
    <xf numFmtId="9" fontId="10" fillId="0" borderId="0" xfId="1" applyFont="1" applyFill="1" applyAlignment="1" applyProtection="1">
      <alignment horizontal="center" vertical="center"/>
      <protection locked="0"/>
    </xf>
    <xf numFmtId="0" fontId="15" fillId="11" borderId="5" xfId="0" applyFont="1" applyFill="1" applyBorder="1" applyAlignment="1" applyProtection="1">
      <alignment vertical="center"/>
      <protection locked="0"/>
    </xf>
    <xf numFmtId="0" fontId="13" fillId="10" borderId="4" xfId="0" applyFont="1" applyFill="1" applyBorder="1" applyAlignment="1" applyProtection="1">
      <alignment vertical="center"/>
      <protection locked="0"/>
    </xf>
    <xf numFmtId="0" fontId="10" fillId="0" borderId="0" xfId="0" applyFont="1"/>
    <xf numFmtId="0" fontId="11" fillId="0" borderId="0" xfId="0" applyFont="1" applyAlignment="1">
      <alignment horizontal="center" vertical="top"/>
    </xf>
    <xf numFmtId="1" fontId="4" fillId="8" borderId="0" xfId="0" applyNumberFormat="1" applyFont="1" applyFill="1" applyAlignment="1">
      <alignment horizontal="center" vertical="center"/>
    </xf>
    <xf numFmtId="1" fontId="4" fillId="9" borderId="0" xfId="0" applyNumberFormat="1" applyFont="1" applyFill="1" applyAlignment="1">
      <alignment horizontal="center" vertical="center"/>
    </xf>
    <xf numFmtId="0" fontId="14" fillId="11" borderId="5" xfId="0" applyFont="1" applyFill="1" applyBorder="1" applyAlignment="1">
      <alignment horizontal="left" vertical="center"/>
    </xf>
    <xf numFmtId="14" fontId="10" fillId="0" borderId="0" xfId="1" applyNumberFormat="1" applyFont="1" applyFill="1" applyAlignment="1" applyProtection="1">
      <alignment horizontal="center" vertical="center"/>
      <protection locked="0"/>
    </xf>
    <xf numFmtId="0" fontId="19" fillId="9" borderId="0" xfId="0" applyFont="1" applyFill="1" applyAlignment="1">
      <alignment horizontal="center" vertical="center"/>
    </xf>
    <xf numFmtId="0" fontId="19" fillId="8" borderId="0" xfId="0" applyFont="1" applyFill="1" applyAlignment="1">
      <alignment horizontal="center" vertical="center"/>
    </xf>
    <xf numFmtId="0" fontId="19" fillId="9" borderId="13" xfId="0" applyFont="1" applyFill="1" applyBorder="1" applyAlignment="1">
      <alignment horizontal="center" vertical="center"/>
    </xf>
    <xf numFmtId="0" fontId="19" fillId="9" borderId="14" xfId="0" applyFont="1" applyFill="1" applyBorder="1" applyAlignment="1">
      <alignment horizontal="center" vertical="center"/>
    </xf>
    <xf numFmtId="0" fontId="3" fillId="9" borderId="16" xfId="0" applyFont="1" applyFill="1" applyBorder="1" applyAlignment="1">
      <alignment horizontal="center" vertical="center"/>
    </xf>
    <xf numFmtId="0" fontId="3" fillId="8" borderId="16" xfId="0" applyFont="1" applyFill="1" applyBorder="1" applyAlignment="1">
      <alignment horizontal="center" vertical="center"/>
    </xf>
    <xf numFmtId="0" fontId="19" fillId="8" borderId="14" xfId="0" applyFont="1" applyFill="1" applyBorder="1" applyAlignment="1">
      <alignment horizontal="center" vertical="center"/>
    </xf>
    <xf numFmtId="0" fontId="19" fillId="8" borderId="13" xfId="0" applyFont="1" applyFill="1" applyBorder="1" applyAlignment="1">
      <alignment horizontal="center" vertical="center"/>
    </xf>
    <xf numFmtId="14" fontId="0" fillId="0" borderId="0" xfId="0" applyNumberFormat="1"/>
    <xf numFmtId="1" fontId="0" fillId="0" borderId="0" xfId="0" applyNumberFormat="1"/>
    <xf numFmtId="14" fontId="22" fillId="0" borderId="0" xfId="0" applyNumberFormat="1" applyFont="1"/>
    <xf numFmtId="14" fontId="22" fillId="0" borderId="0" xfId="0" applyNumberFormat="1" applyFont="1" applyAlignment="1">
      <alignment vertical="center"/>
    </xf>
    <xf numFmtId="14" fontId="21" fillId="0" borderId="0" xfId="0" applyNumberFormat="1" applyFont="1" applyAlignment="1">
      <alignment horizontal="center" vertical="center"/>
    </xf>
    <xf numFmtId="14" fontId="22" fillId="0" borderId="0" xfId="0" applyNumberFormat="1" applyFont="1" applyAlignment="1">
      <alignment horizontal="center" vertical="center"/>
    </xf>
    <xf numFmtId="14" fontId="20" fillId="9" borderId="0" xfId="0" applyNumberFormat="1" applyFont="1" applyFill="1" applyAlignment="1">
      <alignment vertical="center"/>
    </xf>
    <xf numFmtId="14" fontId="20" fillId="8" borderId="0" xfId="0" applyNumberFormat="1" applyFont="1" applyFill="1" applyAlignment="1">
      <alignment vertical="center"/>
    </xf>
    <xf numFmtId="1" fontId="4" fillId="9" borderId="0" xfId="0" applyNumberFormat="1" applyFont="1" applyFill="1" applyAlignment="1">
      <alignment horizontal="left" vertical="center"/>
    </xf>
    <xf numFmtId="1" fontId="4" fillId="8" borderId="0" xfId="0" applyNumberFormat="1" applyFont="1" applyFill="1" applyAlignment="1">
      <alignment horizontal="left" vertical="center"/>
    </xf>
    <xf numFmtId="0" fontId="23" fillId="0" borderId="2" xfId="0" applyFont="1" applyBorder="1" applyAlignment="1">
      <alignment horizontal="center" vertical="center"/>
    </xf>
    <xf numFmtId="0" fontId="23" fillId="0" borderId="0" xfId="0" applyFont="1" applyAlignment="1">
      <alignment horizontal="center" vertical="center"/>
    </xf>
    <xf numFmtId="0" fontId="24" fillId="7" borderId="0" xfId="0" applyFont="1" applyFill="1" applyAlignment="1">
      <alignment horizontal="center" vertical="center"/>
    </xf>
    <xf numFmtId="0" fontId="24" fillId="2" borderId="0" xfId="0" applyFont="1" applyFill="1" applyAlignment="1">
      <alignment horizontal="center" vertical="center"/>
    </xf>
    <xf numFmtId="0" fontId="25" fillId="18" borderId="0" xfId="0" applyFont="1" applyFill="1" applyAlignment="1">
      <alignment vertical="top"/>
    </xf>
    <xf numFmtId="0" fontId="26" fillId="18" borderId="0" xfId="0" applyFont="1" applyFill="1" applyAlignment="1">
      <alignment vertical="top"/>
    </xf>
    <xf numFmtId="0" fontId="27" fillId="18" borderId="0" xfId="0" applyFont="1" applyFill="1"/>
    <xf numFmtId="0" fontId="28" fillId="18" borderId="0" xfId="0" applyFont="1" applyFill="1"/>
    <xf numFmtId="0" fontId="0" fillId="18" borderId="0" xfId="0" applyFill="1"/>
    <xf numFmtId="0" fontId="29" fillId="18" borderId="0" xfId="0" applyFont="1" applyFill="1" applyAlignment="1">
      <alignment vertical="center"/>
    </xf>
    <xf numFmtId="0" fontId="27" fillId="18" borderId="0" xfId="0" applyFont="1" applyFill="1" applyAlignment="1">
      <alignment vertical="center"/>
    </xf>
    <xf numFmtId="0" fontId="28" fillId="18" borderId="0" xfId="0" applyFont="1" applyFill="1" applyAlignment="1">
      <alignment vertical="center"/>
    </xf>
    <xf numFmtId="0" fontId="32" fillId="0" borderId="0" xfId="0" applyFont="1" applyAlignment="1">
      <alignment horizontal="left" vertical="center" wrapText="1"/>
    </xf>
    <xf numFmtId="14" fontId="32" fillId="0" borderId="0" xfId="0" applyNumberFormat="1" applyFont="1" applyAlignment="1">
      <alignment horizontal="center" vertical="center" wrapText="1"/>
    </xf>
    <xf numFmtId="15" fontId="32" fillId="0" borderId="0" xfId="0" applyNumberFormat="1" applyFont="1" applyAlignment="1">
      <alignment horizontal="left" vertical="center" wrapText="1"/>
    </xf>
    <xf numFmtId="0" fontId="33" fillId="0" borderId="0" xfId="0" applyFont="1"/>
    <xf numFmtId="9" fontId="0" fillId="0" borderId="0" xfId="1" applyFont="1"/>
    <xf numFmtId="9" fontId="9" fillId="3" borderId="1" xfId="1" applyFont="1" applyFill="1" applyBorder="1" applyAlignment="1">
      <alignment horizontal="center" vertical="center"/>
    </xf>
    <xf numFmtId="9" fontId="0" fillId="0" borderId="0" xfId="1" applyFont="1" applyAlignment="1">
      <alignment horizontal="center" vertical="center"/>
    </xf>
    <xf numFmtId="0" fontId="0" fillId="0" borderId="0" xfId="1" applyNumberFormat="1" applyFont="1"/>
    <xf numFmtId="0" fontId="13" fillId="10" borderId="4" xfId="1" applyNumberFormat="1" applyFont="1" applyFill="1" applyBorder="1" applyAlignment="1">
      <alignment vertical="center"/>
    </xf>
    <xf numFmtId="0" fontId="2" fillId="8" borderId="3" xfId="1" applyNumberFormat="1" applyFont="1" applyFill="1" applyBorder="1" applyAlignment="1">
      <alignment horizontal="center" vertical="center"/>
    </xf>
    <xf numFmtId="0" fontId="34" fillId="0" borderId="23" xfId="0" applyFont="1" applyBorder="1" applyAlignment="1">
      <alignment vertical="center"/>
    </xf>
    <xf numFmtId="0" fontId="34" fillId="0" borderId="23" xfId="0" applyFont="1" applyBorder="1" applyAlignment="1">
      <alignment horizontal="left"/>
    </xf>
    <xf numFmtId="0" fontId="6" fillId="0" borderId="0" xfId="0" applyFont="1" applyAlignment="1">
      <alignment vertical="center"/>
    </xf>
    <xf numFmtId="0" fontId="0" fillId="0" borderId="0" xfId="0" applyAlignment="1">
      <alignment horizontal="left"/>
    </xf>
    <xf numFmtId="0" fontId="0" fillId="19" borderId="0" xfId="0" applyFill="1" applyAlignment="1">
      <alignment horizontal="center" vertical="center"/>
    </xf>
    <xf numFmtId="0" fontId="0" fillId="19" borderId="0" xfId="0" applyFill="1"/>
    <xf numFmtId="0" fontId="13" fillId="20" borderId="4" xfId="0" applyFont="1" applyFill="1" applyBorder="1" applyAlignment="1">
      <alignment vertical="center"/>
    </xf>
    <xf numFmtId="0" fontId="9" fillId="19" borderId="1" xfId="0" applyFont="1" applyFill="1" applyBorder="1" applyAlignment="1">
      <alignment horizontal="center" vertical="center"/>
    </xf>
    <xf numFmtId="0" fontId="0" fillId="19" borderId="0" xfId="0" applyFill="1" applyAlignment="1">
      <alignment horizontal="center" vertical="center" wrapText="1"/>
    </xf>
    <xf numFmtId="0" fontId="10" fillId="19" borderId="0" xfId="0" applyFont="1" applyFill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11" fillId="21" borderId="19" xfId="0" applyFont="1" applyFill="1" applyBorder="1" applyAlignment="1">
      <alignment horizontal="center" vertical="center"/>
    </xf>
    <xf numFmtId="0" fontId="11" fillId="21" borderId="21" xfId="0" applyFont="1" applyFill="1" applyBorder="1" applyAlignment="1">
      <alignment horizontal="center" vertical="center"/>
    </xf>
    <xf numFmtId="0" fontId="35" fillId="21" borderId="21" xfId="0" applyFont="1" applyFill="1" applyBorder="1" applyAlignment="1">
      <alignment horizontal="centerContinuous" vertical="center"/>
    </xf>
    <xf numFmtId="10" fontId="35" fillId="21" borderId="24" xfId="0" applyNumberFormat="1" applyFont="1" applyFill="1" applyBorder="1" applyAlignment="1">
      <alignment horizontal="center" vertical="center"/>
    </xf>
    <xf numFmtId="14" fontId="35" fillId="21" borderId="24" xfId="0" applyNumberFormat="1" applyFont="1" applyFill="1" applyBorder="1" applyAlignment="1">
      <alignment horizontal="center" vertical="center"/>
    </xf>
    <xf numFmtId="0" fontId="35" fillId="21" borderId="24" xfId="0" applyFont="1" applyFill="1" applyBorder="1" applyAlignment="1">
      <alignment horizontal="center" vertical="center"/>
    </xf>
    <xf numFmtId="10" fontId="0" fillId="0" borderId="0" xfId="1" applyNumberFormat="1" applyFont="1"/>
    <xf numFmtId="0" fontId="6" fillId="13" borderId="25" xfId="0" applyFont="1" applyFill="1" applyBorder="1" applyAlignment="1">
      <alignment vertical="center"/>
    </xf>
    <xf numFmtId="0" fontId="6" fillId="14" borderId="25" xfId="0" applyFont="1" applyFill="1" applyBorder="1" applyAlignment="1">
      <alignment vertical="center"/>
    </xf>
    <xf numFmtId="0" fontId="6" fillId="15" borderId="25" xfId="0" applyFont="1" applyFill="1" applyBorder="1" applyAlignment="1">
      <alignment vertical="center"/>
    </xf>
    <xf numFmtId="0" fontId="7" fillId="16" borderId="8" xfId="0" applyFont="1" applyFill="1" applyBorder="1" applyAlignment="1">
      <alignment horizontal="left"/>
    </xf>
    <xf numFmtId="0" fontId="6" fillId="4" borderId="25" xfId="0" applyFont="1" applyFill="1" applyBorder="1" applyAlignment="1">
      <alignment vertical="center"/>
    </xf>
    <xf numFmtId="0" fontId="6" fillId="5" borderId="25" xfId="0" applyFont="1" applyFill="1" applyBorder="1" applyAlignment="1">
      <alignment vertical="center"/>
    </xf>
    <xf numFmtId="0" fontId="6" fillId="6" borderId="25" xfId="0" applyFont="1" applyFill="1" applyBorder="1" applyAlignment="1">
      <alignment vertical="center"/>
    </xf>
    <xf numFmtId="0" fontId="0" fillId="0" borderId="0" xfId="0" applyAlignment="1">
      <alignment horizontal="left" vertical="center"/>
    </xf>
    <xf numFmtId="0" fontId="34" fillId="0" borderId="0" xfId="0" applyFont="1" applyAlignment="1">
      <alignment horizontal="left" vertical="center"/>
    </xf>
    <xf numFmtId="15" fontId="0" fillId="0" borderId="0" xfId="0" applyNumberFormat="1" applyAlignment="1">
      <alignment horizontal="left" vertical="center"/>
    </xf>
    <xf numFmtId="0" fontId="18" fillId="10" borderId="4" xfId="0" applyFont="1" applyFill="1" applyBorder="1" applyAlignment="1">
      <alignment horizontal="right" vertical="center"/>
    </xf>
    <xf numFmtId="0" fontId="17" fillId="17" borderId="26" xfId="0" applyFont="1" applyFill="1" applyBorder="1" applyAlignment="1">
      <alignment horizontal="center" vertical="center"/>
    </xf>
    <xf numFmtId="0" fontId="17" fillId="17" borderId="27" xfId="0" applyFont="1" applyFill="1" applyBorder="1" applyAlignment="1">
      <alignment horizontal="center" vertical="center"/>
    </xf>
    <xf numFmtId="0" fontId="17" fillId="17" borderId="1" xfId="0" applyFont="1" applyFill="1" applyBorder="1" applyAlignment="1">
      <alignment horizontal="center" vertical="center"/>
    </xf>
    <xf numFmtId="0" fontId="17" fillId="17" borderId="18" xfId="0" applyFont="1" applyFill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36" fillId="10" borderId="4" xfId="0" applyFont="1" applyFill="1" applyBorder="1" applyAlignment="1">
      <alignment horizontal="center" vertical="center"/>
    </xf>
    <xf numFmtId="0" fontId="6" fillId="22" borderId="8" xfId="0" applyFont="1" applyFill="1" applyBorder="1" applyAlignment="1">
      <alignment horizontal="left" vertical="center"/>
    </xf>
    <xf numFmtId="0" fontId="3" fillId="8" borderId="15" xfId="0" applyFont="1" applyFill="1" applyBorder="1" applyAlignment="1">
      <alignment horizontal="center" vertical="center"/>
    </xf>
    <xf numFmtId="1" fontId="2" fillId="8" borderId="10" xfId="0" applyNumberFormat="1" applyFont="1" applyFill="1" applyBorder="1" applyAlignment="1">
      <alignment horizontal="center" vertical="center"/>
    </xf>
    <xf numFmtId="1" fontId="2" fillId="8" borderId="11" xfId="0" applyNumberFormat="1" applyFont="1" applyFill="1" applyBorder="1" applyAlignment="1">
      <alignment horizontal="center" vertical="center"/>
    </xf>
    <xf numFmtId="1" fontId="2" fillId="8" borderId="12" xfId="0" applyNumberFormat="1" applyFont="1" applyFill="1" applyBorder="1" applyAlignment="1">
      <alignment horizontal="center" vertical="center"/>
    </xf>
    <xf numFmtId="1" fontId="2" fillId="9" borderId="12" xfId="0" applyNumberFormat="1" applyFont="1" applyFill="1" applyBorder="1" applyAlignment="1">
      <alignment horizontal="center" vertical="center"/>
    </xf>
    <xf numFmtId="1" fontId="2" fillId="9" borderId="10" xfId="0" applyNumberFormat="1" applyFont="1" applyFill="1" applyBorder="1" applyAlignment="1">
      <alignment horizontal="center" vertical="center"/>
    </xf>
    <xf numFmtId="1" fontId="2" fillId="9" borderId="11" xfId="0" applyNumberFormat="1" applyFont="1" applyFill="1" applyBorder="1" applyAlignment="1">
      <alignment horizontal="center" vertical="center"/>
    </xf>
    <xf numFmtId="0" fontId="3" fillId="8" borderId="17" xfId="0" applyFont="1" applyFill="1" applyBorder="1" applyAlignment="1">
      <alignment horizontal="center" vertical="center"/>
    </xf>
    <xf numFmtId="0" fontId="28" fillId="18" borderId="0" xfId="0" applyFont="1" applyFill="1" applyAlignment="1">
      <alignment horizontal="left" vertical="center" wrapText="1"/>
    </xf>
    <xf numFmtId="0" fontId="16" fillId="12" borderId="0" xfId="0" applyFont="1" applyFill="1" applyAlignment="1">
      <alignment horizontal="left" vertical="center"/>
    </xf>
    <xf numFmtId="0" fontId="16" fillId="12" borderId="7" xfId="0" applyFont="1" applyFill="1" applyBorder="1" applyAlignment="1">
      <alignment horizontal="left" vertical="center"/>
    </xf>
    <xf numFmtId="14" fontId="18" fillId="10" borderId="4" xfId="0" applyNumberFormat="1" applyFont="1" applyFill="1" applyBorder="1" applyAlignment="1" applyProtection="1">
      <alignment horizontal="center" vertical="center"/>
      <protection locked="0"/>
    </xf>
    <xf numFmtId="0" fontId="14" fillId="11" borderId="5" xfId="0" applyFont="1" applyFill="1" applyBorder="1" applyAlignment="1">
      <alignment horizontal="left" vertical="center"/>
    </xf>
    <xf numFmtId="14" fontId="16" fillId="12" borderId="0" xfId="0" applyNumberFormat="1" applyFont="1" applyFill="1" applyAlignment="1" applyProtection="1">
      <alignment horizontal="left" vertical="center"/>
      <protection locked="0"/>
    </xf>
    <xf numFmtId="0" fontId="16" fillId="12" borderId="0" xfId="0" applyFont="1" applyFill="1" applyAlignment="1" applyProtection="1">
      <alignment horizontal="left" vertical="center"/>
      <protection locked="0"/>
    </xf>
    <xf numFmtId="0" fontId="0" fillId="0" borderId="0" xfId="0" applyAlignment="1">
      <alignment horizontal="center"/>
    </xf>
    <xf numFmtId="0" fontId="14" fillId="11" borderId="6" xfId="0" applyFont="1" applyFill="1" applyBorder="1" applyAlignment="1">
      <alignment horizontal="left" vertical="center"/>
    </xf>
    <xf numFmtId="0" fontId="15" fillId="11" borderId="5" xfId="0" applyFont="1" applyFill="1" applyBorder="1" applyAlignment="1" applyProtection="1">
      <alignment horizontal="left" vertical="center"/>
      <protection locked="0"/>
    </xf>
    <xf numFmtId="0" fontId="9" fillId="3" borderId="19" xfId="0" applyFont="1" applyFill="1" applyBorder="1" applyAlignment="1">
      <alignment horizontal="center" vertical="center"/>
    </xf>
    <xf numFmtId="0" fontId="9" fillId="3" borderId="21" xfId="0" applyFont="1" applyFill="1" applyBorder="1" applyAlignment="1">
      <alignment horizontal="center" vertical="center"/>
    </xf>
    <xf numFmtId="0" fontId="9" fillId="3" borderId="20" xfId="0" applyFont="1" applyFill="1" applyBorder="1" applyAlignment="1">
      <alignment horizontal="center" vertical="center"/>
    </xf>
    <xf numFmtId="0" fontId="17" fillId="17" borderId="1" xfId="0" applyFont="1" applyFill="1" applyBorder="1" applyAlignment="1">
      <alignment horizontal="center"/>
    </xf>
    <xf numFmtId="0" fontId="17" fillId="17" borderId="22" xfId="0" applyFont="1" applyFill="1" applyBorder="1" applyAlignment="1">
      <alignment horizontal="center"/>
    </xf>
    <xf numFmtId="0" fontId="17" fillId="17" borderId="18" xfId="0" applyFont="1" applyFill="1" applyBorder="1" applyAlignment="1">
      <alignment horizontal="center"/>
    </xf>
  </cellXfs>
  <cellStyles count="2">
    <cellStyle name="Normal" xfId="0" builtinId="0"/>
    <cellStyle name="Percent" xfId="1" builtinId="5"/>
  </cellStyles>
  <dxfs count="139">
    <dxf>
      <alignment horizontal="center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00B050"/>
      </font>
      <fill>
        <patternFill patternType="solid">
          <fgColor indexed="64"/>
          <bgColor theme="9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theme="9"/>
        </left>
        <right style="thin">
          <color theme="9"/>
        </right>
        <top style="thin">
          <color theme="9"/>
        </top>
        <bottom/>
        <vertical/>
        <horizontal/>
      </border>
    </dxf>
    <dxf>
      <border outline="0">
        <bottom style="thin">
          <color theme="9"/>
        </bottom>
      </border>
    </dxf>
    <dxf>
      <font>
        <b val="0"/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.9"/>
        <color theme="2" tint="-0.749992370372631"/>
        <name val="Arial"/>
        <family val="2"/>
        <scheme val="none"/>
      </font>
      <numFmt numFmtId="19" formatCode="dd/mm/yyyy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.9"/>
        <color theme="2" tint="-0.749992370372631"/>
        <name val="Arial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9.9"/>
        <color theme="2" tint="-0.749992370372631"/>
        <name val="Arial"/>
        <family val="2"/>
        <scheme val="none"/>
      </font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theme="9" tint="-0.499984740745262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theme="9" tint="-0.499984740745262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 tint="0.14999847407452621"/>
        <name val="Calibri"/>
        <family val="2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 tint="0.14999847407452621"/>
        <name val="Calibri"/>
        <family val="2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 tint="0.14999847407452621"/>
        <name val="Calibri"/>
        <family val="2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 tint="0.14999847407452621"/>
        <name val="Calibri"/>
        <family val="2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 tint="0.1499984740745262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 tint="0.14999847407452621"/>
        <name val="Calibri"/>
        <family val="2"/>
        <scheme val="minor"/>
      </font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 tint="0.14999847407452621"/>
        <name val="Calibri"/>
        <family val="2"/>
        <scheme val="minor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 tint="0.14999847407452621"/>
        <name val="Calibri"/>
        <family val="2"/>
        <scheme val="minor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 tint="0.14999847407452621"/>
        <name val="Calibri"/>
        <family val="2"/>
        <scheme val="minor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 tint="0.14999847407452621"/>
        <name val="Calibri"/>
        <family val="2"/>
        <scheme val="minor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 tint="0.14999847407452621"/>
        <name val="Calibri"/>
        <family val="2"/>
        <scheme val="minor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 tint="0.14999847407452621"/>
        <name val="Calibri"/>
        <family val="2"/>
        <scheme val="minor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 tint="0.14999847407452621"/>
        <name val="Calibri"/>
        <family val="2"/>
        <scheme val="minor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 tint="0.14999847407452621"/>
        <name val="Calibri"/>
        <family val="2"/>
        <scheme val="minor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 tint="0.14999847407452621"/>
        <name val="Calibri"/>
        <family val="2"/>
        <scheme val="minor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 tint="0.14999847407452621"/>
        <name val="Calibri"/>
        <family val="2"/>
        <scheme val="minor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 tint="0.14999847407452621"/>
        <name val="Calibri"/>
        <family val="2"/>
        <scheme val="minor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 tint="0.14999847407452621"/>
        <name val="Calibri"/>
        <family val="2"/>
        <scheme val="minor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 tint="0.14999847407452621"/>
        <name val="Calibri"/>
        <family val="2"/>
        <scheme val="minor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 tint="0.14999847407452621"/>
        <name val="Calibri"/>
        <family val="2"/>
        <scheme val="minor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 tint="0.14999847407452621"/>
        <name val="Calibri"/>
        <family val="2"/>
        <scheme val="minor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 tint="0.14999847407452621"/>
        <name val="Calibri"/>
        <family val="2"/>
        <scheme val="minor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 tint="0.14999847407452621"/>
        <name val="Calibri"/>
        <family val="2"/>
        <scheme val="minor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 tint="0.14999847407452621"/>
        <name val="Calibri"/>
        <family val="2"/>
        <scheme val="minor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 tint="0.14999847407452621"/>
        <name val="Calibri"/>
        <family val="2"/>
        <scheme val="minor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 tint="0.14999847407452621"/>
        <name val="Calibri"/>
        <family val="2"/>
        <scheme val="minor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 tint="0.14999847407452621"/>
        <name val="Calibri"/>
        <family val="2"/>
        <scheme val="minor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 tint="0.14999847407452621"/>
        <name val="Calibri"/>
        <family val="2"/>
        <scheme val="minor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 tint="0.14999847407452621"/>
        <name val="Calibri"/>
        <family val="2"/>
        <scheme val="minor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 tint="0.14999847407452621"/>
        <name val="Calibri"/>
        <family val="2"/>
        <scheme val="minor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 tint="0.14999847407452621"/>
        <name val="Calibri"/>
        <family val="2"/>
        <scheme val="minor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 tint="0.14999847407452621"/>
        <name val="Calibri"/>
        <family val="2"/>
        <scheme val="minor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 tint="0.14999847407452621"/>
        <name val="Calibri"/>
        <family val="2"/>
        <scheme val="minor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 tint="0.14999847407452621"/>
        <name val="Calibri"/>
        <family val="2"/>
        <scheme val="minor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 tint="0.14999847407452621"/>
        <name val="Calibri"/>
        <family val="2"/>
        <scheme val="minor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 tint="0.14999847407452621"/>
        <name val="Calibri"/>
        <family val="2"/>
        <scheme val="minor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 tint="0.14999847407452621"/>
        <name val="Calibri"/>
        <family val="2"/>
        <scheme val="minor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 tint="0.14999847407452621"/>
        <name val="Calibri"/>
        <family val="2"/>
        <scheme val="minor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 tint="0.14999847407452621"/>
        <name val="Calibri"/>
        <family val="2"/>
        <scheme val="minor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 tint="0.14999847407452621"/>
        <name val="Calibri"/>
        <family val="2"/>
        <scheme val="minor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 tint="0.14999847407452621"/>
        <name val="Calibri"/>
        <family val="2"/>
        <scheme val="minor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 tint="0.14999847407452621"/>
        <name val="Calibri"/>
        <family val="2"/>
        <scheme val="minor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 tint="0.14999847407452621"/>
        <name val="Calibri"/>
        <family val="2"/>
        <scheme val="minor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 tint="0.14999847407452621"/>
        <name val="Calibri"/>
        <family val="2"/>
        <scheme val="minor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 tint="0.14999847407452621"/>
        <name val="Calibri"/>
        <family val="2"/>
        <scheme val="minor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 tint="0.14999847407452621"/>
        <name val="Calibri"/>
        <family val="2"/>
        <scheme val="minor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 tint="0.14999847407452621"/>
        <name val="Calibri"/>
        <family val="2"/>
        <scheme val="minor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 tint="0.14999847407452621"/>
        <name val="Calibri"/>
        <family val="2"/>
        <scheme val="minor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 tint="0.14999847407452621"/>
        <name val="Calibri"/>
        <family val="2"/>
        <scheme val="minor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 tint="0.14999847407452621"/>
        <name val="Calibri"/>
        <family val="2"/>
        <scheme val="minor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 tint="0.14999847407452621"/>
        <name val="Calibri"/>
        <family val="2"/>
        <scheme val="minor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 tint="0.14999847407452621"/>
        <name val="Calibri"/>
        <family val="2"/>
        <scheme val="minor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 tint="0.14999847407452621"/>
        <name val="Calibri"/>
        <family val="2"/>
        <scheme val="minor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 tint="0.14999847407452621"/>
        <name val="Calibri"/>
        <family val="2"/>
        <scheme val="minor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 tint="0.14999847407452621"/>
        <name val="Calibri"/>
        <family val="2"/>
        <scheme val="minor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 tint="0.14999847407452621"/>
        <name val="Calibri"/>
        <family val="2"/>
        <scheme val="minor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 tint="0.14999847407452621"/>
        <name val="Calibri"/>
        <family val="2"/>
        <scheme val="minor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 tint="0.14999847407452621"/>
        <name val="Calibri"/>
        <family val="2"/>
        <scheme val="minor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 tint="0.14999847407452621"/>
        <name val="Calibri"/>
        <family val="2"/>
        <scheme val="minor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 tint="0.14999847407452621"/>
        <name val="Calibri"/>
        <family val="2"/>
        <scheme val="minor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 tint="0.14999847407452621"/>
        <name val="Calibri"/>
        <family val="2"/>
        <scheme val="minor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 tint="0.14999847407452621"/>
        <name val="Calibri"/>
        <family val="2"/>
        <scheme val="minor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14999847407452621"/>
        <name val="Calibri"/>
        <family val="2"/>
        <scheme val="minor"/>
      </font>
      <numFmt numFmtId="165" formatCode="m/d/yyyy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theme="1" tint="0.1499984740745262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theme="1" tint="0.14999847407452621"/>
        <name val="Calibri"/>
        <family val="2"/>
        <scheme val="minor"/>
      </font>
      <numFmt numFmtId="19" formatCode="dd/mm/yyyy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 tint="0.1499984740745262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theme="1" tint="0.14999847407452621"/>
        <name val="Calibri"/>
        <family val="2"/>
        <scheme val="minor"/>
      </font>
      <numFmt numFmtId="19" formatCode="dd/mm/yyyy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theme="1" tint="0.14999847407452621"/>
        <name val="Calibri"/>
        <family val="2"/>
        <scheme val="minor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theme="1" tint="0.1499984740745262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theme="1" tint="0.1499984740745262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theme="1" tint="0.1499984740745262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theme="1" tint="0.14999847407452621"/>
        <name val="Calibri"/>
        <family val="2"/>
        <scheme val="minor"/>
      </font>
      <numFmt numFmtId="0" formatCode="General"/>
      <fill>
        <patternFill patternType="lightUp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 tint="0.14999847407452621"/>
        <name val="Calibri"/>
        <family val="2"/>
        <scheme val="minor"/>
      </font>
      <numFmt numFmtId="0" formatCode="General"/>
      <fill>
        <patternFill patternType="lightUp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 tint="0.14999847407452621"/>
        <name val="Calibri"/>
        <family val="2"/>
        <scheme val="minor"/>
      </font>
      <numFmt numFmtId="0" formatCode="General"/>
      <fill>
        <patternFill patternType="lightUp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 tint="0.14999847407452621"/>
        <name val="Calibri"/>
        <family val="2"/>
        <scheme val="minor"/>
      </font>
      <fill>
        <patternFill patternType="lightUp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 tint="0.1499984740745262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 tint="0.14999847407452621"/>
        <name val="Calibri"/>
        <family val="2"/>
        <scheme val="minor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color theme="0"/>
      </font>
      <fill>
        <patternFill>
          <fgColor indexed="64"/>
          <bgColor rgb="FF92D050"/>
        </patternFill>
      </fill>
    </dxf>
    <dxf>
      <font>
        <b val="0"/>
        <i val="0"/>
        <color theme="0"/>
      </font>
      <fill>
        <patternFill>
          <fgColor indexed="64"/>
          <bgColor rgb="FFFFC000"/>
        </patternFill>
      </fill>
    </dxf>
    <dxf>
      <font>
        <b val="0"/>
        <i val="0"/>
        <color theme="0"/>
      </font>
      <fill>
        <patternFill>
          <fgColor indexed="64"/>
          <bgColor rgb="FF4868E5"/>
        </patternFill>
      </fill>
    </dxf>
    <dxf>
      <font>
        <b val="0"/>
        <i val="0"/>
        <color theme="0"/>
      </font>
      <fill>
        <patternFill>
          <fgColor indexed="64"/>
          <bgColor rgb="FFFF0000"/>
        </patternFill>
      </fill>
    </dxf>
    <dxf>
      <font>
        <b val="0"/>
        <i val="0"/>
        <color theme="2" tint="-0.499984740745262"/>
      </font>
      <border>
        <left style="thin">
          <color theme="5"/>
        </left>
        <right style="thin">
          <color theme="5"/>
        </right>
      </border>
    </dxf>
    <dxf>
      <font>
        <color rgb="FF00B050"/>
      </font>
      <fill>
        <patternFill>
          <fgColor indexed="64"/>
          <bgColor rgb="FFF1F7ED"/>
        </patternFill>
      </fill>
      <border>
        <left/>
        <right/>
      </border>
    </dxf>
    <dxf>
      <font>
        <color rgb="FFFFFFFF"/>
      </font>
      <fill>
        <patternFill>
          <fgColor indexed="64"/>
          <bgColor rgb="FF92D050"/>
        </patternFill>
      </fill>
      <border>
        <left/>
        <right/>
      </border>
    </dxf>
    <dxf>
      <font>
        <color rgb="FFFFFFFF"/>
      </font>
      <fill>
        <patternFill>
          <fgColor indexed="64"/>
          <bgColor rgb="FFFFE38B"/>
        </patternFill>
      </fill>
      <border>
        <left/>
        <right/>
      </border>
    </dxf>
    <dxf>
      <font>
        <color rgb="FFFFFFFF"/>
      </font>
      <fill>
        <patternFill>
          <fgColor indexed="64"/>
          <bgColor rgb="FFFFC000"/>
        </patternFill>
      </fill>
      <border>
        <left/>
        <right/>
      </border>
    </dxf>
    <dxf>
      <font>
        <color rgb="FFFFFFFF"/>
      </font>
      <fill>
        <patternFill>
          <fgColor indexed="64"/>
          <bgColor rgb="FF9DAFF1"/>
        </patternFill>
      </fill>
      <border>
        <left/>
        <right/>
      </border>
    </dxf>
    <dxf>
      <font>
        <color rgb="FFFFFFFF"/>
      </font>
      <fill>
        <patternFill>
          <fgColor indexed="64"/>
          <bgColor rgb="FF4868E5"/>
        </patternFill>
      </fill>
      <border>
        <left/>
        <right/>
      </border>
    </dxf>
    <dxf>
      <font>
        <color rgb="FFFFFFFF"/>
      </font>
      <fill>
        <patternFill>
          <fgColor indexed="64"/>
          <bgColor rgb="FFFF8989"/>
        </patternFill>
      </fill>
      <border>
        <left/>
        <right/>
      </border>
    </dxf>
    <dxf>
      <font>
        <color rgb="FFFFFFFF"/>
      </font>
      <fill>
        <patternFill>
          <fgColor indexed="64"/>
          <bgColor rgb="FFFF0000"/>
        </patternFill>
      </fill>
      <border>
        <left/>
        <right/>
      </border>
    </dxf>
    <dxf>
      <font>
        <b/>
        <i val="0"/>
        <color rgb="FF00B050"/>
      </font>
      <fill>
        <patternFill patternType="solid">
          <fgColor indexed="64"/>
          <bgColor theme="9" tint="0.79998168889431442"/>
        </patternFill>
      </fill>
    </dxf>
    <dxf>
      <border>
        <left style="thin">
          <color theme="9"/>
        </left>
      </border>
    </dxf>
    <dxf>
      <border>
        <left style="thin">
          <color theme="9"/>
        </left>
      </border>
    </dxf>
    <dxf>
      <border>
        <top style="thin">
          <color theme="9"/>
        </top>
      </border>
    </dxf>
    <dxf>
      <border>
        <top style="thin">
          <color theme="9"/>
        </top>
      </border>
    </dxf>
    <dxf>
      <font>
        <b/>
        <color theme="1"/>
      </font>
    </dxf>
    <dxf>
      <font>
        <b/>
        <color theme="1"/>
      </font>
    </dxf>
    <dxf>
      <font>
        <b/>
        <color theme="1"/>
      </font>
      <border>
        <top style="double">
          <color theme="9"/>
        </top>
      </border>
    </dxf>
    <dxf>
      <font>
        <b/>
        <color theme="0"/>
      </font>
      <fill>
        <patternFill patternType="solid">
          <fgColor theme="9"/>
          <bgColor theme="9"/>
        </patternFill>
      </fill>
    </dxf>
    <dxf>
      <font>
        <color theme="1"/>
      </font>
      <border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  <vertical style="thin">
          <color theme="0" tint="-4.9989318521683403E-2"/>
        </vertical>
        <horizontal style="thin">
          <color theme="0" tint="-4.9989318521683403E-2"/>
        </horizontal>
      </border>
    </dxf>
    <dxf>
      <border>
        <left style="thin">
          <color theme="9"/>
        </left>
      </border>
    </dxf>
    <dxf>
      <border>
        <left style="thin">
          <color theme="9"/>
        </left>
      </border>
    </dxf>
    <dxf>
      <border diagonalUp="0" diagonalDown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border diagonalUp="0" diagonalDown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ont>
        <b/>
        <color theme="1"/>
      </font>
    </dxf>
    <dxf>
      <font>
        <b/>
        <color theme="1"/>
      </font>
    </dxf>
    <dxf>
      <font>
        <b/>
        <color theme="1"/>
      </font>
      <border>
        <top style="double">
          <color theme="9"/>
        </top>
      </border>
    </dxf>
    <dxf>
      <font>
        <b/>
        <color theme="0"/>
      </font>
      <fill>
        <patternFill patternType="solid">
          <fgColor theme="9"/>
          <bgColor theme="9"/>
        </patternFill>
      </fill>
    </dxf>
    <dxf>
      <font>
        <color theme="1"/>
      </font>
      <border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  <vertical style="thin">
          <color theme="0" tint="-4.9989318521683403E-2"/>
        </vertical>
        <horizontal style="thin">
          <color theme="0" tint="-4.9989318521683403E-2"/>
        </horizontal>
      </border>
    </dxf>
  </dxfs>
  <tableStyles count="2" defaultTableStyle="TableStyleMedium2" defaultPivotStyle="PivotStyleLight16">
    <tableStyle name="TableStyleLight14 2" pivot="0" count="9" xr9:uid="{C803ECF4-81F2-48DA-A591-0A545A829943}">
      <tableStyleElement type="wholeTable" dxfId="138"/>
      <tableStyleElement type="headerRow" dxfId="137"/>
      <tableStyleElement type="totalRow" dxfId="136"/>
      <tableStyleElement type="firstColumn" dxfId="135"/>
      <tableStyleElement type="lastColumn" dxfId="134"/>
      <tableStyleElement type="firstRowStripe" dxfId="133"/>
      <tableStyleElement type="secondRowStripe" dxfId="132"/>
      <tableStyleElement type="firstColumnStripe" dxfId="131"/>
      <tableStyleElement type="secondColumnStripe" dxfId="130"/>
    </tableStyle>
    <tableStyle name="TableStyleLight14 2 2" pivot="0" count="9" xr9:uid="{AC5A6F65-C9C4-4955-81C3-AF4FEE86B463}">
      <tableStyleElement type="wholeTable" dxfId="129"/>
      <tableStyleElement type="headerRow" dxfId="128"/>
      <tableStyleElement type="totalRow" dxfId="127"/>
      <tableStyleElement type="firstColumn" dxfId="126"/>
      <tableStyleElement type="lastColumn" dxfId="125"/>
      <tableStyleElement type="firstRowStripe" dxfId="124"/>
      <tableStyleElement type="secondRowStripe" dxfId="123"/>
      <tableStyleElement type="firstColumnStripe" dxfId="122"/>
      <tableStyleElement type="secondColumnStripe" dxfId="121"/>
    </tableStyle>
  </tableStyles>
  <colors>
    <mruColors>
      <color rgb="FFC198E0"/>
      <color rgb="FFF1F7ED"/>
      <color rgb="FFFFE38B"/>
      <color rgb="FF9DAFF1"/>
      <color rgb="FFFF8989"/>
      <color rgb="FF87F997"/>
      <color rgb="FF55FD6D"/>
      <color rgb="FF53FFA1"/>
      <color rgb="FF00F66F"/>
      <color rgb="FFFFC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Radio" firstButton="1" fmlaLink="Backend!$C$1" lockText="1" noThreeD="1"/>
</file>

<file path=xl/ctrlProps/ctrlProp2.xml><?xml version="1.0" encoding="utf-8"?>
<formControlPr xmlns="http://schemas.microsoft.com/office/spreadsheetml/2009/9/main" objectType="Radio" checked="Checked" lockText="1" noThreeD="1"/>
</file>

<file path=xl/ctrlProps/ctrlProp3.xml><?xml version="1.0" encoding="utf-8"?>
<formControlPr xmlns="http://schemas.microsoft.com/office/spreadsheetml/2009/9/main" objectType="Radio" lockText="1" noThreeD="1"/>
</file>

<file path=xl/ctrlProps/ctrlProp4.xml><?xml version="1.0" encoding="utf-8"?>
<formControlPr xmlns="http://schemas.microsoft.com/office/spreadsheetml/2009/9/main" objectType="Drop" dropLines="2" dropStyle="combo" dx="26" fmlaLink="$N$4" fmlaRange="Langue!$F$2:$F$3" noThreeD="1" sel="2" val="0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png"/><Relationship Id="rId13" Type="http://schemas.openxmlformats.org/officeDocument/2006/relationships/image" Target="../media/image12.png"/><Relationship Id="rId18" Type="http://schemas.openxmlformats.org/officeDocument/2006/relationships/image" Target="../media/image17.png"/><Relationship Id="rId3" Type="http://schemas.openxmlformats.org/officeDocument/2006/relationships/hyperlink" Target="https://learn.microsoft.com/fr-fr/deployoffice/security/internet-macros-blocked" TargetMode="External"/><Relationship Id="rId21" Type="http://schemas.openxmlformats.org/officeDocument/2006/relationships/image" Target="../media/image20.png"/><Relationship Id="rId7" Type="http://schemas.openxmlformats.org/officeDocument/2006/relationships/image" Target="../media/image6.png"/><Relationship Id="rId12" Type="http://schemas.openxmlformats.org/officeDocument/2006/relationships/image" Target="../media/image11.png"/><Relationship Id="rId17" Type="http://schemas.openxmlformats.org/officeDocument/2006/relationships/image" Target="../media/image16.png"/><Relationship Id="rId2" Type="http://schemas.openxmlformats.org/officeDocument/2006/relationships/image" Target="../media/image2.png"/><Relationship Id="rId16" Type="http://schemas.openxmlformats.org/officeDocument/2006/relationships/image" Target="../media/image15.png"/><Relationship Id="rId20" Type="http://schemas.openxmlformats.org/officeDocument/2006/relationships/image" Target="../media/image19.png"/><Relationship Id="rId1" Type="http://schemas.openxmlformats.org/officeDocument/2006/relationships/image" Target="../media/image1.png"/><Relationship Id="rId6" Type="http://schemas.openxmlformats.org/officeDocument/2006/relationships/image" Target="../media/image5.png"/><Relationship Id="rId11" Type="http://schemas.openxmlformats.org/officeDocument/2006/relationships/image" Target="../media/image10.png"/><Relationship Id="rId5" Type="http://schemas.openxmlformats.org/officeDocument/2006/relationships/image" Target="../media/image4.png"/><Relationship Id="rId15" Type="http://schemas.openxmlformats.org/officeDocument/2006/relationships/image" Target="../media/image14.png"/><Relationship Id="rId10" Type="http://schemas.openxmlformats.org/officeDocument/2006/relationships/image" Target="../media/image9.png"/><Relationship Id="rId19" Type="http://schemas.openxmlformats.org/officeDocument/2006/relationships/image" Target="../media/image18.png"/><Relationship Id="rId4" Type="http://schemas.openxmlformats.org/officeDocument/2006/relationships/image" Target="../media/image3.png"/><Relationship Id="rId9" Type="http://schemas.openxmlformats.org/officeDocument/2006/relationships/image" Target="../media/image8.png"/><Relationship Id="rId14" Type="http://schemas.openxmlformats.org/officeDocument/2006/relationships/image" Target="../media/image13.png"/><Relationship Id="rId22" Type="http://schemas.openxmlformats.org/officeDocument/2006/relationships/image" Target="../media/image21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27.svg"/><Relationship Id="rId3" Type="http://schemas.openxmlformats.org/officeDocument/2006/relationships/image" Target="../media/image24.png"/><Relationship Id="rId7" Type="http://schemas.openxmlformats.org/officeDocument/2006/relationships/image" Target="../media/image26.png"/><Relationship Id="rId12" Type="http://schemas.openxmlformats.org/officeDocument/2006/relationships/image" Target="../media/image31.svg"/><Relationship Id="rId2" Type="http://schemas.openxmlformats.org/officeDocument/2006/relationships/image" Target="../media/image23.svg"/><Relationship Id="rId1" Type="http://schemas.openxmlformats.org/officeDocument/2006/relationships/image" Target="../media/image22.png"/><Relationship Id="rId6" Type="http://schemas.openxmlformats.org/officeDocument/2006/relationships/image" Target="../media/image1.png"/><Relationship Id="rId11" Type="http://schemas.openxmlformats.org/officeDocument/2006/relationships/image" Target="../media/image30.png"/><Relationship Id="rId5" Type="http://schemas.openxmlformats.org/officeDocument/2006/relationships/hyperlink" Target="https://blog-gestion-de-projet.com/docs/kit-management-projet/planification/planning-gantt/" TargetMode="External"/><Relationship Id="rId10" Type="http://schemas.openxmlformats.org/officeDocument/2006/relationships/image" Target="../media/image29.svg"/><Relationship Id="rId4" Type="http://schemas.openxmlformats.org/officeDocument/2006/relationships/image" Target="../media/image25.svg"/><Relationship Id="rId9" Type="http://schemas.openxmlformats.org/officeDocument/2006/relationships/image" Target="../media/image28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https://blog-gestion-de-projet.com/docs/kit-management-projet/planification/planning-gantt/" TargetMode="Externa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image" Target="../media/image37.svg"/><Relationship Id="rId3" Type="http://schemas.openxmlformats.org/officeDocument/2006/relationships/image" Target="../media/image32.png"/><Relationship Id="rId7" Type="http://schemas.openxmlformats.org/officeDocument/2006/relationships/image" Target="../media/image36.png"/><Relationship Id="rId2" Type="http://schemas.openxmlformats.org/officeDocument/2006/relationships/hyperlink" Target="https://blog-gestion-de-projet.com/docs/kit-management-projet/planification/planning-gantt/" TargetMode="External"/><Relationship Id="rId1" Type="http://schemas.openxmlformats.org/officeDocument/2006/relationships/image" Target="../media/image1.png"/><Relationship Id="rId6" Type="http://schemas.openxmlformats.org/officeDocument/2006/relationships/image" Target="../media/image35.svg"/><Relationship Id="rId5" Type="http://schemas.openxmlformats.org/officeDocument/2006/relationships/image" Target="../media/image34.png"/><Relationship Id="rId10" Type="http://schemas.openxmlformats.org/officeDocument/2006/relationships/image" Target="../media/image39.svg"/><Relationship Id="rId4" Type="http://schemas.openxmlformats.org/officeDocument/2006/relationships/image" Target="../media/image33.svg"/><Relationship Id="rId9" Type="http://schemas.openxmlformats.org/officeDocument/2006/relationships/image" Target="../media/image38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5</xdr:col>
      <xdr:colOff>486586</xdr:colOff>
      <xdr:row>2</xdr:row>
      <xdr:rowOff>60960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2719246" cy="51816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15240</xdr:colOff>
      <xdr:row>7</xdr:row>
      <xdr:rowOff>85353</xdr:rowOff>
    </xdr:from>
    <xdr:to>
      <xdr:col>10</xdr:col>
      <xdr:colOff>1338872</xdr:colOff>
      <xdr:row>19</xdr:row>
      <xdr:rowOff>41349</xdr:rowOff>
    </xdr:to>
    <xdr:pic>
      <xdr:nvPicPr>
        <xdr:cNvPr id="8" name="Image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75260" y="1754133"/>
          <a:ext cx="8638832" cy="2150556"/>
        </a:xfrm>
        <a:prstGeom prst="rect">
          <a:avLst/>
        </a:prstGeom>
      </xdr:spPr>
    </xdr:pic>
    <xdr:clientData/>
  </xdr:twoCellAnchor>
  <xdr:twoCellAnchor>
    <xdr:from>
      <xdr:col>12</xdr:col>
      <xdr:colOff>448156</xdr:colOff>
      <xdr:row>21</xdr:row>
      <xdr:rowOff>215538</xdr:rowOff>
    </xdr:from>
    <xdr:to>
      <xdr:col>13</xdr:col>
      <xdr:colOff>882412</xdr:colOff>
      <xdr:row>21</xdr:row>
      <xdr:rowOff>449749</xdr:rowOff>
    </xdr:to>
    <xdr:sp macro="" textlink="">
      <xdr:nvSpPr>
        <xdr:cNvPr id="9" name="TextBox 5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 txBox="1"/>
      </xdr:nvSpPr>
      <xdr:spPr>
        <a:xfrm>
          <a:off x="9904576" y="4490358"/>
          <a:ext cx="1828716" cy="2342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 u="sng">
              <a:solidFill>
                <a:srgbClr val="00B0F0"/>
              </a:solidFill>
            </a:rPr>
            <a:t>Plus de détail</a:t>
          </a:r>
        </a:p>
      </xdr:txBody>
    </xdr:sp>
    <xdr:clientData/>
  </xdr:twoCellAnchor>
  <xdr:twoCellAnchor editAs="oneCell">
    <xdr:from>
      <xdr:col>1</xdr:col>
      <xdr:colOff>22860</xdr:colOff>
      <xdr:row>22</xdr:row>
      <xdr:rowOff>99060</xdr:rowOff>
    </xdr:from>
    <xdr:to>
      <xdr:col>9</xdr:col>
      <xdr:colOff>770849</xdr:colOff>
      <xdr:row>26</xdr:row>
      <xdr:rowOff>39063</xdr:rowOff>
    </xdr:to>
    <xdr:pic>
      <xdr:nvPicPr>
        <xdr:cNvPr id="10" name="Image 55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b="12132"/>
        <a:stretch/>
      </xdr:blipFill>
      <xdr:spPr>
        <a:xfrm>
          <a:off x="182880" y="4876800"/>
          <a:ext cx="6691589" cy="671523"/>
        </a:xfrm>
        <a:prstGeom prst="rect">
          <a:avLst/>
        </a:prstGeom>
      </xdr:spPr>
    </xdr:pic>
    <xdr:clientData/>
  </xdr:twoCellAnchor>
  <xdr:twoCellAnchor>
    <xdr:from>
      <xdr:col>1</xdr:col>
      <xdr:colOff>114300</xdr:colOff>
      <xdr:row>32</xdr:row>
      <xdr:rowOff>22778</xdr:rowOff>
    </xdr:from>
    <xdr:to>
      <xdr:col>10</xdr:col>
      <xdr:colOff>174246</xdr:colOff>
      <xdr:row>49</xdr:row>
      <xdr:rowOff>108059</xdr:rowOff>
    </xdr:to>
    <xdr:grpSp>
      <xdr:nvGrpSpPr>
        <xdr:cNvPr id="11" name="Groupe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pSpPr/>
      </xdr:nvGrpSpPr>
      <xdr:grpSpPr>
        <a:xfrm>
          <a:off x="274320" y="6789338"/>
          <a:ext cx="7367526" cy="3194241"/>
          <a:chOff x="640080" y="6819818"/>
          <a:chExt cx="7375146" cy="3194241"/>
        </a:xfrm>
      </xdr:grpSpPr>
      <xdr:grpSp>
        <xdr:nvGrpSpPr>
          <xdr:cNvPr id="12" name="Groupe 11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GrpSpPr/>
        </xdr:nvGrpSpPr>
        <xdr:grpSpPr>
          <a:xfrm>
            <a:off x="1844040" y="6819818"/>
            <a:ext cx="6171186" cy="3194241"/>
            <a:chOff x="160020" y="6667418"/>
            <a:chExt cx="6171186" cy="3194241"/>
          </a:xfrm>
        </xdr:grpSpPr>
        <xdr:pic>
          <xdr:nvPicPr>
            <xdr:cNvPr id="17" name="Image 16">
              <a:extLst>
                <a:ext uri="{FF2B5EF4-FFF2-40B4-BE49-F238E27FC236}">
                  <a16:creationId xmlns:a16="http://schemas.microsoft.com/office/drawing/2014/main" id="{00000000-0008-0000-0000-000011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5"/>
            <a:stretch>
              <a:fillRect/>
            </a:stretch>
          </xdr:blipFill>
          <xdr:spPr>
            <a:xfrm>
              <a:off x="160020" y="6667418"/>
              <a:ext cx="6171186" cy="3194241"/>
            </a:xfrm>
            <a:prstGeom prst="rect">
              <a:avLst/>
            </a:prstGeom>
          </xdr:spPr>
        </xdr:pic>
        <xdr:sp macro="" textlink="">
          <xdr:nvSpPr>
            <xdr:cNvPr id="18" name="Rectangle 17">
              <a:extLst>
                <a:ext uri="{FF2B5EF4-FFF2-40B4-BE49-F238E27FC236}">
                  <a16:creationId xmlns:a16="http://schemas.microsoft.com/office/drawing/2014/main" id="{00000000-0008-0000-0000-000012000000}"/>
                </a:ext>
              </a:extLst>
            </xdr:cNvPr>
            <xdr:cNvSpPr/>
          </xdr:nvSpPr>
          <xdr:spPr>
            <a:xfrm>
              <a:off x="541020" y="7581900"/>
              <a:ext cx="3169920" cy="182880"/>
            </a:xfrm>
            <a:prstGeom prst="rect">
              <a:avLst/>
            </a:prstGeom>
            <a:noFill/>
            <a:ln w="12700">
              <a:solidFill>
                <a:srgbClr val="FF0000"/>
              </a:solidFill>
            </a:ln>
          </xdr:spPr>
          <xdr:style>
            <a:lnRef idx="0">
              <a:schemeClr val="accent6"/>
            </a:lnRef>
            <a:fillRef idx="3">
              <a:schemeClr val="accent6"/>
            </a:fillRef>
            <a:effectRef idx="3">
              <a:schemeClr val="accent6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endParaRPr lang="fr-FR" sz="900"/>
            </a:p>
          </xdr:txBody>
        </xdr:sp>
      </xdr:grpSp>
      <xdr:cxnSp macro="">
        <xdr:nvCxnSpPr>
          <xdr:cNvPr id="13" name="Connecteur droit avec flèche 12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CxnSpPr/>
        </xdr:nvCxnSpPr>
        <xdr:spPr>
          <a:xfrm>
            <a:off x="1371600" y="7856220"/>
            <a:ext cx="822960" cy="0"/>
          </a:xfrm>
          <a:prstGeom prst="straightConnector1">
            <a:avLst/>
          </a:prstGeom>
          <a:ln>
            <a:solidFill>
              <a:srgbClr val="FF0000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4" name="ZoneTexte 13">
            <a:extLst>
              <a:ext uri="{FF2B5EF4-FFF2-40B4-BE49-F238E27FC236}">
                <a16:creationId xmlns:a16="http://schemas.microsoft.com/office/drawing/2014/main" id="{00000000-0008-0000-0000-00000E000000}"/>
              </a:ext>
            </a:extLst>
          </xdr:cNvPr>
          <xdr:cNvSpPr txBox="1"/>
        </xdr:nvSpPr>
        <xdr:spPr>
          <a:xfrm>
            <a:off x="640080" y="7711440"/>
            <a:ext cx="883920" cy="24384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fr-FR" sz="1100">
                <a:solidFill>
                  <a:srgbClr val="FF0000"/>
                </a:solidFill>
              </a:rPr>
              <a:t>Activité</a:t>
            </a:r>
          </a:p>
        </xdr:txBody>
      </xdr:sp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SpPr txBox="1"/>
        </xdr:nvSpPr>
        <xdr:spPr>
          <a:xfrm>
            <a:off x="647700" y="8008620"/>
            <a:ext cx="883920" cy="24384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fr-FR" sz="1100">
                <a:solidFill>
                  <a:srgbClr val="92D050"/>
                </a:solidFill>
              </a:rPr>
              <a:t>Tâche</a:t>
            </a:r>
          </a:p>
        </xdr:txBody>
      </xdr:sp>
      <xdr:cxnSp macro="">
        <xdr:nvCxnSpPr>
          <xdr:cNvPr id="16" name="Connecteur droit avec flèche 15">
            <a:extLst>
              <a:ext uri="{FF2B5EF4-FFF2-40B4-BE49-F238E27FC236}">
                <a16:creationId xmlns:a16="http://schemas.microsoft.com/office/drawing/2014/main" id="{00000000-0008-0000-0000-000010000000}"/>
              </a:ext>
            </a:extLst>
          </xdr:cNvPr>
          <xdr:cNvCxnSpPr/>
        </xdr:nvCxnSpPr>
        <xdr:spPr>
          <a:xfrm flipV="1">
            <a:off x="1318260" y="8016240"/>
            <a:ext cx="868680" cy="129540"/>
          </a:xfrm>
          <a:prstGeom prst="straightConnector1">
            <a:avLst/>
          </a:prstGeom>
          <a:ln>
            <a:solidFill>
              <a:srgbClr val="92D050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</xdr:col>
      <xdr:colOff>42672</xdr:colOff>
      <xdr:row>52</xdr:row>
      <xdr:rowOff>30480</xdr:rowOff>
    </xdr:from>
    <xdr:to>
      <xdr:col>7</xdr:col>
      <xdr:colOff>315404</xdr:colOff>
      <xdr:row>67</xdr:row>
      <xdr:rowOff>39499</xdr:rowOff>
    </xdr:to>
    <xdr:grpSp>
      <xdr:nvGrpSpPr>
        <xdr:cNvPr id="19" name="Groupe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GrpSpPr/>
      </xdr:nvGrpSpPr>
      <xdr:grpSpPr>
        <a:xfrm>
          <a:off x="202692" y="10469880"/>
          <a:ext cx="4494212" cy="2752219"/>
          <a:chOff x="202692" y="10454640"/>
          <a:chExt cx="4494212" cy="2752219"/>
        </a:xfrm>
      </xdr:grpSpPr>
      <xdr:pic>
        <xdr:nvPicPr>
          <xdr:cNvPr id="20" name="Image 19">
            <a:extLst>
              <a:ext uri="{FF2B5EF4-FFF2-40B4-BE49-F238E27FC236}">
                <a16:creationId xmlns:a16="http://schemas.microsoft.com/office/drawing/2014/main" id="{00000000-0008-0000-0000-00001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/>
          <a:stretch>
            <a:fillRect/>
          </a:stretch>
        </xdr:blipFill>
        <xdr:spPr>
          <a:xfrm>
            <a:off x="202692" y="10454640"/>
            <a:ext cx="4494212" cy="2752219"/>
          </a:xfrm>
          <a:prstGeom prst="rect">
            <a:avLst/>
          </a:prstGeom>
        </xdr:spPr>
      </xdr:pic>
      <xdr:sp macro="" textlink="">
        <xdr:nvSpPr>
          <xdr:cNvPr id="21" name="Rectangle 20">
            <a:extLst>
              <a:ext uri="{FF2B5EF4-FFF2-40B4-BE49-F238E27FC236}">
                <a16:creationId xmlns:a16="http://schemas.microsoft.com/office/drawing/2014/main" id="{00000000-0008-0000-0000-000015000000}"/>
              </a:ext>
            </a:extLst>
          </xdr:cNvPr>
          <xdr:cNvSpPr/>
        </xdr:nvSpPr>
        <xdr:spPr>
          <a:xfrm>
            <a:off x="236220" y="13014960"/>
            <a:ext cx="281940" cy="175260"/>
          </a:xfrm>
          <a:prstGeom prst="rect">
            <a:avLst/>
          </a:prstGeom>
          <a:noFill/>
          <a:ln w="12700">
            <a:solidFill>
              <a:srgbClr val="FF0000"/>
            </a:solidFill>
          </a:ln>
        </xdr:spPr>
        <xdr:style>
          <a:lnRef idx="0">
            <a:schemeClr val="accent6"/>
          </a:lnRef>
          <a:fillRef idx="3">
            <a:schemeClr val="accent6"/>
          </a:fillRef>
          <a:effectRef idx="3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fr-FR" sz="900"/>
          </a:p>
        </xdr:txBody>
      </xdr:sp>
      <xdr:sp macro="" textlink="">
        <xdr:nvSpPr>
          <xdr:cNvPr id="22" name="Rectangle 21">
            <a:extLst>
              <a:ext uri="{FF2B5EF4-FFF2-40B4-BE49-F238E27FC236}">
                <a16:creationId xmlns:a16="http://schemas.microsoft.com/office/drawing/2014/main" id="{00000000-0008-0000-0000-000016000000}"/>
              </a:ext>
            </a:extLst>
          </xdr:cNvPr>
          <xdr:cNvSpPr/>
        </xdr:nvSpPr>
        <xdr:spPr>
          <a:xfrm>
            <a:off x="228600" y="10843260"/>
            <a:ext cx="998220" cy="281940"/>
          </a:xfrm>
          <a:prstGeom prst="rect">
            <a:avLst/>
          </a:prstGeom>
          <a:noFill/>
          <a:ln w="12700">
            <a:solidFill>
              <a:srgbClr val="FF0000"/>
            </a:solidFill>
          </a:ln>
        </xdr:spPr>
        <xdr:style>
          <a:lnRef idx="0">
            <a:schemeClr val="accent6"/>
          </a:lnRef>
          <a:fillRef idx="3">
            <a:schemeClr val="accent6"/>
          </a:fillRef>
          <a:effectRef idx="3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fr-FR" sz="900"/>
          </a:p>
        </xdr:txBody>
      </xdr:sp>
    </xdr:grpSp>
    <xdr:clientData/>
  </xdr:twoCellAnchor>
  <xdr:twoCellAnchor>
    <xdr:from>
      <xdr:col>1</xdr:col>
      <xdr:colOff>15241</xdr:colOff>
      <xdr:row>70</xdr:row>
      <xdr:rowOff>45720</xdr:rowOff>
    </xdr:from>
    <xdr:to>
      <xdr:col>6</xdr:col>
      <xdr:colOff>457201</xdr:colOff>
      <xdr:row>82</xdr:row>
      <xdr:rowOff>170882</xdr:rowOff>
    </xdr:to>
    <xdr:grpSp>
      <xdr:nvGrpSpPr>
        <xdr:cNvPr id="23" name="Groupe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GrpSpPr/>
      </xdr:nvGrpSpPr>
      <xdr:grpSpPr>
        <a:xfrm>
          <a:off x="175261" y="13807440"/>
          <a:ext cx="3886200" cy="2319722"/>
          <a:chOff x="175261" y="13761720"/>
          <a:chExt cx="3886200" cy="2319722"/>
        </a:xfrm>
      </xdr:grpSpPr>
      <xdr:pic>
        <xdr:nvPicPr>
          <xdr:cNvPr id="24" name="Image 23">
            <a:extLst>
              <a:ext uri="{FF2B5EF4-FFF2-40B4-BE49-F238E27FC236}">
                <a16:creationId xmlns:a16="http://schemas.microsoft.com/office/drawing/2014/main" id="{00000000-0008-0000-0000-00001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/>
          <a:stretch>
            <a:fillRect/>
          </a:stretch>
        </xdr:blipFill>
        <xdr:spPr>
          <a:xfrm>
            <a:off x="175261" y="13761720"/>
            <a:ext cx="3886200" cy="2319722"/>
          </a:xfrm>
          <a:prstGeom prst="rect">
            <a:avLst/>
          </a:prstGeom>
        </xdr:spPr>
      </xdr:pic>
      <xdr:sp macro="" textlink="">
        <xdr:nvSpPr>
          <xdr:cNvPr id="25" name="Rectangle 24">
            <a:extLst>
              <a:ext uri="{FF2B5EF4-FFF2-40B4-BE49-F238E27FC236}">
                <a16:creationId xmlns:a16="http://schemas.microsoft.com/office/drawing/2014/main" id="{00000000-0008-0000-0000-000019000000}"/>
              </a:ext>
            </a:extLst>
          </xdr:cNvPr>
          <xdr:cNvSpPr/>
        </xdr:nvSpPr>
        <xdr:spPr>
          <a:xfrm>
            <a:off x="213360" y="15735300"/>
            <a:ext cx="266700" cy="152400"/>
          </a:xfrm>
          <a:prstGeom prst="rect">
            <a:avLst/>
          </a:prstGeom>
          <a:noFill/>
          <a:ln>
            <a:solidFill>
              <a:srgbClr val="FF0000"/>
            </a:solidFill>
          </a:ln>
        </xdr:spPr>
        <xdr:style>
          <a:lnRef idx="0">
            <a:schemeClr val="accent6"/>
          </a:lnRef>
          <a:fillRef idx="3">
            <a:schemeClr val="accent6"/>
          </a:fillRef>
          <a:effectRef idx="3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fr-FR" sz="900"/>
          </a:p>
        </xdr:txBody>
      </xdr:sp>
      <xdr:sp macro="" textlink="">
        <xdr:nvSpPr>
          <xdr:cNvPr id="26" name="Rectangle 25">
            <a:extLst>
              <a:ext uri="{FF2B5EF4-FFF2-40B4-BE49-F238E27FC236}">
                <a16:creationId xmlns:a16="http://schemas.microsoft.com/office/drawing/2014/main" id="{00000000-0008-0000-0000-00001A000000}"/>
              </a:ext>
            </a:extLst>
          </xdr:cNvPr>
          <xdr:cNvSpPr/>
        </xdr:nvSpPr>
        <xdr:spPr>
          <a:xfrm>
            <a:off x="190500" y="14150340"/>
            <a:ext cx="1021080" cy="251460"/>
          </a:xfrm>
          <a:prstGeom prst="rect">
            <a:avLst/>
          </a:prstGeom>
          <a:noFill/>
          <a:ln>
            <a:solidFill>
              <a:srgbClr val="FF0000"/>
            </a:solidFill>
          </a:ln>
        </xdr:spPr>
        <xdr:style>
          <a:lnRef idx="0">
            <a:schemeClr val="accent6"/>
          </a:lnRef>
          <a:fillRef idx="3">
            <a:schemeClr val="accent6"/>
          </a:fillRef>
          <a:effectRef idx="3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fr-FR" sz="900"/>
          </a:p>
        </xdr:txBody>
      </xdr:sp>
    </xdr:grpSp>
    <xdr:clientData/>
  </xdr:twoCellAnchor>
  <xdr:twoCellAnchor>
    <xdr:from>
      <xdr:col>1</xdr:col>
      <xdr:colOff>22860</xdr:colOff>
      <xdr:row>107</xdr:row>
      <xdr:rowOff>33354</xdr:rowOff>
    </xdr:from>
    <xdr:to>
      <xdr:col>13</xdr:col>
      <xdr:colOff>91440</xdr:colOff>
      <xdr:row>119</xdr:row>
      <xdr:rowOff>150106</xdr:rowOff>
    </xdr:to>
    <xdr:grpSp>
      <xdr:nvGrpSpPr>
        <xdr:cNvPr id="27" name="Groupe 26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GrpSpPr/>
      </xdr:nvGrpSpPr>
      <xdr:grpSpPr>
        <a:xfrm>
          <a:off x="182880" y="20927394"/>
          <a:ext cx="10751820" cy="2311312"/>
          <a:chOff x="182880" y="16675434"/>
          <a:chExt cx="10759440" cy="2311312"/>
        </a:xfrm>
      </xdr:grpSpPr>
      <xdr:pic>
        <xdr:nvPicPr>
          <xdr:cNvPr id="28" name="Image 27">
            <a:extLst>
              <a:ext uri="{FF2B5EF4-FFF2-40B4-BE49-F238E27FC236}">
                <a16:creationId xmlns:a16="http://schemas.microsoft.com/office/drawing/2014/main" id="{00000000-0008-0000-0000-00001C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/>
          <a:stretch>
            <a:fillRect/>
          </a:stretch>
        </xdr:blipFill>
        <xdr:spPr>
          <a:xfrm>
            <a:off x="182880" y="16675434"/>
            <a:ext cx="4891216" cy="2311312"/>
          </a:xfrm>
          <a:prstGeom prst="rect">
            <a:avLst/>
          </a:prstGeom>
        </xdr:spPr>
      </xdr:pic>
      <xdr:pic>
        <xdr:nvPicPr>
          <xdr:cNvPr id="29" name="Image 28">
            <a:extLst>
              <a:ext uri="{FF2B5EF4-FFF2-40B4-BE49-F238E27FC236}">
                <a16:creationId xmlns:a16="http://schemas.microsoft.com/office/drawing/2014/main" id="{00000000-0008-0000-0000-00001D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9"/>
          <a:srcRect t="1250" r="1055"/>
          <a:stretch/>
        </xdr:blipFill>
        <xdr:spPr>
          <a:xfrm>
            <a:off x="6179820" y="16763372"/>
            <a:ext cx="4762500" cy="2194807"/>
          </a:xfrm>
          <a:prstGeom prst="rect">
            <a:avLst/>
          </a:prstGeom>
        </xdr:spPr>
      </xdr:pic>
      <xdr:sp macro="" textlink="">
        <xdr:nvSpPr>
          <xdr:cNvPr id="30" name="Flèche : droite 29">
            <a:extLst>
              <a:ext uri="{FF2B5EF4-FFF2-40B4-BE49-F238E27FC236}">
                <a16:creationId xmlns:a16="http://schemas.microsoft.com/office/drawing/2014/main" id="{00000000-0008-0000-0000-00001E000000}"/>
              </a:ext>
            </a:extLst>
          </xdr:cNvPr>
          <xdr:cNvSpPr/>
        </xdr:nvSpPr>
        <xdr:spPr>
          <a:xfrm>
            <a:off x="5303520" y="17663160"/>
            <a:ext cx="556260" cy="335280"/>
          </a:xfrm>
          <a:prstGeom prst="rightArrow">
            <a:avLst/>
          </a:prstGeom>
          <a:solidFill>
            <a:srgbClr val="FF0000"/>
          </a:solidFill>
          <a:ln>
            <a:solidFill>
              <a:srgbClr val="FF0000"/>
            </a:solidFill>
          </a:ln>
        </xdr:spPr>
        <xdr:style>
          <a:lnRef idx="0">
            <a:schemeClr val="accent6"/>
          </a:lnRef>
          <a:fillRef idx="3">
            <a:schemeClr val="accent6"/>
          </a:fillRef>
          <a:effectRef idx="3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fr-FR" sz="900"/>
          </a:p>
        </xdr:txBody>
      </xdr:sp>
      <xdr:sp macro="" textlink="">
        <xdr:nvSpPr>
          <xdr:cNvPr id="31" name="Rectangle 30">
            <a:extLst>
              <a:ext uri="{FF2B5EF4-FFF2-40B4-BE49-F238E27FC236}">
                <a16:creationId xmlns:a16="http://schemas.microsoft.com/office/drawing/2014/main" id="{00000000-0008-0000-0000-00001F000000}"/>
              </a:ext>
            </a:extLst>
          </xdr:cNvPr>
          <xdr:cNvSpPr/>
        </xdr:nvSpPr>
        <xdr:spPr>
          <a:xfrm>
            <a:off x="6202680" y="18592800"/>
            <a:ext cx="3337560" cy="213360"/>
          </a:xfrm>
          <a:prstGeom prst="rect">
            <a:avLst/>
          </a:prstGeom>
          <a:noFill/>
          <a:ln>
            <a:solidFill>
              <a:srgbClr val="FF0000"/>
            </a:solidFill>
          </a:ln>
        </xdr:spPr>
        <xdr:style>
          <a:lnRef idx="0">
            <a:schemeClr val="accent6"/>
          </a:lnRef>
          <a:fillRef idx="3">
            <a:schemeClr val="accent6"/>
          </a:fillRef>
          <a:effectRef idx="3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fr-FR" sz="900"/>
          </a:p>
        </xdr:txBody>
      </xdr:sp>
      <xdr:sp macro="" textlink="">
        <xdr:nvSpPr>
          <xdr:cNvPr id="32" name="Rectangle 31">
            <a:extLst>
              <a:ext uri="{FF2B5EF4-FFF2-40B4-BE49-F238E27FC236}">
                <a16:creationId xmlns:a16="http://schemas.microsoft.com/office/drawing/2014/main" id="{00000000-0008-0000-0000-000020000000}"/>
              </a:ext>
            </a:extLst>
          </xdr:cNvPr>
          <xdr:cNvSpPr/>
        </xdr:nvSpPr>
        <xdr:spPr>
          <a:xfrm>
            <a:off x="228601" y="18630900"/>
            <a:ext cx="266700" cy="152400"/>
          </a:xfrm>
          <a:prstGeom prst="rect">
            <a:avLst/>
          </a:prstGeom>
          <a:noFill/>
          <a:ln>
            <a:solidFill>
              <a:srgbClr val="FF0000"/>
            </a:solidFill>
          </a:ln>
        </xdr:spPr>
        <xdr:style>
          <a:lnRef idx="0">
            <a:schemeClr val="accent6"/>
          </a:lnRef>
          <a:fillRef idx="3">
            <a:schemeClr val="accent6"/>
          </a:fillRef>
          <a:effectRef idx="3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fr-FR" sz="900"/>
          </a:p>
        </xdr:txBody>
      </xdr:sp>
    </xdr:grpSp>
    <xdr:clientData/>
  </xdr:twoCellAnchor>
  <xdr:twoCellAnchor>
    <xdr:from>
      <xdr:col>0</xdr:col>
      <xdr:colOff>99060</xdr:colOff>
      <xdr:row>154</xdr:row>
      <xdr:rowOff>73224</xdr:rowOff>
    </xdr:from>
    <xdr:to>
      <xdr:col>5</xdr:col>
      <xdr:colOff>323448</xdr:colOff>
      <xdr:row>162</xdr:row>
      <xdr:rowOff>142619</xdr:rowOff>
    </xdr:to>
    <xdr:grpSp>
      <xdr:nvGrpSpPr>
        <xdr:cNvPr id="33" name="Groupe 32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GrpSpPr/>
      </xdr:nvGrpSpPr>
      <xdr:grpSpPr>
        <a:xfrm>
          <a:off x="99060" y="29730264"/>
          <a:ext cx="2457048" cy="1562915"/>
          <a:chOff x="99060" y="19793784"/>
          <a:chExt cx="2457048" cy="1562915"/>
        </a:xfrm>
      </xdr:grpSpPr>
      <xdr:pic>
        <xdr:nvPicPr>
          <xdr:cNvPr id="34" name="Image 33">
            <a:extLst>
              <a:ext uri="{FF2B5EF4-FFF2-40B4-BE49-F238E27FC236}">
                <a16:creationId xmlns:a16="http://schemas.microsoft.com/office/drawing/2014/main" id="{00000000-0008-0000-0000-000022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/>
          <a:stretch>
            <a:fillRect/>
          </a:stretch>
        </xdr:blipFill>
        <xdr:spPr>
          <a:xfrm>
            <a:off x="99060" y="19793784"/>
            <a:ext cx="2457048" cy="1562915"/>
          </a:xfrm>
          <a:prstGeom prst="rect">
            <a:avLst/>
          </a:prstGeom>
        </xdr:spPr>
      </xdr:pic>
      <xdr:sp macro="" textlink="">
        <xdr:nvSpPr>
          <xdr:cNvPr id="35" name="Rectangle 34">
            <a:extLst>
              <a:ext uri="{FF2B5EF4-FFF2-40B4-BE49-F238E27FC236}">
                <a16:creationId xmlns:a16="http://schemas.microsoft.com/office/drawing/2014/main" id="{00000000-0008-0000-0000-000023000000}"/>
              </a:ext>
            </a:extLst>
          </xdr:cNvPr>
          <xdr:cNvSpPr/>
        </xdr:nvSpPr>
        <xdr:spPr>
          <a:xfrm>
            <a:off x="175260" y="20139660"/>
            <a:ext cx="1150620" cy="1173480"/>
          </a:xfrm>
          <a:prstGeom prst="rect">
            <a:avLst/>
          </a:prstGeom>
          <a:noFill/>
          <a:ln>
            <a:solidFill>
              <a:srgbClr val="FF0000"/>
            </a:solidFill>
          </a:ln>
        </xdr:spPr>
        <xdr:style>
          <a:lnRef idx="0">
            <a:schemeClr val="accent6"/>
          </a:lnRef>
          <a:fillRef idx="3">
            <a:schemeClr val="accent6"/>
          </a:fillRef>
          <a:effectRef idx="3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fr-FR" sz="900"/>
          </a:p>
        </xdr:txBody>
      </xdr:sp>
    </xdr:grpSp>
    <xdr:clientData/>
  </xdr:twoCellAnchor>
  <xdr:twoCellAnchor editAs="oneCell">
    <xdr:from>
      <xdr:col>1</xdr:col>
      <xdr:colOff>53340</xdr:colOff>
      <xdr:row>168</xdr:row>
      <xdr:rowOff>31127</xdr:rowOff>
    </xdr:from>
    <xdr:to>
      <xdr:col>7</xdr:col>
      <xdr:colOff>759310</xdr:colOff>
      <xdr:row>179</xdr:row>
      <xdr:rowOff>165393</xdr:rowOff>
    </xdr:to>
    <xdr:pic>
      <xdr:nvPicPr>
        <xdr:cNvPr id="36" name="Image 35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213360" y="32355167"/>
          <a:ext cx="4927450" cy="2145946"/>
        </a:xfrm>
        <a:prstGeom prst="rect">
          <a:avLst/>
        </a:prstGeom>
      </xdr:spPr>
    </xdr:pic>
    <xdr:clientData/>
  </xdr:twoCellAnchor>
  <xdr:twoCellAnchor>
    <xdr:from>
      <xdr:col>1</xdr:col>
      <xdr:colOff>45720</xdr:colOff>
      <xdr:row>236</xdr:row>
      <xdr:rowOff>28464</xdr:rowOff>
    </xdr:from>
    <xdr:to>
      <xdr:col>10</xdr:col>
      <xdr:colOff>1130129</xdr:colOff>
      <xdr:row>247</xdr:row>
      <xdr:rowOff>35819</xdr:rowOff>
    </xdr:to>
    <xdr:grpSp>
      <xdr:nvGrpSpPr>
        <xdr:cNvPr id="37" name="Groupe 36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GrpSpPr/>
      </xdr:nvGrpSpPr>
      <xdr:grpSpPr>
        <a:xfrm>
          <a:off x="205740" y="45885624"/>
          <a:ext cx="8391989" cy="2186675"/>
          <a:chOff x="205740" y="25616424"/>
          <a:chExt cx="8399609" cy="2186675"/>
        </a:xfrm>
      </xdr:grpSpPr>
      <xdr:pic>
        <xdr:nvPicPr>
          <xdr:cNvPr id="38" name="Image 37">
            <a:extLst>
              <a:ext uri="{FF2B5EF4-FFF2-40B4-BE49-F238E27FC236}">
                <a16:creationId xmlns:a16="http://schemas.microsoft.com/office/drawing/2014/main" id="{00000000-0008-0000-0000-00002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/>
          <a:stretch>
            <a:fillRect/>
          </a:stretch>
        </xdr:blipFill>
        <xdr:spPr>
          <a:xfrm>
            <a:off x="205740" y="25616424"/>
            <a:ext cx="8399609" cy="2186675"/>
          </a:xfrm>
          <a:prstGeom prst="rect">
            <a:avLst/>
          </a:prstGeom>
        </xdr:spPr>
      </xdr:pic>
      <xdr:sp macro="" textlink="">
        <xdr:nvSpPr>
          <xdr:cNvPr id="39" name="Rectangle 38">
            <a:extLst>
              <a:ext uri="{FF2B5EF4-FFF2-40B4-BE49-F238E27FC236}">
                <a16:creationId xmlns:a16="http://schemas.microsoft.com/office/drawing/2014/main" id="{00000000-0008-0000-0000-000027000000}"/>
              </a:ext>
            </a:extLst>
          </xdr:cNvPr>
          <xdr:cNvSpPr/>
        </xdr:nvSpPr>
        <xdr:spPr>
          <a:xfrm>
            <a:off x="2804160" y="26647140"/>
            <a:ext cx="5783580" cy="1043940"/>
          </a:xfrm>
          <a:prstGeom prst="rect">
            <a:avLst/>
          </a:prstGeom>
          <a:noFill/>
          <a:ln>
            <a:solidFill>
              <a:srgbClr val="FF0000"/>
            </a:solidFill>
          </a:ln>
        </xdr:spPr>
        <xdr:style>
          <a:lnRef idx="0">
            <a:schemeClr val="accent6"/>
          </a:lnRef>
          <a:fillRef idx="3">
            <a:schemeClr val="accent6"/>
          </a:fillRef>
          <a:effectRef idx="3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fr-FR" sz="900"/>
          </a:p>
        </xdr:txBody>
      </xdr:sp>
    </xdr:grpSp>
    <xdr:clientData/>
  </xdr:twoCellAnchor>
  <xdr:twoCellAnchor>
    <xdr:from>
      <xdr:col>1</xdr:col>
      <xdr:colOff>45721</xdr:colOff>
      <xdr:row>249</xdr:row>
      <xdr:rowOff>58129</xdr:rowOff>
    </xdr:from>
    <xdr:to>
      <xdr:col>9</xdr:col>
      <xdr:colOff>952501</xdr:colOff>
      <xdr:row>261</xdr:row>
      <xdr:rowOff>76450</xdr:rowOff>
    </xdr:to>
    <xdr:grpSp>
      <xdr:nvGrpSpPr>
        <xdr:cNvPr id="40" name="Groupe 39">
          <a:extLst>
            <a:ext uri="{FF2B5EF4-FFF2-40B4-BE49-F238E27FC236}">
              <a16:creationId xmlns:a16="http://schemas.microsoft.com/office/drawing/2014/main" id="{00000000-0008-0000-0000-000028000000}"/>
            </a:ext>
          </a:extLst>
        </xdr:cNvPr>
        <xdr:cNvGrpSpPr/>
      </xdr:nvGrpSpPr>
      <xdr:grpSpPr>
        <a:xfrm>
          <a:off x="205741" y="48490849"/>
          <a:ext cx="6842760" cy="2395761"/>
          <a:chOff x="205741" y="28221649"/>
          <a:chExt cx="6850380" cy="2395761"/>
        </a:xfrm>
      </xdr:grpSpPr>
      <xdr:pic>
        <xdr:nvPicPr>
          <xdr:cNvPr id="41" name="Image 40">
            <a:extLst>
              <a:ext uri="{FF2B5EF4-FFF2-40B4-BE49-F238E27FC236}">
                <a16:creationId xmlns:a16="http://schemas.microsoft.com/office/drawing/2014/main" id="{00000000-0008-0000-0000-00002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/>
          <a:stretch>
            <a:fillRect/>
          </a:stretch>
        </xdr:blipFill>
        <xdr:spPr>
          <a:xfrm>
            <a:off x="205741" y="28221649"/>
            <a:ext cx="6850380" cy="2395761"/>
          </a:xfrm>
          <a:prstGeom prst="rect">
            <a:avLst/>
          </a:prstGeom>
        </xdr:spPr>
      </xdr:pic>
      <xdr:sp macro="" textlink="">
        <xdr:nvSpPr>
          <xdr:cNvPr id="42" name="Rectangle 41">
            <a:extLst>
              <a:ext uri="{FF2B5EF4-FFF2-40B4-BE49-F238E27FC236}">
                <a16:creationId xmlns:a16="http://schemas.microsoft.com/office/drawing/2014/main" id="{00000000-0008-0000-0000-00002A000000}"/>
              </a:ext>
            </a:extLst>
          </xdr:cNvPr>
          <xdr:cNvSpPr/>
        </xdr:nvSpPr>
        <xdr:spPr>
          <a:xfrm>
            <a:off x="4792980" y="28262580"/>
            <a:ext cx="1379220" cy="213360"/>
          </a:xfrm>
          <a:prstGeom prst="rect">
            <a:avLst/>
          </a:prstGeom>
          <a:noFill/>
          <a:ln>
            <a:solidFill>
              <a:srgbClr val="FF0000"/>
            </a:solidFill>
          </a:ln>
        </xdr:spPr>
        <xdr:style>
          <a:lnRef idx="0">
            <a:schemeClr val="accent6"/>
          </a:lnRef>
          <a:fillRef idx="3">
            <a:schemeClr val="accent6"/>
          </a:fillRef>
          <a:effectRef idx="3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fr-FR" sz="900"/>
          </a:p>
        </xdr:txBody>
      </xdr:sp>
    </xdr:grpSp>
    <xdr:clientData/>
  </xdr:twoCellAnchor>
  <xdr:twoCellAnchor>
    <xdr:from>
      <xdr:col>0</xdr:col>
      <xdr:colOff>154598</xdr:colOff>
      <xdr:row>263</xdr:row>
      <xdr:rowOff>83820</xdr:rowOff>
    </xdr:from>
    <xdr:to>
      <xdr:col>10</xdr:col>
      <xdr:colOff>787205</xdr:colOff>
      <xdr:row>278</xdr:row>
      <xdr:rowOff>76200</xdr:rowOff>
    </xdr:to>
    <xdr:grpSp>
      <xdr:nvGrpSpPr>
        <xdr:cNvPr id="43" name="Groupe 42">
          <a:extLst>
            <a:ext uri="{FF2B5EF4-FFF2-40B4-BE49-F238E27FC236}">
              <a16:creationId xmlns:a16="http://schemas.microsoft.com/office/drawing/2014/main" id="{00000000-0008-0000-0000-00002B000000}"/>
            </a:ext>
          </a:extLst>
        </xdr:cNvPr>
        <xdr:cNvGrpSpPr/>
      </xdr:nvGrpSpPr>
      <xdr:grpSpPr>
        <a:xfrm>
          <a:off x="154598" y="51290220"/>
          <a:ext cx="8100207" cy="2948940"/>
          <a:chOff x="154598" y="31021020"/>
          <a:chExt cx="8107827" cy="2948940"/>
        </a:xfrm>
      </xdr:grpSpPr>
      <xdr:grpSp>
        <xdr:nvGrpSpPr>
          <xdr:cNvPr id="44" name="Groupe 43">
            <a:extLst>
              <a:ext uri="{FF2B5EF4-FFF2-40B4-BE49-F238E27FC236}">
                <a16:creationId xmlns:a16="http://schemas.microsoft.com/office/drawing/2014/main" id="{00000000-0008-0000-0000-00002C000000}"/>
              </a:ext>
            </a:extLst>
          </xdr:cNvPr>
          <xdr:cNvGrpSpPr/>
        </xdr:nvGrpSpPr>
        <xdr:grpSpPr>
          <a:xfrm>
            <a:off x="154598" y="31021020"/>
            <a:ext cx="8107827" cy="2946503"/>
            <a:chOff x="154598" y="31021020"/>
            <a:chExt cx="8107827" cy="2946503"/>
          </a:xfrm>
        </xdr:grpSpPr>
        <xdr:pic>
          <xdr:nvPicPr>
            <xdr:cNvPr id="46" name="Image 45">
              <a:extLst>
                <a:ext uri="{FF2B5EF4-FFF2-40B4-BE49-F238E27FC236}">
                  <a16:creationId xmlns:a16="http://schemas.microsoft.com/office/drawing/2014/main" id="{00000000-0008-0000-0000-00002E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4"/>
            <a:stretch>
              <a:fillRect/>
            </a:stretch>
          </xdr:blipFill>
          <xdr:spPr>
            <a:xfrm>
              <a:off x="154598" y="31021020"/>
              <a:ext cx="8107827" cy="2946503"/>
            </a:xfrm>
            <a:prstGeom prst="rect">
              <a:avLst/>
            </a:prstGeom>
          </xdr:spPr>
        </xdr:pic>
        <xdr:sp macro="" textlink="">
          <xdr:nvSpPr>
            <xdr:cNvPr id="47" name="Rectangle 46">
              <a:extLst>
                <a:ext uri="{FF2B5EF4-FFF2-40B4-BE49-F238E27FC236}">
                  <a16:creationId xmlns:a16="http://schemas.microsoft.com/office/drawing/2014/main" id="{00000000-0008-0000-0000-00002F000000}"/>
                </a:ext>
              </a:extLst>
            </xdr:cNvPr>
            <xdr:cNvSpPr/>
          </xdr:nvSpPr>
          <xdr:spPr>
            <a:xfrm>
              <a:off x="3543300" y="31081980"/>
              <a:ext cx="853440" cy="236220"/>
            </a:xfrm>
            <a:prstGeom prst="rect">
              <a:avLst/>
            </a:prstGeom>
            <a:noFill/>
            <a:ln>
              <a:solidFill>
                <a:srgbClr val="FF0000"/>
              </a:solidFill>
            </a:ln>
          </xdr:spPr>
          <xdr:style>
            <a:lnRef idx="0">
              <a:schemeClr val="accent6"/>
            </a:lnRef>
            <a:fillRef idx="3">
              <a:schemeClr val="accent6"/>
            </a:fillRef>
            <a:effectRef idx="3">
              <a:schemeClr val="accent6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endParaRPr lang="fr-FR" sz="900"/>
            </a:p>
          </xdr:txBody>
        </xdr:sp>
      </xdr:grpSp>
      <xdr:sp macro="" textlink="">
        <xdr:nvSpPr>
          <xdr:cNvPr id="45" name="Rectangle 44">
            <a:extLst>
              <a:ext uri="{FF2B5EF4-FFF2-40B4-BE49-F238E27FC236}">
                <a16:creationId xmlns:a16="http://schemas.microsoft.com/office/drawing/2014/main" id="{00000000-0008-0000-0000-00002D000000}"/>
              </a:ext>
            </a:extLst>
          </xdr:cNvPr>
          <xdr:cNvSpPr/>
        </xdr:nvSpPr>
        <xdr:spPr>
          <a:xfrm>
            <a:off x="1958340" y="31379160"/>
            <a:ext cx="175260" cy="2590800"/>
          </a:xfrm>
          <a:prstGeom prst="rect">
            <a:avLst/>
          </a:prstGeom>
          <a:noFill/>
          <a:ln>
            <a:solidFill>
              <a:srgbClr val="FF0000"/>
            </a:solidFill>
          </a:ln>
        </xdr:spPr>
        <xdr:style>
          <a:lnRef idx="0">
            <a:schemeClr val="accent6"/>
          </a:lnRef>
          <a:fillRef idx="3">
            <a:schemeClr val="accent6"/>
          </a:fillRef>
          <a:effectRef idx="3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fr-FR" sz="900"/>
          </a:p>
        </xdr:txBody>
      </xdr:sp>
    </xdr:grpSp>
    <xdr:clientData/>
  </xdr:twoCellAnchor>
  <xdr:twoCellAnchor editAs="oneCell">
    <xdr:from>
      <xdr:col>1</xdr:col>
      <xdr:colOff>13476</xdr:colOff>
      <xdr:row>182</xdr:row>
      <xdr:rowOff>106680</xdr:rowOff>
    </xdr:from>
    <xdr:to>
      <xdr:col>9</xdr:col>
      <xdr:colOff>446405</xdr:colOff>
      <xdr:row>195</xdr:row>
      <xdr:rowOff>129053</xdr:rowOff>
    </xdr:to>
    <xdr:pic>
      <xdr:nvPicPr>
        <xdr:cNvPr id="48" name="Image 47">
          <a:extLst>
            <a:ext uri="{FF2B5EF4-FFF2-40B4-BE49-F238E27FC236}">
              <a16:creationId xmlns:a16="http://schemas.microsoft.com/office/drawing/2014/main" id="{00000000-0008-0000-0000-000030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5"/>
        <a:srcRect t="1577"/>
        <a:stretch/>
      </xdr:blipFill>
      <xdr:spPr>
        <a:xfrm>
          <a:off x="173496" y="35234880"/>
          <a:ext cx="6376529" cy="2399813"/>
        </a:xfrm>
        <a:prstGeom prst="rect">
          <a:avLst/>
        </a:prstGeom>
      </xdr:spPr>
    </xdr:pic>
    <xdr:clientData/>
  </xdr:twoCellAnchor>
  <xdr:twoCellAnchor editAs="oneCell">
    <xdr:from>
      <xdr:col>0</xdr:col>
      <xdr:colOff>130722</xdr:colOff>
      <xdr:row>197</xdr:row>
      <xdr:rowOff>53340</xdr:rowOff>
    </xdr:from>
    <xdr:to>
      <xdr:col>9</xdr:col>
      <xdr:colOff>757091</xdr:colOff>
      <xdr:row>216</xdr:row>
      <xdr:rowOff>104200</xdr:rowOff>
    </xdr:to>
    <xdr:pic>
      <xdr:nvPicPr>
        <xdr:cNvPr id="49" name="Image 48">
          <a:extLst>
            <a:ext uri="{FF2B5EF4-FFF2-40B4-BE49-F238E27FC236}">
              <a16:creationId xmlns:a16="http://schemas.microsoft.com/office/drawing/2014/main" id="{00000000-0008-0000-00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130722" y="38153340"/>
          <a:ext cx="6729989" cy="3525580"/>
        </a:xfrm>
        <a:prstGeom prst="rect">
          <a:avLst/>
        </a:prstGeom>
      </xdr:spPr>
    </xdr:pic>
    <xdr:clientData/>
  </xdr:twoCellAnchor>
  <xdr:twoCellAnchor editAs="oneCell">
    <xdr:from>
      <xdr:col>1</xdr:col>
      <xdr:colOff>53340</xdr:colOff>
      <xdr:row>217</xdr:row>
      <xdr:rowOff>38100</xdr:rowOff>
    </xdr:from>
    <xdr:to>
      <xdr:col>9</xdr:col>
      <xdr:colOff>801766</xdr:colOff>
      <xdr:row>232</xdr:row>
      <xdr:rowOff>22860</xdr:rowOff>
    </xdr:to>
    <xdr:pic>
      <xdr:nvPicPr>
        <xdr:cNvPr id="50" name="Image 49">
          <a:extLst>
            <a:ext uri="{FF2B5EF4-FFF2-40B4-BE49-F238E27FC236}">
              <a16:creationId xmlns:a16="http://schemas.microsoft.com/office/drawing/2014/main" id="{00000000-0008-0000-00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13360" y="42100500"/>
          <a:ext cx="6692026" cy="2727960"/>
        </a:xfrm>
        <a:prstGeom prst="rect">
          <a:avLst/>
        </a:prstGeom>
      </xdr:spPr>
    </xdr:pic>
    <xdr:clientData/>
  </xdr:twoCellAnchor>
  <xdr:twoCellAnchor>
    <xdr:from>
      <xdr:col>1</xdr:col>
      <xdr:colOff>22860</xdr:colOff>
      <xdr:row>87</xdr:row>
      <xdr:rowOff>14468</xdr:rowOff>
    </xdr:from>
    <xdr:to>
      <xdr:col>13</xdr:col>
      <xdr:colOff>1191704</xdr:colOff>
      <xdr:row>103</xdr:row>
      <xdr:rowOff>26168</xdr:rowOff>
    </xdr:to>
    <xdr:grpSp>
      <xdr:nvGrpSpPr>
        <xdr:cNvPr id="51" name="Groupe 50">
          <a:extLst>
            <a:ext uri="{FF2B5EF4-FFF2-40B4-BE49-F238E27FC236}">
              <a16:creationId xmlns:a16="http://schemas.microsoft.com/office/drawing/2014/main" id="{00000000-0008-0000-0000-000033000000}"/>
            </a:ext>
          </a:extLst>
        </xdr:cNvPr>
        <xdr:cNvGrpSpPr/>
      </xdr:nvGrpSpPr>
      <xdr:grpSpPr>
        <a:xfrm>
          <a:off x="182880" y="16946108"/>
          <a:ext cx="11852084" cy="3181620"/>
          <a:chOff x="182880" y="16946108"/>
          <a:chExt cx="11859704" cy="3181620"/>
        </a:xfrm>
      </xdr:grpSpPr>
      <xdr:pic>
        <xdr:nvPicPr>
          <xdr:cNvPr id="52" name="Image 51">
            <a:extLst>
              <a:ext uri="{FF2B5EF4-FFF2-40B4-BE49-F238E27FC236}">
                <a16:creationId xmlns:a16="http://schemas.microsoft.com/office/drawing/2014/main" id="{00000000-0008-0000-0000-00003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/>
          <a:stretch>
            <a:fillRect/>
          </a:stretch>
        </xdr:blipFill>
        <xdr:spPr>
          <a:xfrm>
            <a:off x="182880" y="16946108"/>
            <a:ext cx="4706432" cy="3173947"/>
          </a:xfrm>
          <a:prstGeom prst="rect">
            <a:avLst/>
          </a:prstGeom>
        </xdr:spPr>
      </xdr:pic>
      <xdr:pic>
        <xdr:nvPicPr>
          <xdr:cNvPr id="53" name="Image 52">
            <a:extLst>
              <a:ext uri="{FF2B5EF4-FFF2-40B4-BE49-F238E27FC236}">
                <a16:creationId xmlns:a16="http://schemas.microsoft.com/office/drawing/2014/main" id="{00000000-0008-0000-0000-00003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/>
          <a:stretch>
            <a:fillRect/>
          </a:stretch>
        </xdr:blipFill>
        <xdr:spPr>
          <a:xfrm>
            <a:off x="3589020" y="17937480"/>
            <a:ext cx="2284557" cy="1209471"/>
          </a:xfrm>
          <a:prstGeom prst="rect">
            <a:avLst/>
          </a:prstGeom>
        </xdr:spPr>
      </xdr:pic>
      <xdr:pic>
        <xdr:nvPicPr>
          <xdr:cNvPr id="54" name="Image 53">
            <a:extLst>
              <a:ext uri="{FF2B5EF4-FFF2-40B4-BE49-F238E27FC236}">
                <a16:creationId xmlns:a16="http://schemas.microsoft.com/office/drawing/2014/main" id="{00000000-0008-0000-0000-00003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/>
          <a:stretch>
            <a:fillRect/>
          </a:stretch>
        </xdr:blipFill>
        <xdr:spPr>
          <a:xfrm>
            <a:off x="6899242" y="17000220"/>
            <a:ext cx="5143342" cy="3127508"/>
          </a:xfrm>
          <a:prstGeom prst="rect">
            <a:avLst/>
          </a:prstGeom>
        </xdr:spPr>
      </xdr:pic>
      <xdr:sp macro="" textlink="">
        <xdr:nvSpPr>
          <xdr:cNvPr id="55" name="Flèche : droite 54">
            <a:extLst>
              <a:ext uri="{FF2B5EF4-FFF2-40B4-BE49-F238E27FC236}">
                <a16:creationId xmlns:a16="http://schemas.microsoft.com/office/drawing/2014/main" id="{00000000-0008-0000-0000-000037000000}"/>
              </a:ext>
            </a:extLst>
          </xdr:cNvPr>
          <xdr:cNvSpPr/>
        </xdr:nvSpPr>
        <xdr:spPr>
          <a:xfrm>
            <a:off x="6187440" y="18371820"/>
            <a:ext cx="457200" cy="342900"/>
          </a:xfrm>
          <a:prstGeom prst="rightArrow">
            <a:avLst/>
          </a:prstGeom>
          <a:solidFill>
            <a:srgbClr val="FF0000"/>
          </a:solidFill>
          <a:ln>
            <a:solidFill>
              <a:srgbClr val="FF0000"/>
            </a:solidFill>
          </a:ln>
        </xdr:spPr>
        <xdr:style>
          <a:lnRef idx="0">
            <a:schemeClr val="accent6"/>
          </a:lnRef>
          <a:fillRef idx="3">
            <a:schemeClr val="accent6"/>
          </a:fillRef>
          <a:effectRef idx="3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fr-FR" sz="900"/>
          </a:p>
        </xdr:txBody>
      </xdr:sp>
      <xdr:sp macro="" textlink="">
        <xdr:nvSpPr>
          <xdr:cNvPr id="56" name="Rectangle 55">
            <a:extLst>
              <a:ext uri="{FF2B5EF4-FFF2-40B4-BE49-F238E27FC236}">
                <a16:creationId xmlns:a16="http://schemas.microsoft.com/office/drawing/2014/main" id="{00000000-0008-0000-0000-000038000000}"/>
              </a:ext>
            </a:extLst>
          </xdr:cNvPr>
          <xdr:cNvSpPr/>
        </xdr:nvSpPr>
        <xdr:spPr>
          <a:xfrm>
            <a:off x="4267200" y="18867120"/>
            <a:ext cx="685800" cy="213360"/>
          </a:xfrm>
          <a:prstGeom prst="rect">
            <a:avLst/>
          </a:prstGeom>
          <a:noFill/>
          <a:ln>
            <a:solidFill>
              <a:srgbClr val="FF0000"/>
            </a:solidFill>
          </a:ln>
        </xdr:spPr>
        <xdr:style>
          <a:lnRef idx="0">
            <a:schemeClr val="accent6"/>
          </a:lnRef>
          <a:fillRef idx="3">
            <a:schemeClr val="accent6"/>
          </a:fillRef>
          <a:effectRef idx="3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fr-FR" sz="900"/>
          </a:p>
        </xdr:txBody>
      </xdr:sp>
    </xdr:grpSp>
    <xdr:clientData/>
  </xdr:twoCellAnchor>
  <xdr:twoCellAnchor>
    <xdr:from>
      <xdr:col>1</xdr:col>
      <xdr:colOff>7620</xdr:colOff>
      <xdr:row>135</xdr:row>
      <xdr:rowOff>29966</xdr:rowOff>
    </xdr:from>
    <xdr:to>
      <xdr:col>9</xdr:col>
      <xdr:colOff>73287</xdr:colOff>
      <xdr:row>148</xdr:row>
      <xdr:rowOff>121505</xdr:rowOff>
    </xdr:to>
    <xdr:grpSp>
      <xdr:nvGrpSpPr>
        <xdr:cNvPr id="57" name="Groupe 56">
          <a:extLst>
            <a:ext uri="{FF2B5EF4-FFF2-40B4-BE49-F238E27FC236}">
              <a16:creationId xmlns:a16="http://schemas.microsoft.com/office/drawing/2014/main" id="{00000000-0008-0000-0000-000039000000}"/>
            </a:ext>
          </a:extLst>
        </xdr:cNvPr>
        <xdr:cNvGrpSpPr/>
      </xdr:nvGrpSpPr>
      <xdr:grpSpPr>
        <a:xfrm>
          <a:off x="167640" y="26120846"/>
          <a:ext cx="6001647" cy="2468979"/>
          <a:chOff x="167640" y="23514806"/>
          <a:chExt cx="6009267" cy="2468979"/>
        </a:xfrm>
      </xdr:grpSpPr>
      <xdr:pic>
        <xdr:nvPicPr>
          <xdr:cNvPr id="58" name="Image 57">
            <a:extLst>
              <a:ext uri="{FF2B5EF4-FFF2-40B4-BE49-F238E27FC236}">
                <a16:creationId xmlns:a16="http://schemas.microsoft.com/office/drawing/2014/main" id="{00000000-0008-0000-0000-00003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/>
          <a:stretch>
            <a:fillRect/>
          </a:stretch>
        </xdr:blipFill>
        <xdr:spPr>
          <a:xfrm>
            <a:off x="167640" y="23514806"/>
            <a:ext cx="6009267" cy="2468979"/>
          </a:xfrm>
          <a:prstGeom prst="rect">
            <a:avLst/>
          </a:prstGeom>
        </xdr:spPr>
      </xdr:pic>
      <xdr:sp macro="" textlink="">
        <xdr:nvSpPr>
          <xdr:cNvPr id="59" name="Rectangle 58">
            <a:extLst>
              <a:ext uri="{FF2B5EF4-FFF2-40B4-BE49-F238E27FC236}">
                <a16:creationId xmlns:a16="http://schemas.microsoft.com/office/drawing/2014/main" id="{00000000-0008-0000-0000-00003B000000}"/>
              </a:ext>
            </a:extLst>
          </xdr:cNvPr>
          <xdr:cNvSpPr/>
        </xdr:nvSpPr>
        <xdr:spPr>
          <a:xfrm>
            <a:off x="4290060" y="24414480"/>
            <a:ext cx="762000" cy="1554480"/>
          </a:xfrm>
          <a:prstGeom prst="rect">
            <a:avLst/>
          </a:prstGeom>
          <a:noFill/>
          <a:ln>
            <a:solidFill>
              <a:srgbClr val="FF0000"/>
            </a:solidFill>
          </a:ln>
        </xdr:spPr>
        <xdr:style>
          <a:lnRef idx="0">
            <a:schemeClr val="accent6"/>
          </a:lnRef>
          <a:fillRef idx="3">
            <a:schemeClr val="accent6"/>
          </a:fillRef>
          <a:effectRef idx="3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fr-FR" sz="900"/>
          </a:p>
        </xdr:txBody>
      </xdr:sp>
    </xdr:grpSp>
    <xdr:clientData/>
  </xdr:twoCellAnchor>
  <xdr:twoCellAnchor>
    <xdr:from>
      <xdr:col>1</xdr:col>
      <xdr:colOff>38101</xdr:colOff>
      <xdr:row>121</xdr:row>
      <xdr:rowOff>76200</xdr:rowOff>
    </xdr:from>
    <xdr:to>
      <xdr:col>9</xdr:col>
      <xdr:colOff>533401</xdr:colOff>
      <xdr:row>131</xdr:row>
      <xdr:rowOff>60631</xdr:rowOff>
    </xdr:to>
    <xdr:grpSp>
      <xdr:nvGrpSpPr>
        <xdr:cNvPr id="60" name="Groupe 59">
          <a:extLst>
            <a:ext uri="{FF2B5EF4-FFF2-40B4-BE49-F238E27FC236}">
              <a16:creationId xmlns:a16="http://schemas.microsoft.com/office/drawing/2014/main" id="{00000000-0008-0000-0000-00003C000000}"/>
            </a:ext>
          </a:extLst>
        </xdr:cNvPr>
        <xdr:cNvGrpSpPr/>
      </xdr:nvGrpSpPr>
      <xdr:grpSpPr>
        <a:xfrm>
          <a:off x="198121" y="23545800"/>
          <a:ext cx="6431280" cy="1813231"/>
          <a:chOff x="198121" y="23149560"/>
          <a:chExt cx="6438900" cy="1813231"/>
        </a:xfrm>
      </xdr:grpSpPr>
      <xdr:pic>
        <xdr:nvPicPr>
          <xdr:cNvPr id="61" name="Image 60">
            <a:extLst>
              <a:ext uri="{FF2B5EF4-FFF2-40B4-BE49-F238E27FC236}">
                <a16:creationId xmlns:a16="http://schemas.microsoft.com/office/drawing/2014/main" id="{00000000-0008-0000-0000-00003D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22"/>
          <a:srcRect t="2410" r="160"/>
          <a:stretch/>
        </xdr:blipFill>
        <xdr:spPr>
          <a:xfrm>
            <a:off x="198121" y="23149560"/>
            <a:ext cx="6438900" cy="1813231"/>
          </a:xfrm>
          <a:prstGeom prst="rect">
            <a:avLst/>
          </a:prstGeom>
        </xdr:spPr>
      </xdr:pic>
      <xdr:sp macro="" textlink="">
        <xdr:nvSpPr>
          <xdr:cNvPr id="62" name="Rectangle 61">
            <a:extLst>
              <a:ext uri="{FF2B5EF4-FFF2-40B4-BE49-F238E27FC236}">
                <a16:creationId xmlns:a16="http://schemas.microsoft.com/office/drawing/2014/main" id="{00000000-0008-0000-0000-00003E000000}"/>
              </a:ext>
            </a:extLst>
          </xdr:cNvPr>
          <xdr:cNvSpPr/>
        </xdr:nvSpPr>
        <xdr:spPr>
          <a:xfrm>
            <a:off x="2110740" y="23957280"/>
            <a:ext cx="670560" cy="152400"/>
          </a:xfrm>
          <a:prstGeom prst="rect">
            <a:avLst/>
          </a:prstGeom>
          <a:noFill/>
          <a:ln>
            <a:solidFill>
              <a:srgbClr val="FF0000"/>
            </a:solidFill>
          </a:ln>
        </xdr:spPr>
        <xdr:style>
          <a:lnRef idx="0">
            <a:schemeClr val="accent6"/>
          </a:lnRef>
          <a:fillRef idx="3">
            <a:schemeClr val="accent6"/>
          </a:fillRef>
          <a:effectRef idx="3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fr-FR" sz="900"/>
          </a:p>
        </xdr:txBody>
      </xdr:sp>
      <xdr:sp macro="" textlink="">
        <xdr:nvSpPr>
          <xdr:cNvPr id="63" name="Rectangle 62">
            <a:extLst>
              <a:ext uri="{FF2B5EF4-FFF2-40B4-BE49-F238E27FC236}">
                <a16:creationId xmlns:a16="http://schemas.microsoft.com/office/drawing/2014/main" id="{00000000-0008-0000-0000-00003F000000}"/>
              </a:ext>
            </a:extLst>
          </xdr:cNvPr>
          <xdr:cNvSpPr/>
        </xdr:nvSpPr>
        <xdr:spPr>
          <a:xfrm>
            <a:off x="2773680" y="23957280"/>
            <a:ext cx="1341120" cy="160020"/>
          </a:xfrm>
          <a:prstGeom prst="rect">
            <a:avLst/>
          </a:prstGeom>
          <a:noFill/>
          <a:ln>
            <a:solidFill>
              <a:srgbClr val="FF0000"/>
            </a:solidFill>
          </a:ln>
        </xdr:spPr>
        <xdr:style>
          <a:lnRef idx="0">
            <a:schemeClr val="accent6"/>
          </a:lnRef>
          <a:fillRef idx="3">
            <a:schemeClr val="accent6"/>
          </a:fillRef>
          <a:effectRef idx="3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fr-FR" sz="900"/>
          </a:p>
        </xdr:txBody>
      </xdr:sp>
    </xdr:grpSp>
    <xdr:clientData/>
  </xdr:twoCellAnchor>
  <xdr:twoCellAnchor editAs="absolute">
    <xdr:from>
      <xdr:col>6</xdr:col>
      <xdr:colOff>358140</xdr:colOff>
      <xdr:row>3</xdr:row>
      <xdr:rowOff>60960</xdr:rowOff>
    </xdr:from>
    <xdr:to>
      <xdr:col>8</xdr:col>
      <xdr:colOff>24491</xdr:colOff>
      <xdr:row>3</xdr:row>
      <xdr:rowOff>309117</xdr:rowOff>
    </xdr:to>
    <xdr:sp macro="[0]!NavBar" textlink="">
      <xdr:nvSpPr>
        <xdr:cNvPr id="4" name="BtnGuide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3962400" y="746760"/>
          <a:ext cx="1220831" cy="248157"/>
        </a:xfrm>
        <a:prstGeom prst="roundRect">
          <a:avLst/>
        </a:prstGeom>
        <a:solidFill>
          <a:srgbClr val="F47920"/>
        </a:solidFill>
        <a:ln w="19050"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050" b="0"/>
            <a:t>Guide d'utilisation</a:t>
          </a:r>
        </a:p>
      </xdr:txBody>
    </xdr:sp>
    <xdr:clientData/>
  </xdr:twoCellAnchor>
  <xdr:twoCellAnchor editAs="absolute">
    <xdr:from>
      <xdr:col>8</xdr:col>
      <xdr:colOff>60853</xdr:colOff>
      <xdr:row>3</xdr:row>
      <xdr:rowOff>64088</xdr:rowOff>
    </xdr:from>
    <xdr:to>
      <xdr:col>9</xdr:col>
      <xdr:colOff>517610</xdr:colOff>
      <xdr:row>3</xdr:row>
      <xdr:rowOff>312245</xdr:rowOff>
    </xdr:to>
    <xdr:sp macro="[0]!NavBar" textlink="">
      <xdr:nvSpPr>
        <xdr:cNvPr id="5" name="BtnGantt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5219593" y="749888"/>
          <a:ext cx="1401637" cy="248157"/>
        </a:xfrm>
        <a:prstGeom prst="roundRect">
          <a:avLst/>
        </a:prstGeom>
        <a:solidFill>
          <a:srgbClr val="0082B3"/>
        </a:solidFill>
        <a:ln w="19050"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050" b="0"/>
            <a:t>Gantt</a:t>
          </a:r>
        </a:p>
      </xdr:txBody>
    </xdr:sp>
    <xdr:clientData/>
  </xdr:twoCellAnchor>
  <xdr:twoCellAnchor editAs="absolute">
    <xdr:from>
      <xdr:col>9</xdr:col>
      <xdr:colOff>573939</xdr:colOff>
      <xdr:row>3</xdr:row>
      <xdr:rowOff>61229</xdr:rowOff>
    </xdr:from>
    <xdr:to>
      <xdr:col>10</xdr:col>
      <xdr:colOff>782238</xdr:colOff>
      <xdr:row>3</xdr:row>
      <xdr:rowOff>309386</xdr:rowOff>
    </xdr:to>
    <xdr:sp macro="[0]!NavBar" textlink="">
      <xdr:nvSpPr>
        <xdr:cNvPr id="6" name="BtnRessources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6677559" y="747029"/>
          <a:ext cx="1579899" cy="248157"/>
        </a:xfrm>
        <a:prstGeom prst="roundRect">
          <a:avLst/>
        </a:prstGeom>
        <a:solidFill>
          <a:schemeClr val="accent6"/>
        </a:solidFill>
        <a:ln w="19050"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050" b="0"/>
            <a:t>Ressources</a:t>
          </a:r>
        </a:p>
      </xdr:txBody>
    </xdr:sp>
    <xdr:clientData/>
  </xdr:twoCellAnchor>
  <xdr:twoCellAnchor editAs="absolute">
    <xdr:from>
      <xdr:col>10</xdr:col>
      <xdr:colOff>838707</xdr:colOff>
      <xdr:row>3</xdr:row>
      <xdr:rowOff>62332</xdr:rowOff>
    </xdr:from>
    <xdr:to>
      <xdr:col>12</xdr:col>
      <xdr:colOff>132900</xdr:colOff>
      <xdr:row>3</xdr:row>
      <xdr:rowOff>310489</xdr:rowOff>
    </xdr:to>
    <xdr:sp macro="[0]!NavBar" textlink="">
      <xdr:nvSpPr>
        <xdr:cNvPr id="7" name="BtnSettings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8313927" y="748132"/>
          <a:ext cx="1275393" cy="248157"/>
        </a:xfrm>
        <a:prstGeom prst="roundRect">
          <a:avLst/>
        </a:prstGeom>
        <a:solidFill>
          <a:srgbClr val="7030A0"/>
        </a:solidFill>
        <a:ln w="19050"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050" b="0"/>
            <a:t>Paramétrage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190500</xdr:colOff>
      <xdr:row>4</xdr:row>
      <xdr:rowOff>38100</xdr:rowOff>
    </xdr:from>
    <xdr:to>
      <xdr:col>6</xdr:col>
      <xdr:colOff>1120140</xdr:colOff>
      <xdr:row>5</xdr:row>
      <xdr:rowOff>152400</xdr:rowOff>
    </xdr:to>
    <xdr:sp macro="[0]!AddProject" textlink="">
      <xdr:nvSpPr>
        <xdr:cNvPr id="2" name="BtnAddProject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190500" y="1089660"/>
          <a:ext cx="1440180" cy="304800"/>
        </a:xfrm>
        <a:prstGeom prst="roundRect">
          <a:avLst/>
        </a:prstGeom>
        <a:gradFill>
          <a:gsLst>
            <a:gs pos="0">
              <a:schemeClr val="accent6">
                <a:satMod val="103000"/>
                <a:lumMod val="102000"/>
                <a:tint val="94000"/>
              </a:schemeClr>
            </a:gs>
            <a:gs pos="50000">
              <a:schemeClr val="accent6">
                <a:satMod val="110000"/>
                <a:lumMod val="100000"/>
                <a:shade val="100000"/>
              </a:schemeClr>
            </a:gs>
            <a:gs pos="100000">
              <a:schemeClr val="accent6">
                <a:lumMod val="75000"/>
              </a:schemeClr>
            </a:gs>
          </a:gsLst>
        </a:gradFill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Ajouter une activité</a:t>
          </a:r>
          <a:endParaRPr lang="en-US" sz="900" b="1"/>
        </a:p>
      </xdr:txBody>
    </xdr:sp>
    <xdr:clientData/>
  </xdr:twoCellAnchor>
  <xdr:twoCellAnchor editAs="oneCell">
    <xdr:from>
      <xdr:col>8</xdr:col>
      <xdr:colOff>483267</xdr:colOff>
      <xdr:row>4</xdr:row>
      <xdr:rowOff>38100</xdr:rowOff>
    </xdr:from>
    <xdr:to>
      <xdr:col>9</xdr:col>
      <xdr:colOff>708660</xdr:colOff>
      <xdr:row>5</xdr:row>
      <xdr:rowOff>152400</xdr:rowOff>
    </xdr:to>
    <xdr:sp macro="[0]!DeleteProject" textlink="">
      <xdr:nvSpPr>
        <xdr:cNvPr id="3" name="BtnDeleteProject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5017167" y="1089660"/>
          <a:ext cx="1048353" cy="3048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/>
            <a:t>Supprimer</a:t>
          </a:r>
        </a:p>
      </xdr:txBody>
    </xdr:sp>
    <xdr:clientData/>
  </xdr:twoCellAnchor>
  <xdr:twoCellAnchor editAs="oneCell">
    <xdr:from>
      <xdr:col>6</xdr:col>
      <xdr:colOff>1197288</xdr:colOff>
      <xdr:row>4</xdr:row>
      <xdr:rowOff>38100</xdr:rowOff>
    </xdr:from>
    <xdr:to>
      <xdr:col>6</xdr:col>
      <xdr:colOff>2537460</xdr:colOff>
      <xdr:row>5</xdr:row>
      <xdr:rowOff>152400</xdr:rowOff>
    </xdr:to>
    <xdr:sp macro="[0]!AddProject" textlink="">
      <xdr:nvSpPr>
        <xdr:cNvPr id="5" name="BtnAddSubProject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1707828" y="1089660"/>
          <a:ext cx="1340172" cy="304800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/>
            <a:t>Ajouter une tâche</a:t>
          </a:r>
        </a:p>
      </xdr:txBody>
    </xdr:sp>
    <xdr:clientData/>
  </xdr:twoCellAnchor>
  <xdr:twoCellAnchor editAs="oneCell">
    <xdr:from>
      <xdr:col>6</xdr:col>
      <xdr:colOff>2628900</xdr:colOff>
      <xdr:row>4</xdr:row>
      <xdr:rowOff>38100</xdr:rowOff>
    </xdr:from>
    <xdr:to>
      <xdr:col>8</xdr:col>
      <xdr:colOff>404766</xdr:colOff>
      <xdr:row>5</xdr:row>
      <xdr:rowOff>152400</xdr:rowOff>
    </xdr:to>
    <xdr:sp macro="[0]!ConvertToProject" textlink="">
      <xdr:nvSpPr>
        <xdr:cNvPr id="6" name="BtnConvertProject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>
        <a:xfrm>
          <a:off x="3139440" y="1089660"/>
          <a:ext cx="1799226" cy="3048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/>
            <a:t>Convertir à une activité / tâche</a:t>
          </a:r>
        </a:p>
      </xdr:txBody>
    </xdr:sp>
    <xdr:clientData/>
  </xdr:twoCellAnchor>
  <xdr:twoCellAnchor editAs="oneCell">
    <xdr:from>
      <xdr:col>37</xdr:col>
      <xdr:colOff>79020</xdr:colOff>
      <xdr:row>3</xdr:row>
      <xdr:rowOff>73800</xdr:rowOff>
    </xdr:from>
    <xdr:to>
      <xdr:col>38</xdr:col>
      <xdr:colOff>38100</xdr:colOff>
      <xdr:row>3</xdr:row>
      <xdr:rowOff>304800</xdr:rowOff>
    </xdr:to>
    <xdr:pic macro="[0]!UpdateStartingDate">
      <xdr:nvPicPr>
        <xdr:cNvPr id="10" name="BtnNext" descr="Caret Right with solid fill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4244600" y="759600"/>
          <a:ext cx="233400" cy="231000"/>
        </a:xfrm>
        <a:prstGeom prst="rect">
          <a:avLst/>
        </a:prstGeom>
      </xdr:spPr>
    </xdr:pic>
    <xdr:clientData/>
  </xdr:twoCellAnchor>
  <xdr:twoCellAnchor editAs="oneCell">
    <xdr:from>
      <xdr:col>32</xdr:col>
      <xdr:colOff>91440</xdr:colOff>
      <xdr:row>3</xdr:row>
      <xdr:rowOff>76200</xdr:rowOff>
    </xdr:from>
    <xdr:to>
      <xdr:col>33</xdr:col>
      <xdr:colOff>58140</xdr:colOff>
      <xdr:row>3</xdr:row>
      <xdr:rowOff>309600</xdr:rowOff>
    </xdr:to>
    <xdr:pic macro="[0]!UpdateStartingDate">
      <xdr:nvPicPr>
        <xdr:cNvPr id="7" name="BtnPrev" descr="Caret Right with solid fill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flipH="1">
          <a:off x="12824460" y="762000"/>
          <a:ext cx="233400" cy="233400"/>
        </a:xfrm>
        <a:prstGeom prst="rect">
          <a:avLst/>
        </a:prstGeom>
      </xdr:spPr>
    </xdr:pic>
    <xdr:clientData/>
  </xdr:twoCellAnchor>
  <xdr:twoCellAnchor editAs="oneCell">
    <xdr:from>
      <xdr:col>24</xdr:col>
      <xdr:colOff>137160</xdr:colOff>
      <xdr:row>3</xdr:row>
      <xdr:rowOff>45719</xdr:rowOff>
    </xdr:from>
    <xdr:to>
      <xdr:col>27</xdr:col>
      <xdr:colOff>259080</xdr:colOff>
      <xdr:row>3</xdr:row>
      <xdr:rowOff>312420</xdr:rowOff>
    </xdr:to>
    <xdr:sp macro="[0]!GoToToday" textlink="">
      <xdr:nvSpPr>
        <xdr:cNvPr id="11" name="BtnDeleteProject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/>
      </xdr:nvSpPr>
      <xdr:spPr>
        <a:xfrm>
          <a:off x="11475720" y="731519"/>
          <a:ext cx="960120" cy="266701"/>
        </a:xfrm>
        <a:prstGeom prst="roundRect">
          <a:avLst/>
        </a:prstGeom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900"/>
            <a:t>Aujourd'hui</a:t>
          </a:r>
        </a:p>
      </xdr:txBody>
    </xdr:sp>
    <xdr:clientData/>
  </xdr:twoCellAnchor>
  <xdr:twoCellAnchor editAs="oneCell">
    <xdr:from>
      <xdr:col>27</xdr:col>
      <xdr:colOff>11493</xdr:colOff>
      <xdr:row>3</xdr:row>
      <xdr:rowOff>38099</xdr:rowOff>
    </xdr:from>
    <xdr:to>
      <xdr:col>27</xdr:col>
      <xdr:colOff>214850</xdr:colOff>
      <xdr:row>3</xdr:row>
      <xdr:rowOff>278379</xdr:rowOff>
    </xdr:to>
    <xdr:pic macro="[0]!GoToToday">
      <xdr:nvPicPr>
        <xdr:cNvPr id="9" name="Graphic 8" descr="Flip calendar with solid fill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2828333" y="723899"/>
          <a:ext cx="203357" cy="240280"/>
        </a:xfrm>
        <a:prstGeom prst="rect">
          <a:avLst/>
        </a:prstGeom>
      </xdr:spPr>
    </xdr:pic>
    <xdr:clientData/>
  </xdr:twoCellAnchor>
  <xdr:twoCellAnchor editAs="absolute">
    <xdr:from>
      <xdr:col>7</xdr:col>
      <xdr:colOff>175260</xdr:colOff>
      <xdr:row>3</xdr:row>
      <xdr:rowOff>53340</xdr:rowOff>
    </xdr:from>
    <xdr:to>
      <xdr:col>8</xdr:col>
      <xdr:colOff>656951</xdr:colOff>
      <xdr:row>3</xdr:row>
      <xdr:rowOff>301497</xdr:rowOff>
    </xdr:to>
    <xdr:sp macro="" textlink="">
      <xdr:nvSpPr>
        <xdr:cNvPr id="14" name="BtnGuide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SpPr/>
      </xdr:nvSpPr>
      <xdr:spPr>
        <a:xfrm>
          <a:off x="3970020" y="739140"/>
          <a:ext cx="1220831" cy="248157"/>
        </a:xfrm>
        <a:prstGeom prst="roundRect">
          <a:avLst/>
        </a:prstGeom>
        <a:solidFill>
          <a:srgbClr val="F47920"/>
        </a:solidFill>
        <a:ln w="19050"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050" b="0"/>
            <a:t>Guide d'utilisation</a:t>
          </a:r>
        </a:p>
      </xdr:txBody>
    </xdr:sp>
    <xdr:clientData/>
  </xdr:twoCellAnchor>
  <xdr:twoCellAnchor editAs="absolute">
    <xdr:from>
      <xdr:col>8</xdr:col>
      <xdr:colOff>693313</xdr:colOff>
      <xdr:row>3</xdr:row>
      <xdr:rowOff>56468</xdr:rowOff>
    </xdr:from>
    <xdr:to>
      <xdr:col>10</xdr:col>
      <xdr:colOff>68030</xdr:colOff>
      <xdr:row>3</xdr:row>
      <xdr:rowOff>304625</xdr:rowOff>
    </xdr:to>
    <xdr:sp macro="[0]!NavBar" textlink="">
      <xdr:nvSpPr>
        <xdr:cNvPr id="15" name="BtnGantt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SpPr/>
      </xdr:nvSpPr>
      <xdr:spPr>
        <a:xfrm>
          <a:off x="5227213" y="742268"/>
          <a:ext cx="1401637" cy="248157"/>
        </a:xfrm>
        <a:prstGeom prst="roundRect">
          <a:avLst/>
        </a:prstGeom>
        <a:solidFill>
          <a:srgbClr val="0082B3"/>
        </a:solidFill>
        <a:ln w="19050"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050" b="0"/>
            <a:t>Gantt</a:t>
          </a:r>
        </a:p>
      </xdr:txBody>
    </xdr:sp>
    <xdr:clientData/>
  </xdr:twoCellAnchor>
  <xdr:twoCellAnchor editAs="absolute">
    <xdr:from>
      <xdr:col>10</xdr:col>
      <xdr:colOff>124359</xdr:colOff>
      <xdr:row>3</xdr:row>
      <xdr:rowOff>53609</xdr:rowOff>
    </xdr:from>
    <xdr:to>
      <xdr:col>12</xdr:col>
      <xdr:colOff>210738</xdr:colOff>
      <xdr:row>3</xdr:row>
      <xdr:rowOff>301766</xdr:rowOff>
    </xdr:to>
    <xdr:sp macro="[0]!NavBar" textlink="">
      <xdr:nvSpPr>
        <xdr:cNvPr id="16" name="BtnRessources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SpPr/>
      </xdr:nvSpPr>
      <xdr:spPr>
        <a:xfrm>
          <a:off x="6685179" y="739409"/>
          <a:ext cx="1579899" cy="248157"/>
        </a:xfrm>
        <a:prstGeom prst="roundRect">
          <a:avLst/>
        </a:prstGeom>
        <a:solidFill>
          <a:schemeClr val="accent6"/>
        </a:solidFill>
        <a:ln w="19050"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050" b="0"/>
            <a:t>Ressources</a:t>
          </a:r>
        </a:p>
      </xdr:txBody>
    </xdr:sp>
    <xdr:clientData/>
  </xdr:twoCellAnchor>
  <xdr:twoCellAnchor editAs="absolute">
    <xdr:from>
      <xdr:col>12</xdr:col>
      <xdr:colOff>267207</xdr:colOff>
      <xdr:row>3</xdr:row>
      <xdr:rowOff>54712</xdr:rowOff>
    </xdr:from>
    <xdr:to>
      <xdr:col>13</xdr:col>
      <xdr:colOff>734880</xdr:colOff>
      <xdr:row>3</xdr:row>
      <xdr:rowOff>302869</xdr:rowOff>
    </xdr:to>
    <xdr:sp macro="[0]!NavBar" textlink="">
      <xdr:nvSpPr>
        <xdr:cNvPr id="17" name="BtnSettings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SpPr/>
      </xdr:nvSpPr>
      <xdr:spPr>
        <a:xfrm>
          <a:off x="8321547" y="740512"/>
          <a:ext cx="1275393" cy="248157"/>
        </a:xfrm>
        <a:prstGeom prst="roundRect">
          <a:avLst/>
        </a:prstGeom>
        <a:solidFill>
          <a:srgbClr val="7030A0"/>
        </a:solidFill>
        <a:ln w="19050"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050" b="0"/>
            <a:t>Paramétrage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6</xdr:col>
      <xdr:colOff>2208706</xdr:colOff>
      <xdr:row>2</xdr:row>
      <xdr:rowOff>60960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2719246" cy="51816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60960</xdr:colOff>
          <xdr:row>3</xdr:row>
          <xdr:rowOff>106680</xdr:rowOff>
        </xdr:from>
        <xdr:to>
          <xdr:col>50</xdr:col>
          <xdr:colOff>12900</xdr:colOff>
          <xdr:row>3</xdr:row>
          <xdr:rowOff>273929</xdr:rowOff>
        </xdr:to>
        <xdr:grpSp>
          <xdr:nvGrpSpPr>
            <xdr:cNvPr id="20" name="Group 19">
              <a:extLst>
                <a:ext uri="{FF2B5EF4-FFF2-40B4-BE49-F238E27FC236}">
                  <a16:creationId xmlns:a16="http://schemas.microsoft.com/office/drawing/2014/main" id="{00000000-0008-0000-0100-000014000000}"/>
                </a:ext>
              </a:extLst>
            </xdr:cNvPr>
            <xdr:cNvGrpSpPr/>
          </xdr:nvGrpSpPr>
          <xdr:grpSpPr>
            <a:xfrm>
              <a:off x="17411700" y="792480"/>
              <a:ext cx="1552140" cy="167249"/>
              <a:chOff x="7597140" y="1813560"/>
              <a:chExt cx="1613101" cy="167249"/>
            </a:xfrm>
          </xdr:grpSpPr>
          <xdr:sp macro="" textlink="">
            <xdr:nvSpPr>
              <xdr:cNvPr id="1027" name="Option Button 3" hidden="1">
                <a:extLst>
                  <a:ext uri="{63B3BB69-23CF-44E3-9099-C40C66FF867C}">
                    <a14:compatExt spid="_x0000_s1027"/>
                  </a:ext>
                  <a:ext uri="{FF2B5EF4-FFF2-40B4-BE49-F238E27FC236}">
                    <a16:creationId xmlns:a16="http://schemas.microsoft.com/office/drawing/2014/main" id="{00000000-0008-0000-0100-000003040000}"/>
                  </a:ext>
                </a:extLst>
              </xdr:cNvPr>
              <xdr:cNvSpPr/>
            </xdr:nvSpPr>
            <xdr:spPr bwMode="auto">
              <a:xfrm>
                <a:off x="7597140" y="1813560"/>
                <a:ext cx="434341" cy="15840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27432" rIns="0" bIns="27432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Segoe UI"/>
                    <a:cs typeface="Segoe UI"/>
                  </a:rPr>
                  <a:t>Jour</a:t>
                </a:r>
              </a:p>
            </xdr:txBody>
          </xdr:sp>
          <xdr:sp macro="" textlink="">
            <xdr:nvSpPr>
              <xdr:cNvPr id="1028" name="Option Button 4" hidden="1">
                <a:extLst>
                  <a:ext uri="{63B3BB69-23CF-44E3-9099-C40C66FF867C}">
                    <a14:compatExt spid="_x0000_s1028"/>
                  </a:ext>
                  <a:ext uri="{FF2B5EF4-FFF2-40B4-BE49-F238E27FC236}">
                    <a16:creationId xmlns:a16="http://schemas.microsoft.com/office/drawing/2014/main" id="{00000000-0008-0000-0100-000004040000}"/>
                  </a:ext>
                </a:extLst>
              </xdr:cNvPr>
              <xdr:cNvSpPr/>
            </xdr:nvSpPr>
            <xdr:spPr bwMode="auto">
              <a:xfrm>
                <a:off x="8107680" y="1814789"/>
                <a:ext cx="612000" cy="158791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27432" rIns="0" bIns="27432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Segoe UI"/>
                    <a:cs typeface="Segoe UI"/>
                  </a:rPr>
                  <a:t>Semaine</a:t>
                </a:r>
              </a:p>
            </xdr:txBody>
          </xdr:sp>
          <xdr:sp macro="" textlink="">
            <xdr:nvSpPr>
              <xdr:cNvPr id="1032" name="Option Button 8" hidden="1">
                <a:extLst>
                  <a:ext uri="{63B3BB69-23CF-44E3-9099-C40C66FF867C}">
                    <a14:compatExt spid="_x0000_s1032"/>
                  </a:ext>
                  <a:ext uri="{FF2B5EF4-FFF2-40B4-BE49-F238E27FC236}">
                    <a16:creationId xmlns:a16="http://schemas.microsoft.com/office/drawing/2014/main" id="{00000000-0008-0000-0100-000008040000}"/>
                  </a:ext>
                </a:extLst>
              </xdr:cNvPr>
              <xdr:cNvSpPr/>
            </xdr:nvSpPr>
            <xdr:spPr bwMode="auto">
              <a:xfrm>
                <a:off x="8778241" y="1822409"/>
                <a:ext cx="432000" cy="15840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27432" rIns="0" bIns="27432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Segoe UI"/>
                    <a:cs typeface="Segoe UI"/>
                  </a:rPr>
                  <a:t>Mois</a:t>
                </a:r>
              </a:p>
            </xdr:txBody>
          </xdr:sp>
        </xdr:grpSp>
        <xdr:clientData/>
      </xdr:twoCellAnchor>
    </mc:Choice>
    <mc:Fallback/>
  </mc:AlternateContent>
  <xdr:twoCellAnchor editAs="oneCell">
    <xdr:from>
      <xdr:col>39</xdr:col>
      <xdr:colOff>7620</xdr:colOff>
      <xdr:row>3</xdr:row>
      <xdr:rowOff>68580</xdr:rowOff>
    </xdr:from>
    <xdr:to>
      <xdr:col>39</xdr:col>
      <xdr:colOff>238620</xdr:colOff>
      <xdr:row>3</xdr:row>
      <xdr:rowOff>307200</xdr:rowOff>
    </xdr:to>
    <xdr:pic macro="[0]!UpdateStartingDate">
      <xdr:nvPicPr>
        <xdr:cNvPr id="19" name="BtnNextSpeed" descr="Chevron arrows outline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4584680" y="754380"/>
          <a:ext cx="238620" cy="238620"/>
        </a:xfrm>
        <a:prstGeom prst="rect">
          <a:avLst/>
        </a:prstGeom>
      </xdr:spPr>
    </xdr:pic>
    <xdr:clientData/>
  </xdr:twoCellAnchor>
  <xdr:twoCellAnchor editAs="oneCell">
    <xdr:from>
      <xdr:col>30</xdr:col>
      <xdr:colOff>157620</xdr:colOff>
      <xdr:row>3</xdr:row>
      <xdr:rowOff>73800</xdr:rowOff>
    </xdr:from>
    <xdr:to>
      <xdr:col>31</xdr:col>
      <xdr:colOff>114300</xdr:colOff>
      <xdr:row>3</xdr:row>
      <xdr:rowOff>312420</xdr:rowOff>
    </xdr:to>
    <xdr:pic macro="[0]!UpdateStartingDate">
      <xdr:nvPicPr>
        <xdr:cNvPr id="23" name="BtnPrevSpeed" descr="Chevron arrows outline">
          <a:extLst>
            <a:ext uri="{FF2B5EF4-FFF2-40B4-BE49-F238E27FC236}">
              <a16:creationId xmlns:a16="http://schemas.microsoft.com/office/drawing/2014/main" id="{00000000-0008-0000-01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2883020" y="759600"/>
          <a:ext cx="238620" cy="238620"/>
        </a:xfrm>
        <a:prstGeom prst="rect">
          <a:avLst/>
        </a:prstGeom>
      </xdr:spPr>
    </xdr:pic>
    <xdr:clientData/>
  </xdr:twoCellAnchor>
  <xdr:twoCellAnchor editAs="absolute">
    <xdr:from>
      <xdr:col>13</xdr:col>
      <xdr:colOff>228600</xdr:colOff>
      <xdr:row>4</xdr:row>
      <xdr:rowOff>45720</xdr:rowOff>
    </xdr:from>
    <xdr:to>
      <xdr:col>13</xdr:col>
      <xdr:colOff>525780</xdr:colOff>
      <xdr:row>5</xdr:row>
      <xdr:rowOff>152400</xdr:rowOff>
    </xdr:to>
    <xdr:pic macro="[0]!maximize">
      <xdr:nvPicPr>
        <xdr:cNvPr id="22" name="Graphic 21" descr="Browser window outline">
          <a:extLst>
            <a:ext uri="{FF2B5EF4-FFF2-40B4-BE49-F238E27FC236}">
              <a16:creationId xmlns:a16="http://schemas.microsoft.com/office/drawing/2014/main" id="{00000000-0008-0000-01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9090660" y="1097280"/>
          <a:ext cx="297180" cy="29718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922020</xdr:colOff>
      <xdr:row>3</xdr:row>
      <xdr:rowOff>60960</xdr:rowOff>
    </xdr:from>
    <xdr:to>
      <xdr:col>3</xdr:col>
      <xdr:colOff>2142851</xdr:colOff>
      <xdr:row>3</xdr:row>
      <xdr:rowOff>309117</xdr:rowOff>
    </xdr:to>
    <xdr:sp macro="" textlink="">
      <xdr:nvSpPr>
        <xdr:cNvPr id="10" name="BtnGuide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SpPr/>
      </xdr:nvSpPr>
      <xdr:spPr>
        <a:xfrm>
          <a:off x="3962400" y="746760"/>
          <a:ext cx="1220831" cy="248157"/>
        </a:xfrm>
        <a:prstGeom prst="roundRect">
          <a:avLst/>
        </a:prstGeom>
        <a:solidFill>
          <a:srgbClr val="F47920"/>
        </a:solidFill>
        <a:ln w="19050"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050" b="0"/>
            <a:t>Guide d'utilisation</a:t>
          </a:r>
        </a:p>
      </xdr:txBody>
    </xdr:sp>
    <xdr:clientData/>
  </xdr:twoCellAnchor>
  <xdr:twoCellAnchor editAs="absolute">
    <xdr:from>
      <xdr:col>3</xdr:col>
      <xdr:colOff>2179213</xdr:colOff>
      <xdr:row>3</xdr:row>
      <xdr:rowOff>64088</xdr:rowOff>
    </xdr:from>
    <xdr:to>
      <xdr:col>4</xdr:col>
      <xdr:colOff>1081490</xdr:colOff>
      <xdr:row>3</xdr:row>
      <xdr:rowOff>312245</xdr:rowOff>
    </xdr:to>
    <xdr:sp macro="[0]!NavBar" textlink="">
      <xdr:nvSpPr>
        <xdr:cNvPr id="11" name="BtnGantt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SpPr/>
      </xdr:nvSpPr>
      <xdr:spPr>
        <a:xfrm>
          <a:off x="5219593" y="749888"/>
          <a:ext cx="1401637" cy="248157"/>
        </a:xfrm>
        <a:prstGeom prst="roundRect">
          <a:avLst/>
        </a:prstGeom>
        <a:solidFill>
          <a:srgbClr val="0082B3"/>
        </a:solidFill>
        <a:ln w="19050"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050" b="0"/>
            <a:t>Gantt</a:t>
          </a:r>
        </a:p>
      </xdr:txBody>
    </xdr:sp>
    <xdr:clientData/>
  </xdr:twoCellAnchor>
  <xdr:twoCellAnchor editAs="absolute">
    <xdr:from>
      <xdr:col>4</xdr:col>
      <xdr:colOff>1137819</xdr:colOff>
      <xdr:row>3</xdr:row>
      <xdr:rowOff>61229</xdr:rowOff>
    </xdr:from>
    <xdr:to>
      <xdr:col>5</xdr:col>
      <xdr:colOff>218358</xdr:colOff>
      <xdr:row>3</xdr:row>
      <xdr:rowOff>309386</xdr:rowOff>
    </xdr:to>
    <xdr:sp macro="[0]!NavBar" textlink="">
      <xdr:nvSpPr>
        <xdr:cNvPr id="12" name="BtnRessources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SpPr/>
      </xdr:nvSpPr>
      <xdr:spPr>
        <a:xfrm>
          <a:off x="6677559" y="747029"/>
          <a:ext cx="1579899" cy="248157"/>
        </a:xfrm>
        <a:prstGeom prst="roundRect">
          <a:avLst/>
        </a:prstGeom>
        <a:solidFill>
          <a:schemeClr val="accent6"/>
        </a:solidFill>
        <a:ln w="19050"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050" b="0"/>
            <a:t>Ressources</a:t>
          </a:r>
        </a:p>
      </xdr:txBody>
    </xdr:sp>
    <xdr:clientData/>
  </xdr:twoCellAnchor>
  <xdr:twoCellAnchor editAs="absolute">
    <xdr:from>
      <xdr:col>5</xdr:col>
      <xdr:colOff>274827</xdr:colOff>
      <xdr:row>3</xdr:row>
      <xdr:rowOff>62332</xdr:rowOff>
    </xdr:from>
    <xdr:to>
      <xdr:col>5</xdr:col>
      <xdr:colOff>1550220</xdr:colOff>
      <xdr:row>3</xdr:row>
      <xdr:rowOff>310489</xdr:rowOff>
    </xdr:to>
    <xdr:sp macro="[0]!NavBar" textlink="">
      <xdr:nvSpPr>
        <xdr:cNvPr id="13" name="BtnSettings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SpPr/>
      </xdr:nvSpPr>
      <xdr:spPr>
        <a:xfrm>
          <a:off x="8313927" y="748132"/>
          <a:ext cx="1275393" cy="248157"/>
        </a:xfrm>
        <a:prstGeom prst="roundRect">
          <a:avLst/>
        </a:prstGeom>
        <a:solidFill>
          <a:srgbClr val="7030A0"/>
        </a:solidFill>
        <a:ln w="19050"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050" b="0"/>
            <a:t>Paramétrage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2</xdr:col>
      <xdr:colOff>1781986</xdr:colOff>
      <xdr:row>2</xdr:row>
      <xdr:rowOff>60960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2719246" cy="51816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</xdr:col>
      <xdr:colOff>1340026</xdr:colOff>
      <xdr:row>2</xdr:row>
      <xdr:rowOff>60960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2719246" cy="51816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3</xdr:col>
      <xdr:colOff>1114425</xdr:colOff>
      <xdr:row>3</xdr:row>
      <xdr:rowOff>76200</xdr:rowOff>
    </xdr:from>
    <xdr:to>
      <xdr:col>5</xdr:col>
      <xdr:colOff>535031</xdr:colOff>
      <xdr:row>3</xdr:row>
      <xdr:rowOff>324357</xdr:rowOff>
    </xdr:to>
    <xdr:sp macro="" textlink="">
      <xdr:nvSpPr>
        <xdr:cNvPr id="10" name="BtnGuide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SpPr/>
      </xdr:nvSpPr>
      <xdr:spPr>
        <a:xfrm>
          <a:off x="3771900" y="762000"/>
          <a:ext cx="1297031" cy="248157"/>
        </a:xfrm>
        <a:prstGeom prst="roundRect">
          <a:avLst/>
        </a:prstGeom>
        <a:solidFill>
          <a:srgbClr val="F47920"/>
        </a:solidFill>
        <a:ln w="19050"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050" b="0"/>
            <a:t>Guide d'utilisation</a:t>
          </a:r>
        </a:p>
      </xdr:txBody>
    </xdr:sp>
    <xdr:clientData/>
  </xdr:twoCellAnchor>
  <xdr:twoCellAnchor editAs="absolute">
    <xdr:from>
      <xdr:col>5</xdr:col>
      <xdr:colOff>571393</xdr:colOff>
      <xdr:row>3</xdr:row>
      <xdr:rowOff>79328</xdr:rowOff>
    </xdr:from>
    <xdr:to>
      <xdr:col>6</xdr:col>
      <xdr:colOff>205190</xdr:colOff>
      <xdr:row>3</xdr:row>
      <xdr:rowOff>327485</xdr:rowOff>
    </xdr:to>
    <xdr:sp macro="[0]!NavBar" textlink="">
      <xdr:nvSpPr>
        <xdr:cNvPr id="11" name="BtnGantt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5242453" y="765128"/>
          <a:ext cx="1401637" cy="248157"/>
        </a:xfrm>
        <a:prstGeom prst="roundRect">
          <a:avLst/>
        </a:prstGeom>
        <a:solidFill>
          <a:srgbClr val="0082B3"/>
        </a:solidFill>
        <a:ln w="19050"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050" b="0"/>
            <a:t>Gantt</a:t>
          </a:r>
        </a:p>
      </xdr:txBody>
    </xdr:sp>
    <xdr:clientData/>
  </xdr:twoCellAnchor>
  <xdr:twoCellAnchor editAs="absolute">
    <xdr:from>
      <xdr:col>6</xdr:col>
      <xdr:colOff>261519</xdr:colOff>
      <xdr:row>3</xdr:row>
      <xdr:rowOff>76469</xdr:rowOff>
    </xdr:from>
    <xdr:to>
      <xdr:col>8</xdr:col>
      <xdr:colOff>286938</xdr:colOff>
      <xdr:row>3</xdr:row>
      <xdr:rowOff>324626</xdr:rowOff>
    </xdr:to>
    <xdr:sp macro="[0]!NavBar" textlink="">
      <xdr:nvSpPr>
        <xdr:cNvPr id="12" name="BtnRessources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SpPr/>
      </xdr:nvSpPr>
      <xdr:spPr>
        <a:xfrm>
          <a:off x="6700419" y="762269"/>
          <a:ext cx="1579899" cy="248157"/>
        </a:xfrm>
        <a:prstGeom prst="roundRect">
          <a:avLst/>
        </a:prstGeom>
        <a:solidFill>
          <a:schemeClr val="accent6"/>
        </a:solidFill>
        <a:ln w="19050"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050" b="0"/>
            <a:t>Ressources</a:t>
          </a:r>
        </a:p>
      </xdr:txBody>
    </xdr:sp>
    <xdr:clientData/>
  </xdr:twoCellAnchor>
  <xdr:twoCellAnchor editAs="absolute">
    <xdr:from>
      <xdr:col>8</xdr:col>
      <xdr:colOff>343407</xdr:colOff>
      <xdr:row>3</xdr:row>
      <xdr:rowOff>77572</xdr:rowOff>
    </xdr:from>
    <xdr:to>
      <xdr:col>12</xdr:col>
      <xdr:colOff>49080</xdr:colOff>
      <xdr:row>3</xdr:row>
      <xdr:rowOff>325729</xdr:rowOff>
    </xdr:to>
    <xdr:sp macro="[0]!NavBar" textlink="">
      <xdr:nvSpPr>
        <xdr:cNvPr id="13" name="BtnSettings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SpPr/>
      </xdr:nvSpPr>
      <xdr:spPr>
        <a:xfrm>
          <a:off x="8336787" y="763372"/>
          <a:ext cx="1275393" cy="248157"/>
        </a:xfrm>
        <a:prstGeom prst="roundRect">
          <a:avLst/>
        </a:prstGeom>
        <a:solidFill>
          <a:srgbClr val="7030A0"/>
        </a:solidFill>
        <a:ln w="19050"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050" b="0"/>
            <a:t>Paramétrage</a:t>
          </a:r>
        </a:p>
      </xdr:txBody>
    </xdr:sp>
    <xdr:clientData/>
  </xdr:twoCellAnchor>
  <xdr:twoCellAnchor editAs="absolute">
    <xdr:from>
      <xdr:col>5</xdr:col>
      <xdr:colOff>83820</xdr:colOff>
      <xdr:row>5</xdr:row>
      <xdr:rowOff>46140</xdr:rowOff>
    </xdr:from>
    <xdr:to>
      <xdr:col>5</xdr:col>
      <xdr:colOff>209820</xdr:colOff>
      <xdr:row>5</xdr:row>
      <xdr:rowOff>172140</xdr:rowOff>
    </xdr:to>
    <xdr:pic macro="[0]!AddRow">
      <xdr:nvPicPr>
        <xdr:cNvPr id="3" name="BtnAddHolidays" descr="Add with solid fill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754880" y="1288200"/>
          <a:ext cx="126000" cy="126000"/>
        </a:xfrm>
        <a:prstGeom prst="rect">
          <a:avLst/>
        </a:prstGeom>
      </xdr:spPr>
    </xdr:pic>
    <xdr:clientData/>
  </xdr:twoCellAnchor>
  <xdr:twoCellAnchor editAs="absolute">
    <xdr:from>
      <xdr:col>5</xdr:col>
      <xdr:colOff>281520</xdr:colOff>
      <xdr:row>5</xdr:row>
      <xdr:rowOff>45720</xdr:rowOff>
    </xdr:from>
    <xdr:to>
      <xdr:col>5</xdr:col>
      <xdr:colOff>407520</xdr:colOff>
      <xdr:row>5</xdr:row>
      <xdr:rowOff>171720</xdr:rowOff>
    </xdr:to>
    <xdr:pic macro="[0]!DeleteRow">
      <xdr:nvPicPr>
        <xdr:cNvPr id="5" name="BtnDeleteHolidays" descr="Close with solid fill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4952580" y="1287780"/>
          <a:ext cx="126000" cy="126000"/>
        </a:xfrm>
        <a:prstGeom prst="rect">
          <a:avLst/>
        </a:prstGeom>
      </xdr:spPr>
    </xdr:pic>
    <xdr:clientData/>
  </xdr:twoCellAnchor>
  <xdr:twoCellAnchor editAs="absolute">
    <xdr:from>
      <xdr:col>1</xdr:col>
      <xdr:colOff>137160</xdr:colOff>
      <xdr:row>5</xdr:row>
      <xdr:rowOff>46140</xdr:rowOff>
    </xdr:from>
    <xdr:to>
      <xdr:col>1</xdr:col>
      <xdr:colOff>263160</xdr:colOff>
      <xdr:row>5</xdr:row>
      <xdr:rowOff>172140</xdr:rowOff>
    </xdr:to>
    <xdr:pic macro="[0]!AddRow">
      <xdr:nvPicPr>
        <xdr:cNvPr id="8" name="BtnAddStatut" descr="Add with solid fill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320040" y="1288200"/>
          <a:ext cx="126000" cy="126000"/>
        </a:xfrm>
        <a:prstGeom prst="rect">
          <a:avLst/>
        </a:prstGeom>
      </xdr:spPr>
    </xdr:pic>
    <xdr:clientData/>
  </xdr:twoCellAnchor>
  <xdr:twoCellAnchor editAs="absolute">
    <xdr:from>
      <xdr:col>1</xdr:col>
      <xdr:colOff>334860</xdr:colOff>
      <xdr:row>5</xdr:row>
      <xdr:rowOff>45720</xdr:rowOff>
    </xdr:from>
    <xdr:to>
      <xdr:col>1</xdr:col>
      <xdr:colOff>460860</xdr:colOff>
      <xdr:row>5</xdr:row>
      <xdr:rowOff>171720</xdr:rowOff>
    </xdr:to>
    <xdr:pic macro="[0]!DeleteRow">
      <xdr:nvPicPr>
        <xdr:cNvPr id="14" name="BtnDeleteStatut" descr="Close with solid fill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17740" y="1287780"/>
          <a:ext cx="126000" cy="1260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175260</xdr:colOff>
          <xdr:row>3</xdr:row>
          <xdr:rowOff>83820</xdr:rowOff>
        </xdr:from>
        <xdr:to>
          <xdr:col>13</xdr:col>
          <xdr:colOff>1744980</xdr:colOff>
          <xdr:row>3</xdr:row>
          <xdr:rowOff>297180</xdr:rowOff>
        </xdr:to>
        <xdr:sp macro="" textlink="">
          <xdr:nvSpPr>
            <xdr:cNvPr id="5121" name="Drop Dow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3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5DF8160-0941-4A2C-8CA9-2A59834675A6}" name="TabProjet" displayName="TabProjet" ref="B13:BS53" totalsRowShown="0" headerRowDxfId="106" dataDxfId="105">
  <autoFilter ref="B13:BS53" xr:uid="{05DF8160-0941-4A2C-8CA9-2A59834675A6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  <filterColumn colId="56" hiddenButton="1"/>
    <filterColumn colId="57" hiddenButton="1"/>
    <filterColumn colId="58" hiddenButton="1"/>
    <filterColumn colId="59" hiddenButton="1"/>
    <filterColumn colId="60" hiddenButton="1"/>
    <filterColumn colId="61" hiddenButton="1"/>
    <filterColumn colId="62" hiddenButton="1"/>
    <filterColumn colId="63" hiddenButton="1"/>
    <filterColumn colId="64" hiddenButton="1"/>
    <filterColumn colId="65" hiddenButton="1"/>
    <filterColumn colId="66" hiddenButton="1"/>
    <filterColumn colId="67" hiddenButton="1"/>
    <filterColumn colId="68" hiddenButton="1"/>
    <filterColumn colId="69" hiddenButton="1"/>
  </autoFilter>
  <tableColumns count="70">
    <tableColumn id="14" xr3:uid="{5E011378-D9B2-434B-8C74-F135916C3B11}" name="ID" dataDxfId="104">
      <calculatedColumnFormula>TabProjet[[#This Row],[IDProj]] &amp; TabProjet[[#This Row],[Point]] &amp; TabProjet[[#This Row],[IDSubProj]]</calculatedColumnFormula>
    </tableColumn>
    <tableColumn id="10" xr3:uid="{33A82585-DB2B-44E7-9275-AC5EA3E490AD}" name="Is Project" dataDxfId="103"/>
    <tableColumn id="1" xr3:uid="{FE19D7F9-7E68-477A-9689-CF570B0CBD84}" name="IDProj" dataDxfId="102">
      <calculatedColumnFormula>IF(ISNUMBER($D13),IF(TabProjet[[#This Row],[Is Project]] &lt;&gt;"",$D13+1,$D13),1)</calculatedColumnFormula>
    </tableColumn>
    <tableColumn id="13" xr3:uid="{34D588B9-69A7-4DD6-9144-63A6C05548E2}" name="Point" dataDxfId="101">
      <calculatedColumnFormula>IF(TabProjet[[#This Row],[Is Project]] &lt;&gt; "","",".")</calculatedColumnFormula>
    </tableColumn>
    <tableColumn id="12" xr3:uid="{8E1E4098-54BE-46AD-B12D-71E75D8BD0CE}" name="IDSubProj" dataDxfId="100">
      <calculatedColumnFormula>IFERROR(IF(TabProjet[[#This Row],[Is Project]]= "",$F13+1,""),1)</calculatedColumnFormula>
    </tableColumn>
    <tableColumn id="2" xr3:uid="{0DC6E036-CB5E-414E-9CA8-266B3754BCD1}" name="WBS - Activité / tâche" dataDxfId="99"/>
    <tableColumn id="4" xr3:uid="{846A1FE2-670F-48D4-89E3-C9AA6A19E048}" name="Thème" dataDxfId="98"/>
    <tableColumn id="3" xr3:uid="{35CD4987-ACB6-45CF-AAD0-19E3EDF4F0EA}" name="Dépendance" dataDxfId="97"/>
    <tableColumn id="5" xr3:uid="{B550C590-A3FE-48AF-BB0E-063E77405E77}" name="Attribuée à" dataDxfId="96"/>
    <tableColumn id="6" xr3:uid="{C1DF1DE8-DA2D-42A1-876D-A89759A0A7D4}" name="Début" dataDxfId="95"/>
    <tableColumn id="7" xr3:uid="{619A5E6C-C991-44B9-BB7F-5FFE4F514E1A}" name="Charge en J" dataDxfId="94"/>
    <tableColumn id="8" xr3:uid="{4418214A-69B5-4A83-BB1E-68E3FBFEE5F9}" name="Deadline" dataDxfId="93">
      <calculatedColumnFormula>IF(TabProjet[[#This Row],[Début]]="","",WORKDAY(IF(WEEKDAY(TabProjet[[#This Row],[Début]],1)=7,TabProjet[[#This Row],[Début]]+2,IF(WEEKDAY(TabProjet[[#This Row],[Début]],1)=1,TabProjet[[#This Row],[Début]]+1,TabProjet[[#This Row],[Début]])),ROUNDUP(TabProjet[[#This Row],[Charge en J]],0)-1,TabOffDays[Date]))</calculatedColumnFormula>
    </tableColumn>
    <tableColumn id="9" xr3:uid="{E8064D66-7F1B-4C31-B3FF-FE61BF297092}" name="Progression" dataDxfId="92">
      <calculatedColumnFormula>IFERROR(AVERAGEIFS(TabProjet[Progression],TabProjet[Is Project],"",TabProjet[IDProj],TabProjet[[#This Row],[IDProj]]), 0)</calculatedColumnFormula>
    </tableColumn>
    <tableColumn id="70" xr3:uid="{56153E82-49D2-4089-B648-FD26678A5F04}" name="DateProgression" dataDxfId="91">
      <calculatedColumnFormula>TabProjet[[#This Row],[Début]]+(TabProjet[[#This Row],[Deadline]]-TabProjet[[#This Row],[Début]])*TabProjet[[#This Row],[Progression]]</calculatedColumnFormula>
    </tableColumn>
    <tableColumn id="11" xr3:uid="{31432459-77F0-400C-A56A-BA793D1066C7}" name="C0" dataDxfId="90"/>
    <tableColumn id="15" xr3:uid="{A5B38087-7AFC-4AB0-8100-9372428A0E44}" name="C1" dataDxfId="89"/>
    <tableColumn id="16" xr3:uid="{B23790DD-5CDC-4299-9BA3-EA7078D58C29}" name="C2" dataDxfId="88"/>
    <tableColumn id="17" xr3:uid="{9FCA9906-4703-4027-8369-7642905F7878}" name="C3" dataDxfId="87"/>
    <tableColumn id="18" xr3:uid="{7AE1C3A6-11C7-4214-B913-7F121F5D6C7B}" name="C4" dataDxfId="86"/>
    <tableColumn id="19" xr3:uid="{8C44A9B6-9EBE-42E7-9B1D-FA0534549368}" name="C5" dataDxfId="85"/>
    <tableColumn id="20" xr3:uid="{87BA93D9-060D-4DF9-8F7D-6A328E124F67}" name="C6" dataDxfId="84"/>
    <tableColumn id="21" xr3:uid="{F99F8ECE-1C3D-460C-A623-13250BEE51C7}" name="C7" dataDxfId="83"/>
    <tableColumn id="22" xr3:uid="{1FF8D443-22DD-48F3-B6CA-D39A5A800528}" name="C8" dataDxfId="82"/>
    <tableColumn id="23" xr3:uid="{F484ACDD-0357-448C-AAAF-8EFD2F112C21}" name="C9" dataDxfId="81"/>
    <tableColumn id="24" xr3:uid="{D77918AC-D8C3-47F6-940F-23E9F862DFB4}" name="C10" dataDxfId="80"/>
    <tableColumn id="25" xr3:uid="{50105DDE-4B56-456E-AACC-96EA350589C9}" name="C11" dataDxfId="79"/>
    <tableColumn id="26" xr3:uid="{B2B59E45-AC72-4482-B319-6C470EF73FCC}" name="C12" dataDxfId="78"/>
    <tableColumn id="27" xr3:uid="{A98AAD45-773D-48D9-B17A-EBFE31094BF5}" name="C13" dataDxfId="77"/>
    <tableColumn id="28" xr3:uid="{02FB93AA-8564-4D97-9E88-9D5F115FDBB8}" name="C14" dataDxfId="76"/>
    <tableColumn id="29" xr3:uid="{67B40E81-2761-4680-9AD0-B88C5CEA56A4}" name="C15" dataDxfId="75"/>
    <tableColumn id="30" xr3:uid="{4B7AA26B-D1F3-433A-A10C-845E847FC590}" name="C16" dataDxfId="74"/>
    <tableColumn id="31" xr3:uid="{3A280D40-A246-482A-9DBA-F68739E2C569}" name="C17" dataDxfId="73"/>
    <tableColumn id="32" xr3:uid="{AFD60292-9287-4481-A74F-E50C283A55C7}" name="C18" dataDxfId="72"/>
    <tableColumn id="33" xr3:uid="{198BD112-8E4C-4DDC-9072-A767C6CF05C2}" name="C19" dataDxfId="71"/>
    <tableColumn id="34" xr3:uid="{A8B34248-735F-432E-B459-5BD601F5FC8D}" name="C20" dataDxfId="70"/>
    <tableColumn id="35" xr3:uid="{37BD5FCF-B4D2-4E4D-9451-F12D50244F92}" name="C21" dataDxfId="69"/>
    <tableColumn id="36" xr3:uid="{25040C5B-4F3F-4ED0-BA07-E99BF0777818}" name="C22" dataDxfId="68"/>
    <tableColumn id="37" xr3:uid="{62AA482E-3E43-4765-8EF5-091BDC6F5225}" name="C23" dataDxfId="67"/>
    <tableColumn id="38" xr3:uid="{6189A7D6-D058-4992-BAAD-5648451DBE7B}" name="C24" dataDxfId="66"/>
    <tableColumn id="39" xr3:uid="{03075F3A-DC5D-45FB-97E2-813443679335}" name="C25" dataDxfId="65"/>
    <tableColumn id="40" xr3:uid="{1CAE1948-896E-41F8-BE21-A71BC9DC3F62}" name="C26" dataDxfId="64"/>
    <tableColumn id="41" xr3:uid="{0F9253E4-3E01-4F9C-B378-4E5395D92C17}" name="C27" dataDxfId="63"/>
    <tableColumn id="42" xr3:uid="{790F122F-27AD-426B-B13F-CD3FD8585104}" name="C28" dataDxfId="62"/>
    <tableColumn id="43" xr3:uid="{914053C2-B3E8-4720-BDEB-C49C4AC4B50C}" name="C29" dataDxfId="61"/>
    <tableColumn id="44" xr3:uid="{EA343FC2-4F25-4069-A46E-F4AEA2D1FB0D}" name="C30" dataDxfId="60"/>
    <tableColumn id="45" xr3:uid="{47B7D432-8691-4365-A12D-A95EBA7CE5BF}" name="C31" dataDxfId="59"/>
    <tableColumn id="46" xr3:uid="{E79689C4-C517-47F1-8241-23FD91CA3AF8}" name="C32" dataDxfId="58"/>
    <tableColumn id="47" xr3:uid="{2FA4D317-3D5C-44EF-A807-7C79CA6DE08F}" name="C33" dataDxfId="57"/>
    <tableColumn id="48" xr3:uid="{E0495E75-DC25-41A2-B74D-D75A5B814720}" name="C34" dataDxfId="56"/>
    <tableColumn id="49" xr3:uid="{391ADC20-5896-4360-93CD-0DC4113C861A}" name="C35" dataDxfId="55"/>
    <tableColumn id="50" xr3:uid="{D3068C68-0745-4B1A-9B51-7B8AE775A3C2}" name="C36" dataDxfId="54"/>
    <tableColumn id="51" xr3:uid="{87A37F2E-DC1F-4465-8265-57453ACCFA7D}" name="C37" dataDxfId="53"/>
    <tableColumn id="52" xr3:uid="{0C143BFE-C15F-4E3B-9257-D864E72AC3C7}" name="C38" dataDxfId="52"/>
    <tableColumn id="53" xr3:uid="{23B57741-D513-4B43-B61B-413AAD1DF505}" name="C39" dataDxfId="51"/>
    <tableColumn id="54" xr3:uid="{D4C5FDA7-640B-430F-A37A-34C1B0974FEA}" name="C40" dataDxfId="50"/>
    <tableColumn id="55" xr3:uid="{967EE029-FD3C-4B14-BFA2-01A8A6B13DF9}" name="C41" dataDxfId="49"/>
    <tableColumn id="56" xr3:uid="{FAB6B7EC-6A7F-4477-B654-6EE17469CD28}" name="C42" dataDxfId="48"/>
    <tableColumn id="57" xr3:uid="{04A76D1B-58C8-4134-8675-7F798C7CC071}" name="C43" dataDxfId="47"/>
    <tableColumn id="58" xr3:uid="{EF3EBBF3-8E90-4165-93CB-931208884994}" name="C44" dataDxfId="46"/>
    <tableColumn id="59" xr3:uid="{12DCEA53-9568-4DC1-AE4A-7FDBC5F91F6A}" name="C45" dataDxfId="45"/>
    <tableColumn id="60" xr3:uid="{B32091E3-23E2-4838-B370-F5F4F6AF4391}" name="C46" dataDxfId="44"/>
    <tableColumn id="61" xr3:uid="{941493BE-7E41-40EB-A92A-13E61CA793DF}" name="C47" dataDxfId="43"/>
    <tableColumn id="62" xr3:uid="{624092EB-DE2D-4103-9DC8-D735247BE38A}" name="C48" dataDxfId="42"/>
    <tableColumn id="63" xr3:uid="{C341EF51-157C-40D4-BAAB-7C160B7054C1}" name="C49" dataDxfId="41"/>
    <tableColumn id="64" xr3:uid="{DA4D28A5-88DF-4407-AC1D-C4D1E96BB2BD}" name="C50" dataDxfId="40"/>
    <tableColumn id="65" xr3:uid="{718614D1-EAA2-417F-8582-419F6FC18C4F}" name="C51" dataDxfId="39"/>
    <tableColumn id="66" xr3:uid="{67253AB3-C9EC-48C3-AEC5-8D53411CA06F}" name="C52" dataDxfId="38"/>
    <tableColumn id="67" xr3:uid="{5EBAF0C3-6EC7-4A9B-9FA3-C1CA444A0E60}" name="C53" dataDxfId="37"/>
    <tableColumn id="68" xr3:uid="{D6C0FAE2-93FB-4C8B-A3F0-F0F163FBA4B9}" name="C54" dataDxfId="36"/>
    <tableColumn id="69" xr3:uid="{0417A7FC-6F57-4FC6-B561-A4886A53AC9E}" name="C55" dataDxfId="35"/>
  </tableColumns>
  <tableStyleInfo name="TableStyleLight14 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93978040-378B-44A7-A370-D6D8D3A5BB83}" name="TabRessources" displayName="TabRessources" ref="B7:F28" totalsRowShown="0" headerRowDxfId="34" dataDxfId="33">
  <autoFilter ref="B7:F28" xr:uid="{93978040-378B-44A7-A370-D6D8D3A5BB83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2F146574-BA5B-401C-9840-E3B0EDCB9FF8}" name="ID" dataDxfId="32"/>
    <tableColumn id="2" xr3:uid="{0A2F1EAA-514E-48A0-85C6-40CCBC89800D}" name="Nom" dataDxfId="31"/>
    <tableColumn id="3" xr3:uid="{39DAF2E1-08D8-4417-8B18-55FF9AB05155}" name="Rôle" dataDxfId="30"/>
    <tableColumn id="4" xr3:uid="{FC891D65-1FFB-4C70-9F8A-9075401EFDAA}" name="Adresse email" dataDxfId="29"/>
    <tableColumn id="5" xr3:uid="{92A95227-A4F0-42DC-B2D4-5F92A23D39EF}" name="Téléphone" dataDxfId="28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253F210-AA72-4E4F-8C81-A40297988F38}" name="TabMonthYearTheme" displayName="TabMonthYearTheme" ref="AP8:AP10" totalsRowShown="0" headerRowDxfId="27" dataDxfId="26">
  <autoFilter ref="AP8:AP10" xr:uid="{3253F210-AA72-4E4F-8C81-A40297988F38}">
    <filterColumn colId="0" hiddenButton="1"/>
  </autoFilter>
  <tableColumns count="1">
    <tableColumn id="1" xr3:uid="{E4B9B9C9-4A8A-4CC5-9DE7-282289B33A24}" name="Thème En tête" dataDxfId="25"/>
  </tableColumns>
  <tableStyleInfo name="TableStyleLight14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9039C064-9A60-465D-93B2-CEA0134111AB}" name="TabOffDays" displayName="TabOffDays" ref="F9:G20" totalsRowShown="0" headerRowDxfId="24" dataDxfId="23">
  <autoFilter ref="F9:G20" xr:uid="{9039C064-9A60-465D-93B2-CEA0134111AB}">
    <filterColumn colId="0" hiddenButton="1"/>
    <filterColumn colId="1" hiddenButton="1"/>
  </autoFilter>
  <tableColumns count="2">
    <tableColumn id="1" xr3:uid="{9C09A659-7942-4217-B871-10C3086E0A90}" name="Jour férié" dataDxfId="22"/>
    <tableColumn id="2" xr3:uid="{649B3904-9FE1-49EE-8314-92C233A88246}" name="Date" dataDxfId="21"/>
  </tableColumns>
  <tableStyleInfo name="TableStyleLight14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C3B3D378-A258-4DFB-B94B-598082A8351E}" name="TabTheme" displayName="TabTheme" ref="B9:D13" totalsRowShown="0" headerRowDxfId="20" tableBorderDxfId="19">
  <autoFilter ref="B9:D13" xr:uid="{C3B3D378-A258-4DFB-B94B-598082A8351E}">
    <filterColumn colId="0" hiddenButton="1"/>
    <filterColumn colId="1" hiddenButton="1"/>
    <filterColumn colId="2" hiddenButton="1"/>
  </autoFilter>
  <tableColumns count="3">
    <tableColumn id="1" xr3:uid="{39C9B971-C7C9-4BA5-B19D-2E9858CA016E}" name="Libellé" dataDxfId="18"/>
    <tableColumn id="2" xr3:uid="{9752BED7-F9C6-4BC4-BF2B-CB361C5C47B3}" name="Couleur du % réalisé" dataDxfId="17"/>
    <tableColumn id="3" xr3:uid="{2C7DB628-2908-40B1-9266-E880CE4C3054}" name="Couleur du % restant" dataDxfId="16"/>
  </tableColumns>
  <tableStyleInfo name="TableStyleLight14 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8A07970-E49E-4B85-95EC-3D590C8B7AF2}" name="TabLangue" displayName="TabLangue" ref="A1:B122" totalsRowShown="0" headerRowDxfId="3" dataDxfId="2">
  <autoFilter ref="A1:B122" xr:uid="{48A07970-E49E-4B85-95EC-3D590C8B7AF2}"/>
  <sortState xmlns:xlrd2="http://schemas.microsoft.com/office/spreadsheetml/2017/richdata2" ref="A2:B47">
    <sortCondition ref="A1:A47"/>
  </sortState>
  <tableColumns count="2">
    <tableColumn id="1" xr3:uid="{F888E4A6-7A3C-4078-B4B6-4C9AD51D53D9}" name="Français" dataDxfId="1"/>
    <tableColumn id="2" xr3:uid="{DB619E2C-5179-4C79-940F-4B255C43AD11}" name="Anglais" dataDxfId="0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D639E547-4B11-428F-BB5B-C86F7F790524}" name="TabLang" displayName="TabLang" ref="F1:F3" totalsRowShown="0">
  <autoFilter ref="F1:F3" xr:uid="{D639E547-4B11-428F-BB5B-C86F7F790524}"/>
  <tableColumns count="1">
    <tableColumn id="1" xr3:uid="{9A645046-B7FA-45D1-BDE3-6053A5470314}" name="Langu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/>
      <a:bodyPr vertOverflow="clip" horzOverflow="clip" rtlCol="0" anchor="ctr"/>
      <a:lstStyle>
        <a:defPPr algn="ctr">
          <a:defRPr sz="900"/>
        </a:defPPr>
      </a:lstStyle>
      <a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a:style>
    </a:sp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4.xml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table" Target="../tables/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C89A76-7A94-4732-B0DC-80CCE068BC4C}">
  <sheetPr codeName="ShGuide">
    <tabColor theme="5" tint="0.39997558519241921"/>
  </sheetPr>
  <dimension ref="B1:R389"/>
  <sheetViews>
    <sheetView showGridLines="0" workbookViewId="0">
      <selection activeCell="M14" sqref="M14"/>
    </sheetView>
  </sheetViews>
  <sheetFormatPr defaultColWidth="8.88671875" defaultRowHeight="14.4" x14ac:dyDescent="0.3"/>
  <cols>
    <col min="1" max="1" width="2.33203125" customWidth="1"/>
    <col min="2" max="2" width="3.5546875" customWidth="1"/>
    <col min="6" max="6" width="20" customWidth="1"/>
    <col min="7" max="8" width="11.33203125" customWidth="1"/>
    <col min="9" max="9" width="13.6640625" customWidth="1"/>
    <col min="10" max="11" width="20" customWidth="1"/>
    <col min="13" max="13" width="20.33203125" customWidth="1"/>
    <col min="14" max="14" width="19.6640625" customWidth="1"/>
  </cols>
  <sheetData>
    <row r="1" spans="2:14" ht="18" customHeight="1" x14ac:dyDescent="0.3">
      <c r="F1" s="1"/>
      <c r="G1" s="1"/>
      <c r="H1" s="1"/>
      <c r="I1" s="1"/>
      <c r="J1" s="1"/>
      <c r="K1" s="1"/>
      <c r="L1" s="1"/>
      <c r="M1" s="13" t="s">
        <v>96</v>
      </c>
      <c r="N1" s="9">
        <v>44893</v>
      </c>
    </row>
    <row r="2" spans="2:14" ht="18" customHeight="1" x14ac:dyDescent="0.3">
      <c r="F2" s="1"/>
      <c r="G2" s="1"/>
      <c r="H2" s="1"/>
      <c r="I2" s="1"/>
      <c r="J2" s="1"/>
      <c r="K2" s="1"/>
      <c r="L2" s="1"/>
      <c r="M2" s="13" t="s">
        <v>97</v>
      </c>
      <c r="N2" s="8"/>
    </row>
    <row r="3" spans="2:14" ht="18" customHeight="1" thickBot="1" x14ac:dyDescent="0.35">
      <c r="F3" s="1"/>
      <c r="G3" s="1"/>
      <c r="H3" s="1"/>
      <c r="I3" s="1"/>
      <c r="J3" s="1"/>
      <c r="K3" s="1"/>
      <c r="L3" s="1"/>
      <c r="M3" s="12" t="s">
        <v>98</v>
      </c>
      <c r="N3" s="8" t="s">
        <v>99</v>
      </c>
    </row>
    <row r="4" spans="2:14" ht="28.95" customHeight="1" thickTop="1" thickBot="1" x14ac:dyDescent="0.35">
      <c r="B4" s="7"/>
      <c r="C4" s="7" t="s">
        <v>154</v>
      </c>
      <c r="D4" s="7"/>
      <c r="E4" s="7"/>
      <c r="F4" s="7"/>
      <c r="G4" s="7"/>
      <c r="H4" s="7"/>
      <c r="I4" s="7"/>
      <c r="J4" s="7"/>
      <c r="K4" s="7"/>
      <c r="L4" s="7"/>
      <c r="M4" s="7"/>
      <c r="N4" s="7"/>
    </row>
    <row r="5" spans="2:14" ht="15" thickTop="1" x14ac:dyDescent="0.3"/>
    <row r="6" spans="2:14" ht="18" x14ac:dyDescent="0.3">
      <c r="B6" s="56" t="s">
        <v>230</v>
      </c>
    </row>
    <row r="7" spans="2:14" ht="15.6" x14ac:dyDescent="0.3">
      <c r="B7" s="57" t="s">
        <v>231</v>
      </c>
    </row>
    <row r="21" spans="2:18" ht="18" x14ac:dyDescent="0.35">
      <c r="B21" s="58" t="s">
        <v>232</v>
      </c>
      <c r="C21" s="59"/>
      <c r="D21" s="59"/>
      <c r="E21" s="59"/>
      <c r="F21" s="59"/>
      <c r="G21" s="59"/>
      <c r="H21" s="59"/>
      <c r="I21" s="59"/>
      <c r="J21" s="59"/>
      <c r="K21" s="59"/>
      <c r="L21" s="60"/>
      <c r="M21" s="60"/>
      <c r="N21" s="60"/>
      <c r="O21" s="60"/>
      <c r="P21" s="60"/>
      <c r="Q21" s="60"/>
      <c r="R21" s="60"/>
    </row>
    <row r="22" spans="2:18" ht="39.6" customHeight="1" x14ac:dyDescent="0.3">
      <c r="B22" s="119" t="s">
        <v>233</v>
      </c>
      <c r="C22" s="119"/>
      <c r="D22" s="119"/>
      <c r="E22" s="119"/>
      <c r="F22" s="119"/>
      <c r="G22" s="119"/>
      <c r="H22" s="119"/>
      <c r="I22" s="119"/>
      <c r="J22" s="119"/>
      <c r="K22" s="119"/>
      <c r="L22" s="119"/>
      <c r="M22" s="119"/>
      <c r="N22" s="119"/>
      <c r="O22" s="119"/>
      <c r="P22" s="119"/>
      <c r="Q22" s="119"/>
      <c r="R22" s="119"/>
    </row>
    <row r="28" spans="2:18" ht="21" x14ac:dyDescent="0.3">
      <c r="B28" s="61" t="s">
        <v>234</v>
      </c>
    </row>
    <row r="29" spans="2:18" ht="18" x14ac:dyDescent="0.3">
      <c r="B29" s="62" t="s">
        <v>235</v>
      </c>
      <c r="C29" s="60"/>
      <c r="D29" s="60"/>
      <c r="E29" s="60"/>
      <c r="F29" s="60"/>
      <c r="G29" s="60"/>
      <c r="H29" s="60"/>
      <c r="I29" s="60"/>
      <c r="J29" s="60"/>
      <c r="K29" s="60"/>
      <c r="L29" s="60"/>
      <c r="M29" s="60"/>
      <c r="N29" s="60"/>
    </row>
    <row r="30" spans="2:18" ht="15.6" customHeight="1" x14ac:dyDescent="0.3">
      <c r="B30" s="63" t="s">
        <v>236</v>
      </c>
      <c r="C30" s="63"/>
      <c r="D30" s="63"/>
      <c r="E30" s="63"/>
      <c r="F30" s="63"/>
      <c r="G30" s="63"/>
      <c r="H30" s="63"/>
      <c r="I30" s="63"/>
      <c r="J30" s="63"/>
      <c r="K30" s="63"/>
      <c r="L30" s="63"/>
      <c r="M30" s="63"/>
      <c r="N30" s="63"/>
    </row>
    <row r="31" spans="2:18" ht="15.6" customHeight="1" x14ac:dyDescent="0.3">
      <c r="B31" s="63" t="s">
        <v>237</v>
      </c>
      <c r="C31" s="63"/>
      <c r="D31" s="63"/>
      <c r="E31" s="63"/>
      <c r="F31" s="63"/>
      <c r="G31" s="63"/>
      <c r="H31" s="63"/>
      <c r="I31" s="63"/>
      <c r="J31" s="63"/>
      <c r="K31" s="63"/>
      <c r="L31" s="63"/>
      <c r="M31" s="63"/>
      <c r="N31" s="63"/>
    </row>
    <row r="52" spans="2:2" ht="15.6" x14ac:dyDescent="0.3">
      <c r="B52" s="63" t="s">
        <v>238</v>
      </c>
    </row>
    <row r="69" spans="2:2" ht="15.6" x14ac:dyDescent="0.3">
      <c r="B69" s="63" t="s">
        <v>239</v>
      </c>
    </row>
    <row r="70" spans="2:2" ht="15.6" x14ac:dyDescent="0.3">
      <c r="B70" s="63" t="s">
        <v>240</v>
      </c>
    </row>
    <row r="84" spans="2:2" ht="15.6" x14ac:dyDescent="0.3">
      <c r="B84" s="63" t="s">
        <v>241</v>
      </c>
    </row>
    <row r="85" spans="2:2" ht="15.6" x14ac:dyDescent="0.3">
      <c r="B85" s="63"/>
    </row>
    <row r="86" spans="2:2" ht="15.6" x14ac:dyDescent="0.3">
      <c r="B86" s="63" t="s">
        <v>242</v>
      </c>
    </row>
    <row r="87" spans="2:2" ht="15.6" x14ac:dyDescent="0.3">
      <c r="B87" s="63" t="s">
        <v>243</v>
      </c>
    </row>
    <row r="88" spans="2:2" ht="15.6" x14ac:dyDescent="0.3">
      <c r="B88" s="63"/>
    </row>
    <row r="89" spans="2:2" ht="15.6" x14ac:dyDescent="0.3">
      <c r="B89" s="63"/>
    </row>
    <row r="90" spans="2:2" ht="15.6" x14ac:dyDescent="0.3">
      <c r="B90" s="63"/>
    </row>
    <row r="91" spans="2:2" ht="15.6" x14ac:dyDescent="0.3">
      <c r="B91" s="63"/>
    </row>
    <row r="92" spans="2:2" ht="15.6" x14ac:dyDescent="0.3">
      <c r="B92" s="63"/>
    </row>
    <row r="93" spans="2:2" ht="15.6" x14ac:dyDescent="0.3">
      <c r="B93" s="63"/>
    </row>
    <row r="94" spans="2:2" ht="15.6" x14ac:dyDescent="0.3">
      <c r="B94" s="63"/>
    </row>
    <row r="95" spans="2:2" ht="15.6" x14ac:dyDescent="0.3">
      <c r="B95" s="63"/>
    </row>
    <row r="96" spans="2:2" ht="15.6" x14ac:dyDescent="0.3">
      <c r="B96" s="63"/>
    </row>
    <row r="97" spans="2:2" ht="15.6" x14ac:dyDescent="0.3">
      <c r="B97" s="63"/>
    </row>
    <row r="98" spans="2:2" ht="15.6" x14ac:dyDescent="0.3">
      <c r="B98" s="63"/>
    </row>
    <row r="99" spans="2:2" ht="15.6" x14ac:dyDescent="0.3">
      <c r="B99" s="63"/>
    </row>
    <row r="100" spans="2:2" ht="15.6" x14ac:dyDescent="0.3">
      <c r="B100" s="63"/>
    </row>
    <row r="101" spans="2:2" ht="15.6" x14ac:dyDescent="0.3">
      <c r="B101" s="63"/>
    </row>
    <row r="102" spans="2:2" ht="15.6" x14ac:dyDescent="0.3">
      <c r="B102" s="63"/>
    </row>
    <row r="103" spans="2:2" ht="15.6" x14ac:dyDescent="0.3">
      <c r="B103" s="63"/>
    </row>
    <row r="104" spans="2:2" ht="15.6" x14ac:dyDescent="0.3">
      <c r="B104" s="63"/>
    </row>
    <row r="105" spans="2:2" ht="15.6" x14ac:dyDescent="0.3">
      <c r="B105" s="63" t="s">
        <v>244</v>
      </c>
    </row>
    <row r="106" spans="2:2" ht="15.6" x14ac:dyDescent="0.3">
      <c r="B106" s="63"/>
    </row>
    <row r="107" spans="2:2" ht="15.6" x14ac:dyDescent="0.3">
      <c r="B107" s="63" t="s">
        <v>245</v>
      </c>
    </row>
    <row r="121" spans="2:2" ht="15.6" x14ac:dyDescent="0.3">
      <c r="B121" s="63" t="s">
        <v>246</v>
      </c>
    </row>
    <row r="134" spans="2:2" ht="18" x14ac:dyDescent="0.3">
      <c r="B134" s="62" t="s">
        <v>247</v>
      </c>
    </row>
    <row r="135" spans="2:2" ht="15.6" x14ac:dyDescent="0.3">
      <c r="B135" s="63" t="s">
        <v>248</v>
      </c>
    </row>
    <row r="150" spans="2:2" ht="15.6" x14ac:dyDescent="0.3">
      <c r="B150" s="63" t="s">
        <v>249</v>
      </c>
    </row>
    <row r="151" spans="2:2" ht="15.6" x14ac:dyDescent="0.3">
      <c r="B151" s="63" t="s">
        <v>250</v>
      </c>
    </row>
    <row r="153" spans="2:2" ht="18" x14ac:dyDescent="0.3">
      <c r="B153" s="62" t="s">
        <v>251</v>
      </c>
    </row>
    <row r="154" spans="2:2" ht="15.6" x14ac:dyDescent="0.3">
      <c r="B154" s="63" t="s">
        <v>252</v>
      </c>
    </row>
    <row r="155" spans="2:2" ht="15.6" x14ac:dyDescent="0.3">
      <c r="B155" s="63"/>
    </row>
    <row r="156" spans="2:2" ht="15.6" x14ac:dyDescent="0.3">
      <c r="B156" s="63"/>
    </row>
    <row r="164" spans="2:2" ht="15.6" x14ac:dyDescent="0.3">
      <c r="B164" s="63" t="s">
        <v>253</v>
      </c>
    </row>
    <row r="165" spans="2:2" ht="15.6" x14ac:dyDescent="0.3">
      <c r="B165" s="63" t="s">
        <v>254</v>
      </c>
    </row>
    <row r="166" spans="2:2" ht="15.6" x14ac:dyDescent="0.3">
      <c r="B166" s="63" t="s">
        <v>255</v>
      </c>
    </row>
    <row r="167" spans="2:2" ht="15.6" x14ac:dyDescent="0.3">
      <c r="B167" s="63"/>
    </row>
    <row r="168" spans="2:2" ht="15.6" x14ac:dyDescent="0.3">
      <c r="B168" s="63" t="s">
        <v>256</v>
      </c>
    </row>
    <row r="169" spans="2:2" ht="15.6" x14ac:dyDescent="0.3">
      <c r="B169" s="63"/>
    </row>
    <row r="170" spans="2:2" ht="15.6" x14ac:dyDescent="0.3">
      <c r="B170" s="63"/>
    </row>
    <row r="171" spans="2:2" ht="15.6" x14ac:dyDescent="0.3">
      <c r="B171" s="63"/>
    </row>
    <row r="172" spans="2:2" ht="15.6" x14ac:dyDescent="0.3">
      <c r="B172" s="63"/>
    </row>
    <row r="173" spans="2:2" ht="15.6" x14ac:dyDescent="0.3">
      <c r="B173" s="63"/>
    </row>
    <row r="174" spans="2:2" ht="15.6" x14ac:dyDescent="0.3">
      <c r="B174" s="63"/>
    </row>
    <row r="175" spans="2:2" ht="15.6" x14ac:dyDescent="0.3">
      <c r="B175" s="63"/>
    </row>
    <row r="176" spans="2:2" ht="15.6" x14ac:dyDescent="0.3">
      <c r="B176" s="63"/>
    </row>
    <row r="177" spans="2:2" ht="15.6" x14ac:dyDescent="0.3">
      <c r="B177" s="63"/>
    </row>
    <row r="178" spans="2:2" ht="15.6" x14ac:dyDescent="0.3">
      <c r="B178" s="63"/>
    </row>
    <row r="179" spans="2:2" ht="15.6" x14ac:dyDescent="0.3">
      <c r="B179" s="63"/>
    </row>
    <row r="180" spans="2:2" ht="15.6" x14ac:dyDescent="0.3">
      <c r="B180" s="63"/>
    </row>
    <row r="181" spans="2:2" ht="18" x14ac:dyDescent="0.3">
      <c r="B181" s="62" t="s">
        <v>257</v>
      </c>
    </row>
    <row r="182" spans="2:2" ht="15.6" x14ac:dyDescent="0.3">
      <c r="B182" s="63" t="s">
        <v>258</v>
      </c>
    </row>
    <row r="183" spans="2:2" ht="15.6" x14ac:dyDescent="0.3">
      <c r="B183" s="63"/>
    </row>
    <row r="184" spans="2:2" ht="15.6" x14ac:dyDescent="0.3">
      <c r="B184" s="63"/>
    </row>
    <row r="185" spans="2:2" ht="15.6" x14ac:dyDescent="0.3">
      <c r="B185" s="63"/>
    </row>
    <row r="186" spans="2:2" ht="15.6" x14ac:dyDescent="0.3">
      <c r="B186" s="63"/>
    </row>
    <row r="187" spans="2:2" ht="15.6" x14ac:dyDescent="0.3">
      <c r="B187" s="63"/>
    </row>
    <row r="188" spans="2:2" ht="15.6" x14ac:dyDescent="0.3">
      <c r="B188" s="63"/>
    </row>
    <row r="189" spans="2:2" ht="15.6" x14ac:dyDescent="0.3">
      <c r="B189" s="63"/>
    </row>
    <row r="190" spans="2:2" ht="15.6" x14ac:dyDescent="0.3">
      <c r="B190" s="63"/>
    </row>
    <row r="191" spans="2:2" ht="15.6" x14ac:dyDescent="0.3">
      <c r="B191" s="63"/>
    </row>
    <row r="192" spans="2:2" ht="15.6" x14ac:dyDescent="0.3">
      <c r="B192" s="63"/>
    </row>
    <row r="193" spans="2:2" ht="15.6" x14ac:dyDescent="0.3">
      <c r="B193" s="63"/>
    </row>
    <row r="194" spans="2:2" ht="15.6" x14ac:dyDescent="0.3">
      <c r="B194" s="63"/>
    </row>
    <row r="195" spans="2:2" ht="15.6" x14ac:dyDescent="0.3">
      <c r="B195" s="63"/>
    </row>
    <row r="196" spans="2:2" ht="15.6" x14ac:dyDescent="0.3">
      <c r="B196" s="63" t="s">
        <v>259</v>
      </c>
    </row>
    <row r="197" spans="2:2" ht="15.6" x14ac:dyDescent="0.3">
      <c r="B197" s="63" t="s">
        <v>260</v>
      </c>
    </row>
    <row r="198" spans="2:2" ht="15.6" x14ac:dyDescent="0.3">
      <c r="B198" s="63"/>
    </row>
    <row r="199" spans="2:2" ht="15.6" x14ac:dyDescent="0.3">
      <c r="B199" s="63"/>
    </row>
    <row r="200" spans="2:2" ht="15.6" x14ac:dyDescent="0.3">
      <c r="B200" s="63"/>
    </row>
    <row r="201" spans="2:2" ht="15.6" x14ac:dyDescent="0.3">
      <c r="B201" s="63"/>
    </row>
    <row r="202" spans="2:2" ht="15.6" x14ac:dyDescent="0.3">
      <c r="B202" s="63"/>
    </row>
    <row r="203" spans="2:2" ht="15.6" x14ac:dyDescent="0.3">
      <c r="B203" s="63"/>
    </row>
    <row r="204" spans="2:2" ht="15.6" x14ac:dyDescent="0.3">
      <c r="B204" s="63"/>
    </row>
    <row r="205" spans="2:2" ht="15.6" x14ac:dyDescent="0.3">
      <c r="B205" s="63"/>
    </row>
    <row r="206" spans="2:2" ht="15.6" x14ac:dyDescent="0.3">
      <c r="B206" s="63"/>
    </row>
    <row r="207" spans="2:2" ht="15.6" x14ac:dyDescent="0.3">
      <c r="B207" s="63"/>
    </row>
    <row r="208" spans="2:2" ht="15.6" x14ac:dyDescent="0.3">
      <c r="B208" s="63"/>
    </row>
    <row r="209" spans="2:2" ht="15.6" x14ac:dyDescent="0.3">
      <c r="B209" s="63"/>
    </row>
    <row r="210" spans="2:2" ht="15.6" x14ac:dyDescent="0.3">
      <c r="B210" s="63"/>
    </row>
    <row r="211" spans="2:2" ht="15.6" x14ac:dyDescent="0.3">
      <c r="B211" s="63"/>
    </row>
    <row r="212" spans="2:2" ht="15.6" x14ac:dyDescent="0.3">
      <c r="B212" s="63"/>
    </row>
    <row r="213" spans="2:2" ht="15.6" x14ac:dyDescent="0.3">
      <c r="B213" s="63"/>
    </row>
    <row r="214" spans="2:2" ht="15.6" x14ac:dyDescent="0.3">
      <c r="B214" s="63"/>
    </row>
    <row r="215" spans="2:2" ht="15.6" x14ac:dyDescent="0.3">
      <c r="B215" s="63"/>
    </row>
    <row r="216" spans="2:2" ht="15.6" x14ac:dyDescent="0.3">
      <c r="B216" s="63"/>
    </row>
    <row r="217" spans="2:2" ht="15.6" x14ac:dyDescent="0.3">
      <c r="B217" s="63" t="s">
        <v>261</v>
      </c>
    </row>
    <row r="218" spans="2:2" ht="15.6" x14ac:dyDescent="0.3">
      <c r="B218" s="63"/>
    </row>
    <row r="219" spans="2:2" ht="15.6" x14ac:dyDescent="0.3">
      <c r="B219" s="63"/>
    </row>
    <row r="220" spans="2:2" ht="15.6" x14ac:dyDescent="0.3">
      <c r="B220" s="63"/>
    </row>
    <row r="221" spans="2:2" ht="15.6" x14ac:dyDescent="0.3">
      <c r="B221" s="63"/>
    </row>
    <row r="222" spans="2:2" ht="15.6" x14ac:dyDescent="0.3">
      <c r="B222" s="63"/>
    </row>
    <row r="223" spans="2:2" ht="15.6" x14ac:dyDescent="0.3">
      <c r="B223" s="63"/>
    </row>
    <row r="224" spans="2:2" ht="15.6" x14ac:dyDescent="0.3">
      <c r="B224" s="63"/>
    </row>
    <row r="225" spans="2:2" ht="15.6" x14ac:dyDescent="0.3">
      <c r="B225" s="63"/>
    </row>
    <row r="226" spans="2:2" ht="15.6" x14ac:dyDescent="0.3">
      <c r="B226" s="63"/>
    </row>
    <row r="227" spans="2:2" ht="15.6" x14ac:dyDescent="0.3">
      <c r="B227" s="63"/>
    </row>
    <row r="228" spans="2:2" ht="15.6" x14ac:dyDescent="0.3">
      <c r="B228" s="63"/>
    </row>
    <row r="229" spans="2:2" ht="15.6" x14ac:dyDescent="0.3">
      <c r="B229" s="63"/>
    </row>
    <row r="230" spans="2:2" ht="15.6" x14ac:dyDescent="0.3">
      <c r="B230" s="63"/>
    </row>
    <row r="231" spans="2:2" ht="15.6" x14ac:dyDescent="0.3">
      <c r="B231" s="63"/>
    </row>
    <row r="232" spans="2:2" ht="15.6" x14ac:dyDescent="0.3">
      <c r="B232" s="63"/>
    </row>
    <row r="233" spans="2:2" ht="18" x14ac:dyDescent="0.3">
      <c r="B233" s="62" t="s">
        <v>262</v>
      </c>
    </row>
    <row r="234" spans="2:2" ht="15.6" x14ac:dyDescent="0.3">
      <c r="B234" s="63" t="s">
        <v>263</v>
      </c>
    </row>
    <row r="235" spans="2:2" ht="15.6" x14ac:dyDescent="0.3">
      <c r="B235" s="63" t="s">
        <v>264</v>
      </c>
    </row>
    <row r="236" spans="2:2" ht="15.6" x14ac:dyDescent="0.3">
      <c r="B236" s="63" t="s">
        <v>265</v>
      </c>
    </row>
    <row r="237" spans="2:2" ht="15.6" x14ac:dyDescent="0.3">
      <c r="B237" s="63"/>
    </row>
    <row r="238" spans="2:2" ht="15.6" x14ac:dyDescent="0.3">
      <c r="B238" s="63"/>
    </row>
    <row r="239" spans="2:2" ht="15.6" x14ac:dyDescent="0.3">
      <c r="B239" s="63"/>
    </row>
    <row r="240" spans="2:2" ht="15.6" x14ac:dyDescent="0.3">
      <c r="B240" s="63"/>
    </row>
    <row r="241" spans="2:2" ht="15.6" x14ac:dyDescent="0.3">
      <c r="B241" s="63"/>
    </row>
    <row r="242" spans="2:2" ht="15.6" x14ac:dyDescent="0.3">
      <c r="B242" s="63"/>
    </row>
    <row r="243" spans="2:2" ht="15.6" x14ac:dyDescent="0.3">
      <c r="B243" s="63"/>
    </row>
    <row r="244" spans="2:2" ht="15.6" x14ac:dyDescent="0.3">
      <c r="B244" s="63"/>
    </row>
    <row r="245" spans="2:2" ht="15.6" x14ac:dyDescent="0.3">
      <c r="B245" s="63"/>
    </row>
    <row r="246" spans="2:2" ht="15.6" x14ac:dyDescent="0.3">
      <c r="B246" s="63"/>
    </row>
    <row r="247" spans="2:2" ht="15.6" x14ac:dyDescent="0.3">
      <c r="B247" s="63"/>
    </row>
    <row r="248" spans="2:2" ht="15.6" x14ac:dyDescent="0.3">
      <c r="B248" s="63"/>
    </row>
    <row r="249" spans="2:2" ht="15.6" x14ac:dyDescent="0.3">
      <c r="B249" s="63" t="s">
        <v>266</v>
      </c>
    </row>
    <row r="250" spans="2:2" ht="15.6" x14ac:dyDescent="0.3">
      <c r="B250" s="63"/>
    </row>
    <row r="251" spans="2:2" ht="15.6" x14ac:dyDescent="0.3">
      <c r="B251" s="63"/>
    </row>
    <row r="252" spans="2:2" ht="15.6" x14ac:dyDescent="0.3">
      <c r="B252" s="63"/>
    </row>
    <row r="253" spans="2:2" ht="15.6" x14ac:dyDescent="0.3">
      <c r="B253" s="63"/>
    </row>
    <row r="254" spans="2:2" ht="15.6" x14ac:dyDescent="0.3">
      <c r="B254" s="63"/>
    </row>
    <row r="255" spans="2:2" ht="15.6" x14ac:dyDescent="0.3">
      <c r="B255" s="63"/>
    </row>
    <row r="256" spans="2:2" ht="15.6" x14ac:dyDescent="0.3">
      <c r="B256" s="63"/>
    </row>
    <row r="257" spans="2:2" ht="15.6" x14ac:dyDescent="0.3">
      <c r="B257" s="63"/>
    </row>
    <row r="258" spans="2:2" ht="15.6" x14ac:dyDescent="0.3">
      <c r="B258" s="63"/>
    </row>
    <row r="259" spans="2:2" ht="15.6" x14ac:dyDescent="0.3">
      <c r="B259" s="63"/>
    </row>
    <row r="260" spans="2:2" ht="15.6" x14ac:dyDescent="0.3">
      <c r="B260" s="63"/>
    </row>
    <row r="261" spans="2:2" ht="15.6" x14ac:dyDescent="0.3">
      <c r="B261" s="63"/>
    </row>
    <row r="262" spans="2:2" ht="15.6" x14ac:dyDescent="0.3">
      <c r="B262" s="63"/>
    </row>
    <row r="263" spans="2:2" ht="15.6" x14ac:dyDescent="0.3">
      <c r="B263" s="63" t="s">
        <v>267</v>
      </c>
    </row>
    <row r="265" spans="2:2" ht="15.6" x14ac:dyDescent="0.3">
      <c r="B265" s="63"/>
    </row>
    <row r="266" spans="2:2" ht="15.6" x14ac:dyDescent="0.3">
      <c r="B266" s="63"/>
    </row>
    <row r="267" spans="2:2" ht="15.6" x14ac:dyDescent="0.3">
      <c r="B267" s="63"/>
    </row>
    <row r="268" spans="2:2" ht="15.6" x14ac:dyDescent="0.3">
      <c r="B268" s="63"/>
    </row>
    <row r="269" spans="2:2" ht="15.6" x14ac:dyDescent="0.3">
      <c r="B269" s="63"/>
    </row>
    <row r="270" spans="2:2" ht="15.6" x14ac:dyDescent="0.3">
      <c r="B270" s="63"/>
    </row>
    <row r="271" spans="2:2" ht="15.6" x14ac:dyDescent="0.3">
      <c r="B271" s="63"/>
    </row>
    <row r="272" spans="2:2" ht="15.6" x14ac:dyDescent="0.3">
      <c r="B272" s="63"/>
    </row>
    <row r="273" spans="2:2" ht="15.6" x14ac:dyDescent="0.3">
      <c r="B273" s="63"/>
    </row>
    <row r="274" spans="2:2" ht="15.6" x14ac:dyDescent="0.3">
      <c r="B274" s="63"/>
    </row>
    <row r="275" spans="2:2" ht="15.6" x14ac:dyDescent="0.3">
      <c r="B275" s="63"/>
    </row>
    <row r="276" spans="2:2" ht="15.6" x14ac:dyDescent="0.3">
      <c r="B276" s="63"/>
    </row>
    <row r="277" spans="2:2" ht="15.6" x14ac:dyDescent="0.3">
      <c r="B277" s="63"/>
    </row>
    <row r="278" spans="2:2" ht="15.6" x14ac:dyDescent="0.3">
      <c r="B278" s="63"/>
    </row>
    <row r="279" spans="2:2" ht="15.6" x14ac:dyDescent="0.3">
      <c r="B279" s="63"/>
    </row>
    <row r="280" spans="2:2" ht="15.6" x14ac:dyDescent="0.3">
      <c r="B280" s="63"/>
    </row>
    <row r="281" spans="2:2" ht="15.6" x14ac:dyDescent="0.3">
      <c r="B281" s="63"/>
    </row>
    <row r="282" spans="2:2" ht="15.6" x14ac:dyDescent="0.3">
      <c r="B282" s="63"/>
    </row>
    <row r="283" spans="2:2" ht="15.6" x14ac:dyDescent="0.3">
      <c r="B283" s="63"/>
    </row>
    <row r="284" spans="2:2" ht="15.6" x14ac:dyDescent="0.3">
      <c r="B284" s="63"/>
    </row>
    <row r="285" spans="2:2" ht="15.6" x14ac:dyDescent="0.3">
      <c r="B285" s="63"/>
    </row>
    <row r="286" spans="2:2" ht="15.6" x14ac:dyDescent="0.3">
      <c r="B286" s="63"/>
    </row>
    <row r="287" spans="2:2" ht="15.6" x14ac:dyDescent="0.3">
      <c r="B287" s="63"/>
    </row>
    <row r="288" spans="2:2" ht="15.6" x14ac:dyDescent="0.3">
      <c r="B288" s="63"/>
    </row>
    <row r="289" spans="2:2" ht="15.6" x14ac:dyDescent="0.3">
      <c r="B289" s="63"/>
    </row>
    <row r="290" spans="2:2" ht="15.6" x14ac:dyDescent="0.3">
      <c r="B290" s="63"/>
    </row>
    <row r="291" spans="2:2" ht="15.6" x14ac:dyDescent="0.3">
      <c r="B291" s="63"/>
    </row>
    <row r="292" spans="2:2" ht="15.6" x14ac:dyDescent="0.3">
      <c r="B292" s="63"/>
    </row>
    <row r="293" spans="2:2" ht="15.6" x14ac:dyDescent="0.3">
      <c r="B293" s="63"/>
    </row>
    <row r="294" spans="2:2" ht="15.6" x14ac:dyDescent="0.3">
      <c r="B294" s="63"/>
    </row>
    <row r="295" spans="2:2" ht="15.6" x14ac:dyDescent="0.3">
      <c r="B295" s="63"/>
    </row>
    <row r="296" spans="2:2" ht="15.6" x14ac:dyDescent="0.3">
      <c r="B296" s="63"/>
    </row>
    <row r="297" spans="2:2" ht="15.6" x14ac:dyDescent="0.3">
      <c r="B297" s="63"/>
    </row>
    <row r="298" spans="2:2" ht="15.6" x14ac:dyDescent="0.3">
      <c r="B298" s="63"/>
    </row>
    <row r="299" spans="2:2" ht="15.6" x14ac:dyDescent="0.3">
      <c r="B299" s="63"/>
    </row>
    <row r="300" spans="2:2" ht="15.6" x14ac:dyDescent="0.3">
      <c r="B300" s="63"/>
    </row>
    <row r="301" spans="2:2" ht="15.6" x14ac:dyDescent="0.3">
      <c r="B301" s="63"/>
    </row>
    <row r="302" spans="2:2" ht="15.6" x14ac:dyDescent="0.3">
      <c r="B302" s="63"/>
    </row>
    <row r="303" spans="2:2" ht="15.6" x14ac:dyDescent="0.3">
      <c r="B303" s="63"/>
    </row>
    <row r="304" spans="2:2" ht="15.6" x14ac:dyDescent="0.3">
      <c r="B304" s="63"/>
    </row>
    <row r="305" spans="2:2" ht="15.6" x14ac:dyDescent="0.3">
      <c r="B305" s="63"/>
    </row>
    <row r="306" spans="2:2" ht="15.6" x14ac:dyDescent="0.3">
      <c r="B306" s="63"/>
    </row>
    <row r="307" spans="2:2" ht="15.6" x14ac:dyDescent="0.3">
      <c r="B307" s="63"/>
    </row>
    <row r="308" spans="2:2" ht="15.6" x14ac:dyDescent="0.3">
      <c r="B308" s="63"/>
    </row>
    <row r="309" spans="2:2" ht="15.6" x14ac:dyDescent="0.3">
      <c r="B309" s="63"/>
    </row>
    <row r="310" spans="2:2" ht="15.6" x14ac:dyDescent="0.3">
      <c r="B310" s="63"/>
    </row>
    <row r="311" spans="2:2" ht="15.6" x14ac:dyDescent="0.3">
      <c r="B311" s="63"/>
    </row>
    <row r="312" spans="2:2" ht="15.6" x14ac:dyDescent="0.3">
      <c r="B312" s="63"/>
    </row>
    <row r="313" spans="2:2" ht="15.6" x14ac:dyDescent="0.3">
      <c r="B313" s="63"/>
    </row>
    <row r="314" spans="2:2" ht="15.6" x14ac:dyDescent="0.3">
      <c r="B314" s="63"/>
    </row>
    <row r="315" spans="2:2" ht="15.6" x14ac:dyDescent="0.3">
      <c r="B315" s="63"/>
    </row>
    <row r="316" spans="2:2" ht="15.6" x14ac:dyDescent="0.3">
      <c r="B316" s="63"/>
    </row>
    <row r="317" spans="2:2" ht="15.6" x14ac:dyDescent="0.3">
      <c r="B317" s="63"/>
    </row>
    <row r="318" spans="2:2" ht="15.6" x14ac:dyDescent="0.3">
      <c r="B318" s="63"/>
    </row>
    <row r="319" spans="2:2" ht="15.6" x14ac:dyDescent="0.3">
      <c r="B319" s="63"/>
    </row>
    <row r="320" spans="2:2" ht="15.6" x14ac:dyDescent="0.3">
      <c r="B320" s="63"/>
    </row>
    <row r="321" spans="2:2" ht="15.6" x14ac:dyDescent="0.3">
      <c r="B321" s="63"/>
    </row>
    <row r="322" spans="2:2" ht="15.6" x14ac:dyDescent="0.3">
      <c r="B322" s="63"/>
    </row>
    <row r="323" spans="2:2" ht="15.6" x14ac:dyDescent="0.3">
      <c r="B323" s="63"/>
    </row>
    <row r="324" spans="2:2" ht="15.6" x14ac:dyDescent="0.3">
      <c r="B324" s="63"/>
    </row>
    <row r="325" spans="2:2" ht="15.6" x14ac:dyDescent="0.3">
      <c r="B325" s="63"/>
    </row>
    <row r="326" spans="2:2" ht="15.6" x14ac:dyDescent="0.3">
      <c r="B326" s="63"/>
    </row>
    <row r="327" spans="2:2" ht="15.6" x14ac:dyDescent="0.3">
      <c r="B327" s="63"/>
    </row>
    <row r="328" spans="2:2" ht="15.6" x14ac:dyDescent="0.3">
      <c r="B328" s="63"/>
    </row>
    <row r="329" spans="2:2" ht="15.6" x14ac:dyDescent="0.3">
      <c r="B329" s="63"/>
    </row>
    <row r="330" spans="2:2" ht="15.6" x14ac:dyDescent="0.3">
      <c r="B330" s="63"/>
    </row>
    <row r="331" spans="2:2" ht="15.6" x14ac:dyDescent="0.3">
      <c r="B331" s="63"/>
    </row>
    <row r="332" spans="2:2" ht="15.6" x14ac:dyDescent="0.3">
      <c r="B332" s="63"/>
    </row>
    <row r="333" spans="2:2" ht="15.6" x14ac:dyDescent="0.3">
      <c r="B333" s="63"/>
    </row>
    <row r="334" spans="2:2" ht="15.6" x14ac:dyDescent="0.3">
      <c r="B334" s="63"/>
    </row>
    <row r="335" spans="2:2" ht="15.6" x14ac:dyDescent="0.3">
      <c r="B335" s="63"/>
    </row>
    <row r="336" spans="2:2" ht="15.6" x14ac:dyDescent="0.3">
      <c r="B336" s="63"/>
    </row>
    <row r="337" spans="2:2" ht="15.6" x14ac:dyDescent="0.3">
      <c r="B337" s="63"/>
    </row>
    <row r="338" spans="2:2" ht="15.6" x14ac:dyDescent="0.3">
      <c r="B338" s="63"/>
    </row>
    <row r="339" spans="2:2" ht="15.6" x14ac:dyDescent="0.3">
      <c r="B339" s="63"/>
    </row>
    <row r="340" spans="2:2" ht="15.6" x14ac:dyDescent="0.3">
      <c r="B340" s="63"/>
    </row>
    <row r="341" spans="2:2" ht="15.6" x14ac:dyDescent="0.3">
      <c r="B341" s="63"/>
    </row>
    <row r="342" spans="2:2" ht="15.6" x14ac:dyDescent="0.3">
      <c r="B342" s="63"/>
    </row>
    <row r="343" spans="2:2" ht="15.6" x14ac:dyDescent="0.3">
      <c r="B343" s="63"/>
    </row>
    <row r="344" spans="2:2" ht="15.6" x14ac:dyDescent="0.3">
      <c r="B344" s="63"/>
    </row>
    <row r="345" spans="2:2" ht="15.6" x14ac:dyDescent="0.3">
      <c r="B345" s="63"/>
    </row>
    <row r="346" spans="2:2" ht="15.6" x14ac:dyDescent="0.3">
      <c r="B346" s="63"/>
    </row>
    <row r="347" spans="2:2" ht="15.6" x14ac:dyDescent="0.3">
      <c r="B347" s="63"/>
    </row>
    <row r="348" spans="2:2" ht="15.6" x14ac:dyDescent="0.3">
      <c r="B348" s="63"/>
    </row>
    <row r="349" spans="2:2" ht="15.6" x14ac:dyDescent="0.3">
      <c r="B349" s="63"/>
    </row>
    <row r="350" spans="2:2" ht="15.6" x14ac:dyDescent="0.3">
      <c r="B350" s="63"/>
    </row>
    <row r="351" spans="2:2" ht="15.6" x14ac:dyDescent="0.3">
      <c r="B351" s="63"/>
    </row>
    <row r="352" spans="2:2" ht="15.6" x14ac:dyDescent="0.3">
      <c r="B352" s="63"/>
    </row>
    <row r="353" spans="2:2" ht="15.6" x14ac:dyDescent="0.3">
      <c r="B353" s="63"/>
    </row>
    <row r="354" spans="2:2" ht="15.6" x14ac:dyDescent="0.3">
      <c r="B354" s="63"/>
    </row>
    <row r="355" spans="2:2" ht="15.6" x14ac:dyDescent="0.3">
      <c r="B355" s="63"/>
    </row>
    <row r="356" spans="2:2" ht="15.6" x14ac:dyDescent="0.3">
      <c r="B356" s="63"/>
    </row>
    <row r="357" spans="2:2" ht="15.6" x14ac:dyDescent="0.3">
      <c r="B357" s="63"/>
    </row>
    <row r="358" spans="2:2" ht="15.6" x14ac:dyDescent="0.3">
      <c r="B358" s="63"/>
    </row>
    <row r="359" spans="2:2" ht="15.6" x14ac:dyDescent="0.3">
      <c r="B359" s="63"/>
    </row>
    <row r="360" spans="2:2" ht="15.6" x14ac:dyDescent="0.3">
      <c r="B360" s="63"/>
    </row>
    <row r="361" spans="2:2" ht="15.6" x14ac:dyDescent="0.3">
      <c r="B361" s="63"/>
    </row>
    <row r="362" spans="2:2" ht="15.6" x14ac:dyDescent="0.3">
      <c r="B362" s="63"/>
    </row>
    <row r="363" spans="2:2" ht="15.6" x14ac:dyDescent="0.3">
      <c r="B363" s="63"/>
    </row>
    <row r="364" spans="2:2" ht="15.6" x14ac:dyDescent="0.3">
      <c r="B364" s="63"/>
    </row>
    <row r="365" spans="2:2" ht="15.6" x14ac:dyDescent="0.3">
      <c r="B365" s="63"/>
    </row>
    <row r="366" spans="2:2" ht="15.6" x14ac:dyDescent="0.3">
      <c r="B366" s="63"/>
    </row>
    <row r="367" spans="2:2" ht="15.6" x14ac:dyDescent="0.3">
      <c r="B367" s="63"/>
    </row>
    <row r="368" spans="2:2" ht="15.6" x14ac:dyDescent="0.3">
      <c r="B368" s="63"/>
    </row>
    <row r="369" spans="2:2" ht="15.6" x14ac:dyDescent="0.3">
      <c r="B369" s="63"/>
    </row>
    <row r="370" spans="2:2" ht="15.6" x14ac:dyDescent="0.3">
      <c r="B370" s="63"/>
    </row>
    <row r="371" spans="2:2" ht="15.6" x14ac:dyDescent="0.3">
      <c r="B371" s="63"/>
    </row>
    <row r="372" spans="2:2" ht="15.6" x14ac:dyDescent="0.3">
      <c r="B372" s="63"/>
    </row>
    <row r="373" spans="2:2" ht="15.6" x14ac:dyDescent="0.3">
      <c r="B373" s="63"/>
    </row>
    <row r="374" spans="2:2" ht="15.6" x14ac:dyDescent="0.3">
      <c r="B374" s="63"/>
    </row>
    <row r="375" spans="2:2" ht="15.6" x14ac:dyDescent="0.3">
      <c r="B375" s="63"/>
    </row>
    <row r="376" spans="2:2" ht="15.6" x14ac:dyDescent="0.3">
      <c r="B376" s="63"/>
    </row>
    <row r="377" spans="2:2" ht="15.6" x14ac:dyDescent="0.3">
      <c r="B377" s="63"/>
    </row>
    <row r="378" spans="2:2" ht="15.6" x14ac:dyDescent="0.3">
      <c r="B378" s="63"/>
    </row>
    <row r="379" spans="2:2" ht="15.6" x14ac:dyDescent="0.3">
      <c r="B379" s="63"/>
    </row>
    <row r="380" spans="2:2" ht="15.6" x14ac:dyDescent="0.3">
      <c r="B380" s="63"/>
    </row>
    <row r="381" spans="2:2" ht="15.6" x14ac:dyDescent="0.3">
      <c r="B381" s="63"/>
    </row>
    <row r="382" spans="2:2" ht="15.6" x14ac:dyDescent="0.3">
      <c r="B382" s="63"/>
    </row>
    <row r="383" spans="2:2" ht="15.6" x14ac:dyDescent="0.3">
      <c r="B383" s="63"/>
    </row>
    <row r="384" spans="2:2" ht="15.6" x14ac:dyDescent="0.3">
      <c r="B384" s="63"/>
    </row>
    <row r="385" spans="2:2" ht="15.6" x14ac:dyDescent="0.3">
      <c r="B385" s="63"/>
    </row>
    <row r="386" spans="2:2" ht="15.6" x14ac:dyDescent="0.3">
      <c r="B386" s="63"/>
    </row>
    <row r="387" spans="2:2" ht="15.6" x14ac:dyDescent="0.3">
      <c r="B387" s="63"/>
    </row>
    <row r="388" spans="2:2" ht="15.6" x14ac:dyDescent="0.3">
      <c r="B388" s="63"/>
    </row>
    <row r="389" spans="2:2" ht="15.6" x14ac:dyDescent="0.3">
      <c r="B389" s="63"/>
    </row>
  </sheetData>
  <mergeCells count="1">
    <mergeCell ref="B22:R22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06F488-6BA2-4AE3-8E35-9D6990AF057B}">
  <sheetPr codeName="ShGantt">
    <tabColor theme="4" tint="0.39997558519241921"/>
  </sheetPr>
  <dimension ref="B1:BS129"/>
  <sheetViews>
    <sheetView showGridLines="0" tabSelected="1" topLeftCell="J3" zoomScaleNormal="100" workbookViewId="0">
      <selection activeCell="AU4" sqref="AU4"/>
    </sheetView>
  </sheetViews>
  <sheetFormatPr defaultColWidth="8.88671875" defaultRowHeight="14.4" x14ac:dyDescent="0.3"/>
  <cols>
    <col min="1" max="1" width="2.88671875" customWidth="1"/>
    <col min="2" max="2" width="4.5546875" bestFit="1" customWidth="1"/>
    <col min="3" max="3" width="8.6640625" style="78" hidden="1" customWidth="1"/>
    <col min="4" max="4" width="6.33203125" style="78" hidden="1" customWidth="1"/>
    <col min="5" max="5" width="5.44140625" style="78" hidden="1" customWidth="1"/>
    <col min="6" max="6" width="9.44140625" style="79" hidden="1" customWidth="1"/>
    <col min="7" max="7" width="47.88671875" bestFit="1" customWidth="1"/>
    <col min="8" max="8" width="10.6640625" customWidth="1"/>
    <col min="9" max="9" width="12" customWidth="1"/>
    <col min="10" max="10" width="17.5546875" customWidth="1"/>
    <col min="11" max="11" width="11.33203125" customWidth="1"/>
    <col min="12" max="12" width="10.5546875" bestFit="1" customWidth="1"/>
    <col min="13" max="13" width="11.6640625" customWidth="1"/>
    <col min="14" max="14" width="11.109375" style="68" customWidth="1"/>
    <col min="15" max="15" width="11.6640625" hidden="1" customWidth="1"/>
    <col min="16" max="64" width="3.88671875" customWidth="1"/>
    <col min="65" max="71" width="3.6640625" customWidth="1"/>
    <col min="72" max="72" width="1.44140625" customWidth="1"/>
  </cols>
  <sheetData>
    <row r="1" spans="2:71" ht="18" customHeight="1" x14ac:dyDescent="0.3">
      <c r="H1" s="123" t="s">
        <v>88</v>
      </c>
      <c r="I1" s="123"/>
      <c r="J1" s="26" t="s">
        <v>92</v>
      </c>
      <c r="K1" s="126"/>
      <c r="L1" s="126"/>
      <c r="M1" s="123" t="s">
        <v>90</v>
      </c>
      <c r="N1" s="123"/>
      <c r="O1" s="32"/>
      <c r="P1" s="128" t="s">
        <v>94</v>
      </c>
      <c r="Q1" s="128"/>
      <c r="R1" s="128"/>
      <c r="S1" s="128"/>
      <c r="T1" s="128"/>
      <c r="U1" s="128"/>
      <c r="V1" s="128"/>
      <c r="AB1" s="120" t="s">
        <v>96</v>
      </c>
      <c r="AC1" s="120"/>
      <c r="AD1" s="120"/>
      <c r="AE1" s="120"/>
      <c r="AF1" s="120"/>
      <c r="AG1" s="120"/>
      <c r="AH1" s="124">
        <v>44893</v>
      </c>
      <c r="AI1" s="124"/>
      <c r="AJ1" s="124"/>
      <c r="AK1" s="124"/>
      <c r="AL1" s="124"/>
    </row>
    <row r="2" spans="2:71" ht="18" customHeight="1" x14ac:dyDescent="0.3">
      <c r="H2" s="123" t="s">
        <v>89</v>
      </c>
      <c r="I2" s="123"/>
      <c r="J2" s="26" t="s">
        <v>93</v>
      </c>
      <c r="K2" s="126"/>
      <c r="L2" s="126"/>
      <c r="M2" s="127" t="s">
        <v>91</v>
      </c>
      <c r="N2" s="127"/>
      <c r="O2" s="32"/>
      <c r="P2" s="128" t="s">
        <v>95</v>
      </c>
      <c r="Q2" s="128"/>
      <c r="R2" s="128"/>
      <c r="S2" s="128"/>
      <c r="T2" s="128"/>
      <c r="U2" s="128"/>
      <c r="V2" s="128"/>
      <c r="AB2" s="120" t="s">
        <v>97</v>
      </c>
      <c r="AC2" s="120"/>
      <c r="AD2" s="120"/>
      <c r="AE2" s="120"/>
      <c r="AF2" s="120"/>
      <c r="AG2" s="120"/>
      <c r="AH2" s="125"/>
      <c r="AI2" s="125"/>
      <c r="AJ2" s="125"/>
      <c r="AK2" s="125"/>
      <c r="AL2" s="125"/>
      <c r="AR2" s="47"/>
    </row>
    <row r="3" spans="2:71" ht="18" customHeight="1" thickBot="1" x14ac:dyDescent="0.35">
      <c r="L3" s="1"/>
      <c r="N3" s="71"/>
      <c r="P3" s="44"/>
      <c r="Q3" s="44"/>
      <c r="R3" s="44"/>
      <c r="S3" s="44"/>
      <c r="T3" s="44"/>
      <c r="U3" s="44"/>
      <c r="V3" s="44"/>
      <c r="AB3" s="121" t="s">
        <v>98</v>
      </c>
      <c r="AC3" s="121"/>
      <c r="AD3" s="121"/>
      <c r="AE3" s="121"/>
      <c r="AF3" s="121"/>
      <c r="AG3" s="121"/>
      <c r="AH3" s="125" t="s">
        <v>99</v>
      </c>
      <c r="AI3" s="125"/>
      <c r="AJ3" s="125"/>
      <c r="AK3" s="125"/>
      <c r="AL3" s="125"/>
      <c r="AP3" s="45"/>
      <c r="AQ3" s="45"/>
      <c r="AR3" s="45"/>
      <c r="AV3" s="46"/>
    </row>
    <row r="4" spans="2:71" ht="28.95" customHeight="1" thickTop="1" thickBot="1" x14ac:dyDescent="0.35">
      <c r="B4" s="7"/>
      <c r="C4" s="80"/>
      <c r="D4" s="80"/>
      <c r="E4" s="80"/>
      <c r="F4" s="80"/>
      <c r="G4" s="27" t="s">
        <v>87</v>
      </c>
      <c r="H4" s="7"/>
      <c r="I4" s="7"/>
      <c r="J4" s="7"/>
      <c r="K4" s="7"/>
      <c r="L4" s="7"/>
      <c r="M4" s="7"/>
      <c r="N4" s="72"/>
      <c r="O4" s="7"/>
      <c r="P4" s="7"/>
      <c r="Q4" s="7"/>
      <c r="R4" s="7"/>
      <c r="S4" s="7"/>
      <c r="T4" s="7"/>
      <c r="U4" s="7"/>
      <c r="V4" s="7"/>
      <c r="W4" s="7"/>
      <c r="X4" s="7"/>
      <c r="Y4" s="7"/>
      <c r="Z4" s="7"/>
      <c r="AA4" s="7"/>
      <c r="AB4" s="7"/>
      <c r="AC4" s="7"/>
      <c r="AD4" s="7"/>
      <c r="AE4" s="7"/>
      <c r="AF4" s="7"/>
      <c r="AG4" s="7"/>
      <c r="AH4" s="122">
        <v>45174</v>
      </c>
      <c r="AI4" s="122"/>
      <c r="AJ4" s="122"/>
      <c r="AK4" s="122"/>
      <c r="AL4" s="122"/>
      <c r="AM4" s="7"/>
      <c r="AN4" s="7"/>
      <c r="AO4" s="7"/>
      <c r="AP4" s="7"/>
      <c r="AQ4" s="7"/>
      <c r="AR4" s="7"/>
      <c r="AS4" s="7"/>
      <c r="AT4" s="7"/>
      <c r="AU4" s="7"/>
      <c r="AV4" s="7"/>
      <c r="AW4" s="7"/>
      <c r="AX4" s="7"/>
      <c r="AY4" s="7"/>
      <c r="AZ4" s="7"/>
      <c r="BA4" s="7"/>
      <c r="BB4" s="7"/>
      <c r="BC4" s="7"/>
      <c r="BD4" s="7"/>
      <c r="BE4" s="7"/>
      <c r="BF4" s="7"/>
      <c r="BG4" s="7"/>
      <c r="BH4" s="7"/>
      <c r="BI4" s="7"/>
      <c r="BJ4" s="7"/>
      <c r="BK4" s="7"/>
      <c r="BL4" s="7"/>
      <c r="BM4" s="7"/>
      <c r="BN4" s="7"/>
      <c r="BO4" s="7"/>
      <c r="BP4" s="7"/>
      <c r="BQ4" s="7"/>
      <c r="BR4" s="7"/>
      <c r="BS4" s="7"/>
    </row>
    <row r="5" spans="2:71" ht="15" thickTop="1" x14ac:dyDescent="0.3">
      <c r="N5" s="71"/>
      <c r="P5" s="5" t="str">
        <f>UPPER(TEXT(DATE(YEAR($P$8), MONTH($P$8), DAY($P$8)-WEEKDAY($P$8, 2) + 1),"mmmm"))</f>
        <v>SEPTEMBRE</v>
      </c>
      <c r="Q5" s="5"/>
      <c r="R5" s="5"/>
      <c r="S5" s="5"/>
      <c r="T5" s="6" t="str">
        <f>UPPER(TEXT(DATE(YEAR($T$8), MONTH($T$8), DAY($T$8)-WEEKDAY($T$8, 2) + 1),"mmmm"))</f>
        <v>OCTOBRE</v>
      </c>
      <c r="U5" s="6"/>
      <c r="V5" s="6"/>
      <c r="W5" s="6"/>
      <c r="X5" s="6"/>
      <c r="Y5" s="5" t="str">
        <f>UPPER(TEXT(DATE(YEAR($Y$8), MONTH($Y$8), DAY($Y$8)-WEEKDAY($Y$8, 2) + 1),"mmmm"))</f>
        <v>NOVEMBRE</v>
      </c>
      <c r="Z5" s="5"/>
      <c r="AA5" s="5"/>
      <c r="AB5" s="5"/>
      <c r="AC5" s="6" t="str">
        <f>UPPER(TEXT(DATE(YEAR($AC$8), MONTH($AC$8), DAY($AC$8)-WEEKDAY($AC$8, 2) + 1),"mmmm"))</f>
        <v>DÉCEMBRE</v>
      </c>
      <c r="AD5" s="6"/>
      <c r="AE5" s="6"/>
      <c r="AF5" s="6"/>
      <c r="AG5" s="5" t="str">
        <f>UPPER(TEXT(DATE(YEAR($AG$8), MONTH($AG$8), DAY($AG$8)-WEEKDAY($AG$8, 2) + 1),"mmmm"))</f>
        <v>JANVIER</v>
      </c>
      <c r="AH5" s="5"/>
      <c r="AI5" s="5"/>
      <c r="AJ5" s="5"/>
      <c r="AK5" s="5"/>
      <c r="AL5" s="6" t="str">
        <f>UPPER(TEXT(DATE(YEAR($AL$8), MONTH($AL$8), DAY($AL$8)-WEEKDAY($AL$8, 2) + 1),"mmmm"))</f>
        <v>FÉVRIER</v>
      </c>
      <c r="AM5" s="6"/>
      <c r="AN5" s="6"/>
      <c r="AO5" s="6"/>
      <c r="AP5" s="5" t="str">
        <f>UPPER(TEXT(DATE(YEAR($AP$8), MONTH($AP$8), DAY($AP$8)-WEEKDAY($AP$8, 2) + 1),"mmmm"))</f>
        <v>MARS</v>
      </c>
      <c r="AQ5" s="5"/>
      <c r="AR5" s="5"/>
      <c r="AS5" s="5"/>
      <c r="AT5" s="6" t="str">
        <f>UPPER(TEXT(DATE(YEAR($AT$8), MONTH($AT$8), DAY($AT$8)-WEEKDAY($AT$8, 2) + 1),"mmmm"))</f>
        <v>AVRIL</v>
      </c>
      <c r="AU5" s="6"/>
      <c r="AV5" s="6"/>
      <c r="AW5" s="6"/>
      <c r="AX5" s="6"/>
      <c r="AY5" s="5" t="str">
        <f>UPPER(TEXT(DATE(YEAR($AY$8), MONTH($AY$8), DAY($AY$8)-WEEKDAY($AY$8, 2) + 1),"mmmm"))</f>
        <v>MAI</v>
      </c>
      <c r="AZ5" s="5"/>
      <c r="BA5" s="5"/>
      <c r="BB5" s="5"/>
      <c r="BC5" s="6" t="str">
        <f>UPPER(TEXT(DATE(YEAR($BC$8), MONTH($BC$8), DAY($BC$8)-WEEKDAY($BC$8, 2) + 1),"mmmm"))</f>
        <v>JUIN</v>
      </c>
      <c r="BD5" s="6"/>
      <c r="BE5" s="6"/>
      <c r="BF5" s="6"/>
      <c r="BG5" s="5" t="str">
        <f>UPPER(TEXT(DATE(YEAR($BG$8), MONTH($BG$8), DAY($BG$8)-WEEKDAY($BG$8, 2) + 1),"mmmm"))</f>
        <v>JUILLET</v>
      </c>
      <c r="BH5" s="5"/>
      <c r="BI5" s="5"/>
      <c r="BJ5" s="5"/>
      <c r="BK5" s="5"/>
      <c r="BL5" s="6" t="str">
        <f>UPPER(TEXT(DATE(YEAR($BL$8), MONTH($BL$8), DAY($BL$8)-WEEKDAY($BL$8, 2) + 1),"mmmm"))</f>
        <v>AOÛT</v>
      </c>
      <c r="BM5" s="6"/>
      <c r="BN5" s="6"/>
      <c r="BO5" s="6"/>
      <c r="BP5" s="5" t="str">
        <f>UPPER(TEXT(DATE(YEAR($BP$8), MONTH($BP$8), DAY($BP$8)-WEEKDAY($BP$8, 2) + 1),"mmmm"))</f>
        <v>SEPTEMBRE</v>
      </c>
      <c r="BQ5" s="5"/>
      <c r="BR5" s="5"/>
      <c r="BS5" s="5"/>
    </row>
    <row r="6" spans="2:71" ht="14.4" customHeight="1" x14ac:dyDescent="0.3">
      <c r="K6" s="42"/>
      <c r="M6" s="42"/>
      <c r="N6" s="71"/>
      <c r="P6" s="51" t="str">
        <f>RIGHT("0000" &amp; YEAR($P$8), 4)</f>
        <v>2023</v>
      </c>
      <c r="Q6" s="51"/>
      <c r="R6" s="51"/>
      <c r="S6" s="51"/>
      <c r="T6" s="50" t="str">
        <f>RIGHT("0000" &amp; YEAR($T$8), 4)</f>
        <v>2023</v>
      </c>
      <c r="U6" s="50"/>
      <c r="V6" s="50"/>
      <c r="W6" s="50"/>
      <c r="X6" s="50"/>
      <c r="Y6" s="51" t="str">
        <f>RIGHT("0000" &amp; YEAR($Y$8), 4)</f>
        <v>2023</v>
      </c>
      <c r="Z6" s="51"/>
      <c r="AA6" s="51"/>
      <c r="AB6" s="51"/>
      <c r="AC6" s="50" t="str">
        <f>RIGHT("0000" &amp; YEAR($AC$8), 4)</f>
        <v>2023</v>
      </c>
      <c r="AD6" s="50"/>
      <c r="AE6" s="50"/>
      <c r="AF6" s="50"/>
      <c r="AG6" s="51" t="str">
        <f>RIGHT("0000" &amp; YEAR($AG$8), 4)</f>
        <v>2024</v>
      </c>
      <c r="AH6" s="51"/>
      <c r="AI6" s="51"/>
      <c r="AJ6" s="51"/>
      <c r="AK6" s="51"/>
      <c r="AL6" s="50" t="str">
        <f>RIGHT("0000" &amp; YEAR($AL$8), 4)</f>
        <v>2024</v>
      </c>
      <c r="AM6" s="50"/>
      <c r="AN6" s="50"/>
      <c r="AO6" s="50"/>
      <c r="AP6" s="51" t="str">
        <f>RIGHT("0000" &amp; YEAR($AP$8), 4)</f>
        <v>2024</v>
      </c>
      <c r="AQ6" s="51"/>
      <c r="AR6" s="51"/>
      <c r="AS6" s="51"/>
      <c r="AT6" s="50" t="str">
        <f>RIGHT("0000" &amp; YEAR($AT$8), 4)</f>
        <v>2024</v>
      </c>
      <c r="AU6" s="50"/>
      <c r="AV6" s="50"/>
      <c r="AW6" s="50"/>
      <c r="AX6" s="50"/>
      <c r="AY6" s="51" t="str">
        <f>RIGHT("0000" &amp; YEAR($AY$8), 4)</f>
        <v>2024</v>
      </c>
      <c r="AZ6" s="51"/>
      <c r="BA6" s="51"/>
      <c r="BB6" s="51"/>
      <c r="BC6" s="50" t="str">
        <f>RIGHT("0000" &amp; YEAR($BC$8), 4)</f>
        <v>2024</v>
      </c>
      <c r="BD6" s="50"/>
      <c r="BE6" s="50"/>
      <c r="BF6" s="50"/>
      <c r="BG6" s="51" t="str">
        <f>RIGHT("0000" &amp; YEAR($BG$8), 4)</f>
        <v>2024</v>
      </c>
      <c r="BH6" s="51"/>
      <c r="BI6" s="51"/>
      <c r="BJ6" s="51"/>
      <c r="BK6" s="51"/>
      <c r="BL6" s="50" t="str">
        <f>RIGHT("0000" &amp; YEAR($BL$8), 4)</f>
        <v>2024</v>
      </c>
      <c r="BM6" s="50"/>
      <c r="BN6" s="50"/>
      <c r="BO6" s="50"/>
      <c r="BP6" s="51" t="str">
        <f>RIGHT("0000" &amp; YEAR($BP$8), 4)</f>
        <v>2024</v>
      </c>
      <c r="BQ6" s="51"/>
      <c r="BR6" s="51"/>
      <c r="BS6" s="51"/>
    </row>
    <row r="7" spans="2:71" hidden="1" x14ac:dyDescent="0.3">
      <c r="L7" s="1"/>
      <c r="N7" s="71"/>
      <c r="O7">
        <v>11</v>
      </c>
      <c r="P7" s="30">
        <v>9</v>
      </c>
      <c r="Q7" s="30">
        <v>9</v>
      </c>
      <c r="R7" s="30">
        <v>9</v>
      </c>
      <c r="S7" s="30">
        <v>9</v>
      </c>
      <c r="T7" s="31">
        <v>10</v>
      </c>
      <c r="U7" s="31">
        <v>10</v>
      </c>
      <c r="V7" s="31">
        <v>10</v>
      </c>
      <c r="W7" s="31">
        <v>10</v>
      </c>
      <c r="X7" s="31">
        <v>10</v>
      </c>
      <c r="Y7" s="30">
        <v>11</v>
      </c>
      <c r="Z7" s="30">
        <v>11</v>
      </c>
      <c r="AA7" s="30">
        <v>11</v>
      </c>
      <c r="AB7" s="30">
        <v>11</v>
      </c>
      <c r="AC7" s="31">
        <v>12</v>
      </c>
      <c r="AD7" s="31">
        <v>12</v>
      </c>
      <c r="AE7" s="31">
        <v>12</v>
      </c>
      <c r="AF7" s="31">
        <v>12</v>
      </c>
      <c r="AG7" s="30">
        <v>1</v>
      </c>
      <c r="AH7" s="30">
        <v>1</v>
      </c>
      <c r="AI7" s="30">
        <v>1</v>
      </c>
      <c r="AJ7" s="30">
        <v>1</v>
      </c>
      <c r="AK7" s="30">
        <v>1</v>
      </c>
      <c r="AL7" s="31">
        <v>2</v>
      </c>
      <c r="AM7" s="31">
        <v>2</v>
      </c>
      <c r="AN7" s="31">
        <v>2</v>
      </c>
      <c r="AO7" s="31">
        <v>2</v>
      </c>
      <c r="AP7" s="30">
        <v>3</v>
      </c>
      <c r="AQ7" s="30">
        <v>3</v>
      </c>
      <c r="AR7" s="30">
        <v>3</v>
      </c>
      <c r="AS7" s="30">
        <v>3</v>
      </c>
      <c r="AT7" s="31">
        <v>4</v>
      </c>
      <c r="AU7" s="31">
        <v>4</v>
      </c>
      <c r="AV7" s="31">
        <v>4</v>
      </c>
      <c r="AW7" s="31">
        <v>4</v>
      </c>
      <c r="AX7" s="31">
        <v>4</v>
      </c>
      <c r="AY7" s="30">
        <v>5</v>
      </c>
      <c r="AZ7" s="30">
        <v>5</v>
      </c>
      <c r="BA7" s="30">
        <v>5</v>
      </c>
      <c r="BB7" s="30">
        <v>5</v>
      </c>
      <c r="BC7" s="31">
        <v>6</v>
      </c>
      <c r="BD7" s="31">
        <v>6</v>
      </c>
      <c r="BE7" s="31">
        <v>6</v>
      </c>
      <c r="BF7" s="31">
        <v>6</v>
      </c>
      <c r="BG7" s="30">
        <v>7</v>
      </c>
      <c r="BH7" s="30">
        <v>7</v>
      </c>
      <c r="BI7" s="30">
        <v>7</v>
      </c>
      <c r="BJ7" s="30">
        <v>7</v>
      </c>
      <c r="BK7" s="30">
        <v>7</v>
      </c>
      <c r="BL7" s="31">
        <v>8</v>
      </c>
      <c r="BM7" s="31">
        <v>8</v>
      </c>
      <c r="BN7" s="31">
        <v>8</v>
      </c>
      <c r="BO7" s="31">
        <v>8</v>
      </c>
      <c r="BP7" s="30">
        <v>9</v>
      </c>
      <c r="BQ7" s="30">
        <v>9</v>
      </c>
      <c r="BR7" s="30">
        <v>9</v>
      </c>
      <c r="BS7" s="30">
        <v>9</v>
      </c>
    </row>
    <row r="8" spans="2:71" ht="7.95" hidden="1" customHeight="1" x14ac:dyDescent="0.3">
      <c r="K8" s="4"/>
      <c r="L8" s="4"/>
      <c r="M8" s="4"/>
      <c r="N8" s="71"/>
      <c r="P8" s="49">
        <f t="shared" ref="P8:AU8" si="0">IF(IsDaysGantt,ProjectStart+ COLUMN()-16,ProjectStart+7*(COLUMN()-16))</f>
        <v>45174</v>
      </c>
      <c r="Q8" s="49">
        <f t="shared" si="0"/>
        <v>45181</v>
      </c>
      <c r="R8" s="49">
        <f t="shared" si="0"/>
        <v>45188</v>
      </c>
      <c r="S8" s="49">
        <f t="shared" si="0"/>
        <v>45195</v>
      </c>
      <c r="T8" s="48">
        <f t="shared" si="0"/>
        <v>45202</v>
      </c>
      <c r="U8" s="48">
        <f t="shared" si="0"/>
        <v>45209</v>
      </c>
      <c r="V8" s="48">
        <f t="shared" si="0"/>
        <v>45216</v>
      </c>
      <c r="W8" s="48">
        <f t="shared" si="0"/>
        <v>45223</v>
      </c>
      <c r="X8" s="48">
        <f t="shared" si="0"/>
        <v>45230</v>
      </c>
      <c r="Y8" s="49">
        <f t="shared" si="0"/>
        <v>45237</v>
      </c>
      <c r="Z8" s="49">
        <f t="shared" si="0"/>
        <v>45244</v>
      </c>
      <c r="AA8" s="49">
        <f t="shared" si="0"/>
        <v>45251</v>
      </c>
      <c r="AB8" s="49">
        <f t="shared" si="0"/>
        <v>45258</v>
      </c>
      <c r="AC8" s="48">
        <f t="shared" si="0"/>
        <v>45265</v>
      </c>
      <c r="AD8" s="48">
        <f t="shared" si="0"/>
        <v>45272</v>
      </c>
      <c r="AE8" s="48">
        <f t="shared" si="0"/>
        <v>45279</v>
      </c>
      <c r="AF8" s="48">
        <f t="shared" si="0"/>
        <v>45286</v>
      </c>
      <c r="AG8" s="49">
        <f t="shared" si="0"/>
        <v>45293</v>
      </c>
      <c r="AH8" s="49">
        <f t="shared" si="0"/>
        <v>45300</v>
      </c>
      <c r="AI8" s="49">
        <f t="shared" si="0"/>
        <v>45307</v>
      </c>
      <c r="AJ8" s="49">
        <f t="shared" si="0"/>
        <v>45314</v>
      </c>
      <c r="AK8" s="49">
        <f t="shared" si="0"/>
        <v>45321</v>
      </c>
      <c r="AL8" s="48">
        <f t="shared" si="0"/>
        <v>45328</v>
      </c>
      <c r="AM8" s="48">
        <f t="shared" si="0"/>
        <v>45335</v>
      </c>
      <c r="AN8" s="48">
        <f t="shared" si="0"/>
        <v>45342</v>
      </c>
      <c r="AO8" s="48">
        <f t="shared" si="0"/>
        <v>45349</v>
      </c>
      <c r="AP8" s="49">
        <f t="shared" si="0"/>
        <v>45356</v>
      </c>
      <c r="AQ8" s="49">
        <f t="shared" si="0"/>
        <v>45363</v>
      </c>
      <c r="AR8" s="49">
        <f t="shared" si="0"/>
        <v>45370</v>
      </c>
      <c r="AS8" s="49">
        <f t="shared" si="0"/>
        <v>45377</v>
      </c>
      <c r="AT8" s="48">
        <f t="shared" si="0"/>
        <v>45384</v>
      </c>
      <c r="AU8" s="48">
        <f t="shared" si="0"/>
        <v>45391</v>
      </c>
      <c r="AV8" s="48">
        <f t="shared" ref="AV8:BS8" si="1">IF(IsDaysGantt,ProjectStart+ COLUMN()-16,ProjectStart+7*(COLUMN()-16))</f>
        <v>45398</v>
      </c>
      <c r="AW8" s="48">
        <f t="shared" si="1"/>
        <v>45405</v>
      </c>
      <c r="AX8" s="48">
        <f t="shared" si="1"/>
        <v>45412</v>
      </c>
      <c r="AY8" s="49">
        <f t="shared" si="1"/>
        <v>45419</v>
      </c>
      <c r="AZ8" s="49">
        <f t="shared" si="1"/>
        <v>45426</v>
      </c>
      <c r="BA8" s="49">
        <f t="shared" si="1"/>
        <v>45433</v>
      </c>
      <c r="BB8" s="49">
        <f t="shared" si="1"/>
        <v>45440</v>
      </c>
      <c r="BC8" s="48">
        <f t="shared" si="1"/>
        <v>45447</v>
      </c>
      <c r="BD8" s="48">
        <f t="shared" si="1"/>
        <v>45454</v>
      </c>
      <c r="BE8" s="48">
        <f t="shared" si="1"/>
        <v>45461</v>
      </c>
      <c r="BF8" s="48">
        <f t="shared" si="1"/>
        <v>45468</v>
      </c>
      <c r="BG8" s="49">
        <f t="shared" si="1"/>
        <v>45475</v>
      </c>
      <c r="BH8" s="49">
        <f t="shared" si="1"/>
        <v>45482</v>
      </c>
      <c r="BI8" s="49">
        <f t="shared" si="1"/>
        <v>45489</v>
      </c>
      <c r="BJ8" s="49">
        <f t="shared" si="1"/>
        <v>45496</v>
      </c>
      <c r="BK8" s="49">
        <f t="shared" si="1"/>
        <v>45503</v>
      </c>
      <c r="BL8" s="48">
        <f t="shared" si="1"/>
        <v>45510</v>
      </c>
      <c r="BM8" s="48">
        <f t="shared" si="1"/>
        <v>45517</v>
      </c>
      <c r="BN8" s="48">
        <f t="shared" si="1"/>
        <v>45524</v>
      </c>
      <c r="BO8" s="48">
        <f t="shared" si="1"/>
        <v>45531</v>
      </c>
      <c r="BP8" s="49">
        <f t="shared" si="1"/>
        <v>45538</v>
      </c>
      <c r="BQ8" s="49">
        <f t="shared" si="1"/>
        <v>45545</v>
      </c>
      <c r="BR8" s="49">
        <f t="shared" si="1"/>
        <v>45552</v>
      </c>
      <c r="BS8" s="49">
        <f t="shared" si="1"/>
        <v>45559</v>
      </c>
    </row>
    <row r="9" spans="2:71" ht="11.4" customHeight="1" x14ac:dyDescent="0.3">
      <c r="N9" s="73" t="str">
        <f>IF(IsDaysGantt,IF(Langue=2,"Jour","Day"),IF(Langue=2,"Semaine","Week"))</f>
        <v>Semaine</v>
      </c>
      <c r="P9" s="112">
        <f t="shared" ref="P9:AU9" si="2">IF(IsDaysGantt,P8,_xlfn.ISOWEEKNUM(P8))</f>
        <v>36</v>
      </c>
      <c r="Q9" s="113">
        <f t="shared" si="2"/>
        <v>37</v>
      </c>
      <c r="R9" s="113">
        <f t="shared" si="2"/>
        <v>38</v>
      </c>
      <c r="S9" s="113">
        <f t="shared" si="2"/>
        <v>39</v>
      </c>
      <c r="T9" s="117">
        <f t="shared" si="2"/>
        <v>40</v>
      </c>
      <c r="U9" s="117">
        <f t="shared" si="2"/>
        <v>41</v>
      </c>
      <c r="V9" s="115">
        <f t="shared" si="2"/>
        <v>42</v>
      </c>
      <c r="W9" s="116">
        <f t="shared" si="2"/>
        <v>43</v>
      </c>
      <c r="X9" s="117">
        <f t="shared" si="2"/>
        <v>44</v>
      </c>
      <c r="Y9" s="113">
        <f t="shared" si="2"/>
        <v>45</v>
      </c>
      <c r="Z9" s="113">
        <f t="shared" si="2"/>
        <v>46</v>
      </c>
      <c r="AA9" s="113">
        <f t="shared" si="2"/>
        <v>47</v>
      </c>
      <c r="AB9" s="113">
        <f t="shared" si="2"/>
        <v>48</v>
      </c>
      <c r="AC9" s="115">
        <f t="shared" si="2"/>
        <v>49</v>
      </c>
      <c r="AD9" s="116">
        <f t="shared" si="2"/>
        <v>50</v>
      </c>
      <c r="AE9" s="117">
        <f t="shared" si="2"/>
        <v>51</v>
      </c>
      <c r="AF9" s="117">
        <f t="shared" si="2"/>
        <v>52</v>
      </c>
      <c r="AG9" s="113">
        <f t="shared" si="2"/>
        <v>1</v>
      </c>
      <c r="AH9" s="113">
        <f t="shared" si="2"/>
        <v>2</v>
      </c>
      <c r="AI9" s="113">
        <f t="shared" si="2"/>
        <v>3</v>
      </c>
      <c r="AJ9" s="114">
        <f t="shared" si="2"/>
        <v>4</v>
      </c>
      <c r="AK9" s="112">
        <f t="shared" si="2"/>
        <v>5</v>
      </c>
      <c r="AL9" s="117">
        <f t="shared" si="2"/>
        <v>6</v>
      </c>
      <c r="AM9" s="117">
        <f t="shared" si="2"/>
        <v>7</v>
      </c>
      <c r="AN9" s="117">
        <f t="shared" si="2"/>
        <v>8</v>
      </c>
      <c r="AO9" s="117">
        <f t="shared" si="2"/>
        <v>9</v>
      </c>
      <c r="AP9" s="113">
        <f t="shared" si="2"/>
        <v>10</v>
      </c>
      <c r="AQ9" s="114">
        <f t="shared" si="2"/>
        <v>11</v>
      </c>
      <c r="AR9" s="112">
        <f t="shared" si="2"/>
        <v>12</v>
      </c>
      <c r="AS9" s="113">
        <f t="shared" si="2"/>
        <v>13</v>
      </c>
      <c r="AT9" s="117">
        <f t="shared" si="2"/>
        <v>14</v>
      </c>
      <c r="AU9" s="117">
        <f t="shared" si="2"/>
        <v>15</v>
      </c>
      <c r="AV9" s="117">
        <f t="shared" ref="AV9:BS9" si="3">IF(IsDaysGantt,AV8,_xlfn.ISOWEEKNUM(AV8))</f>
        <v>16</v>
      </c>
      <c r="AW9" s="117">
        <f t="shared" si="3"/>
        <v>17</v>
      </c>
      <c r="AX9" s="115">
        <f t="shared" si="3"/>
        <v>18</v>
      </c>
      <c r="AY9" s="112">
        <f t="shared" si="3"/>
        <v>19</v>
      </c>
      <c r="AZ9" s="113">
        <f t="shared" si="3"/>
        <v>20</v>
      </c>
      <c r="BA9" s="113">
        <f t="shared" si="3"/>
        <v>21</v>
      </c>
      <c r="BB9" s="113">
        <f t="shared" si="3"/>
        <v>22</v>
      </c>
      <c r="BC9" s="117">
        <f t="shared" si="3"/>
        <v>23</v>
      </c>
      <c r="BD9" s="117">
        <f t="shared" si="3"/>
        <v>24</v>
      </c>
      <c r="BE9" s="115">
        <f t="shared" si="3"/>
        <v>25</v>
      </c>
      <c r="BF9" s="116">
        <f t="shared" si="3"/>
        <v>26</v>
      </c>
      <c r="BG9" s="113">
        <f t="shared" si="3"/>
        <v>27</v>
      </c>
      <c r="BH9" s="113">
        <f t="shared" si="3"/>
        <v>28</v>
      </c>
      <c r="BI9" s="113">
        <f t="shared" si="3"/>
        <v>29</v>
      </c>
      <c r="BJ9" s="113">
        <f t="shared" si="3"/>
        <v>30</v>
      </c>
      <c r="BK9" s="113">
        <f t="shared" si="3"/>
        <v>31</v>
      </c>
      <c r="BL9" s="115">
        <f t="shared" si="3"/>
        <v>32</v>
      </c>
      <c r="BM9" s="116">
        <f t="shared" si="3"/>
        <v>33</v>
      </c>
      <c r="BN9" s="117">
        <f t="shared" si="3"/>
        <v>34</v>
      </c>
      <c r="BO9" s="117">
        <f t="shared" si="3"/>
        <v>35</v>
      </c>
      <c r="BP9" s="113">
        <f t="shared" si="3"/>
        <v>36</v>
      </c>
      <c r="BQ9" s="113">
        <f t="shared" si="3"/>
        <v>37</v>
      </c>
      <c r="BR9" s="113">
        <f>IF(IsDaysGantt,BR8,_xlfn.ISOWEEKNUM(BR8))</f>
        <v>38</v>
      </c>
      <c r="BS9" s="114">
        <f t="shared" si="3"/>
        <v>39</v>
      </c>
    </row>
    <row r="10" spans="2:71" hidden="1" x14ac:dyDescent="0.3">
      <c r="J10" s="29"/>
      <c r="P10" s="41"/>
      <c r="Q10" s="35"/>
      <c r="R10" s="35"/>
      <c r="S10" s="35"/>
      <c r="T10" s="34"/>
      <c r="U10" s="34"/>
      <c r="V10" s="37"/>
      <c r="W10" s="36"/>
      <c r="X10" s="34"/>
      <c r="Y10" s="35"/>
      <c r="Z10" s="35"/>
      <c r="AA10" s="35"/>
      <c r="AB10" s="35"/>
      <c r="AC10" s="37"/>
      <c r="AD10" s="36"/>
      <c r="AE10" s="34"/>
      <c r="AF10" s="34"/>
      <c r="AG10" s="35"/>
      <c r="AH10" s="35"/>
      <c r="AI10" s="35"/>
      <c r="AJ10" s="40"/>
      <c r="AK10" s="41"/>
      <c r="AL10" s="34"/>
      <c r="AM10" s="34"/>
      <c r="AN10" s="34"/>
      <c r="AO10" s="34"/>
      <c r="AP10" s="35"/>
      <c r="AQ10" s="40"/>
      <c r="AR10" s="35"/>
      <c r="AS10" s="35"/>
      <c r="AT10" s="34"/>
      <c r="AU10" s="34"/>
      <c r="AV10" s="34"/>
      <c r="AW10" s="34"/>
      <c r="AX10" s="37"/>
      <c r="AY10" s="41"/>
      <c r="AZ10" s="35"/>
      <c r="BA10" s="35"/>
      <c r="BB10" s="35"/>
      <c r="BC10" s="34"/>
      <c r="BD10" s="34"/>
      <c r="BE10" s="37"/>
      <c r="BF10" s="36"/>
      <c r="BG10" s="35"/>
      <c r="BH10" s="35"/>
      <c r="BI10" s="35"/>
      <c r="BJ10" s="35"/>
      <c r="BK10" s="35"/>
      <c r="BL10" s="37"/>
      <c r="BM10" s="36"/>
      <c r="BN10" s="34"/>
      <c r="BO10" s="34"/>
      <c r="BP10" s="35"/>
      <c r="BQ10" s="35"/>
      <c r="BR10" s="35"/>
      <c r="BS10" s="40"/>
    </row>
    <row r="11" spans="2:71" ht="15.6" customHeight="1" x14ac:dyDescent="0.3">
      <c r="B11" s="2" t="s">
        <v>0</v>
      </c>
      <c r="C11" s="81" t="s">
        <v>28</v>
      </c>
      <c r="D11" s="81" t="s">
        <v>8</v>
      </c>
      <c r="E11" s="81" t="s">
        <v>9</v>
      </c>
      <c r="F11" s="81" t="s">
        <v>10</v>
      </c>
      <c r="G11" s="2" t="s">
        <v>1</v>
      </c>
      <c r="H11" s="2" t="s">
        <v>101</v>
      </c>
      <c r="I11" s="2" t="s">
        <v>220</v>
      </c>
      <c r="J11" s="2" t="s">
        <v>3</v>
      </c>
      <c r="K11" s="2" t="s">
        <v>4</v>
      </c>
      <c r="L11" s="2" t="s">
        <v>281</v>
      </c>
      <c r="M11" s="2" t="s">
        <v>5</v>
      </c>
      <c r="N11" s="69" t="s">
        <v>6</v>
      </c>
      <c r="O11" s="2" t="s">
        <v>222</v>
      </c>
      <c r="P11" s="111" t="str">
        <f t="shared" ref="P11:AU11" si="4">IF(IsDaysGantt,UPPER(LEFT(CHOOSE(WEEKDAY(P8),"D","L","M","M","J","V","S"),1)),"")</f>
        <v/>
      </c>
      <c r="Q11" s="39" t="str">
        <f t="shared" si="4"/>
        <v/>
      </c>
      <c r="R11" s="39" t="str">
        <f t="shared" si="4"/>
        <v/>
      </c>
      <c r="S11" s="39" t="str">
        <f t="shared" si="4"/>
        <v/>
      </c>
      <c r="T11" s="38" t="str">
        <f t="shared" si="4"/>
        <v/>
      </c>
      <c r="U11" s="38" t="str">
        <f t="shared" si="4"/>
        <v/>
      </c>
      <c r="V11" s="38" t="str">
        <f t="shared" si="4"/>
        <v/>
      </c>
      <c r="W11" s="38" t="str">
        <f t="shared" si="4"/>
        <v/>
      </c>
      <c r="X11" s="38" t="str">
        <f t="shared" si="4"/>
        <v/>
      </c>
      <c r="Y11" s="39" t="str">
        <f t="shared" si="4"/>
        <v/>
      </c>
      <c r="Z11" s="39" t="str">
        <f t="shared" si="4"/>
        <v/>
      </c>
      <c r="AA11" s="39" t="str">
        <f t="shared" si="4"/>
        <v/>
      </c>
      <c r="AB11" s="39" t="str">
        <f t="shared" si="4"/>
        <v/>
      </c>
      <c r="AC11" s="38" t="str">
        <f t="shared" si="4"/>
        <v/>
      </c>
      <c r="AD11" s="38" t="str">
        <f t="shared" si="4"/>
        <v/>
      </c>
      <c r="AE11" s="38" t="str">
        <f t="shared" si="4"/>
        <v/>
      </c>
      <c r="AF11" s="38" t="str">
        <f t="shared" si="4"/>
        <v/>
      </c>
      <c r="AG11" s="39" t="str">
        <f t="shared" si="4"/>
        <v/>
      </c>
      <c r="AH11" s="39" t="str">
        <f t="shared" si="4"/>
        <v/>
      </c>
      <c r="AI11" s="39" t="str">
        <f t="shared" si="4"/>
        <v/>
      </c>
      <c r="AJ11" s="39" t="str">
        <f t="shared" si="4"/>
        <v/>
      </c>
      <c r="AK11" s="39" t="str">
        <f t="shared" si="4"/>
        <v/>
      </c>
      <c r="AL11" s="38" t="str">
        <f t="shared" si="4"/>
        <v/>
      </c>
      <c r="AM11" s="38" t="str">
        <f t="shared" si="4"/>
        <v/>
      </c>
      <c r="AN11" s="38" t="str">
        <f t="shared" si="4"/>
        <v/>
      </c>
      <c r="AO11" s="38" t="str">
        <f t="shared" si="4"/>
        <v/>
      </c>
      <c r="AP11" s="39" t="str">
        <f t="shared" si="4"/>
        <v/>
      </c>
      <c r="AQ11" s="39" t="str">
        <f t="shared" si="4"/>
        <v/>
      </c>
      <c r="AR11" s="39" t="str">
        <f t="shared" si="4"/>
        <v/>
      </c>
      <c r="AS11" s="39" t="str">
        <f t="shared" si="4"/>
        <v/>
      </c>
      <c r="AT11" s="38" t="str">
        <f t="shared" si="4"/>
        <v/>
      </c>
      <c r="AU11" s="38" t="str">
        <f t="shared" si="4"/>
        <v/>
      </c>
      <c r="AV11" s="38" t="str">
        <f t="shared" ref="AV11:BS11" si="5">IF(IsDaysGantt,UPPER(LEFT(CHOOSE(WEEKDAY(AV8),"D","L","M","M","J","V","S"),1)),"")</f>
        <v/>
      </c>
      <c r="AW11" s="38" t="str">
        <f t="shared" si="5"/>
        <v/>
      </c>
      <c r="AX11" s="38" t="str">
        <f t="shared" si="5"/>
        <v/>
      </c>
      <c r="AY11" s="39" t="str">
        <f t="shared" si="5"/>
        <v/>
      </c>
      <c r="AZ11" s="39" t="str">
        <f t="shared" si="5"/>
        <v/>
      </c>
      <c r="BA11" s="39" t="str">
        <f t="shared" si="5"/>
        <v/>
      </c>
      <c r="BB11" s="39" t="str">
        <f t="shared" si="5"/>
        <v/>
      </c>
      <c r="BC11" s="38" t="str">
        <f t="shared" si="5"/>
        <v/>
      </c>
      <c r="BD11" s="38" t="str">
        <f t="shared" si="5"/>
        <v/>
      </c>
      <c r="BE11" s="38" t="str">
        <f t="shared" si="5"/>
        <v/>
      </c>
      <c r="BF11" s="38" t="str">
        <f t="shared" si="5"/>
        <v/>
      </c>
      <c r="BG11" s="39" t="str">
        <f t="shared" si="5"/>
        <v/>
      </c>
      <c r="BH11" s="39" t="str">
        <f t="shared" si="5"/>
        <v/>
      </c>
      <c r="BI11" s="39" t="str">
        <f t="shared" si="5"/>
        <v/>
      </c>
      <c r="BJ11" s="39" t="str">
        <f t="shared" si="5"/>
        <v/>
      </c>
      <c r="BK11" s="39" t="str">
        <f t="shared" si="5"/>
        <v/>
      </c>
      <c r="BL11" s="38" t="str">
        <f t="shared" si="5"/>
        <v/>
      </c>
      <c r="BM11" s="38" t="str">
        <f t="shared" si="5"/>
        <v/>
      </c>
      <c r="BN11" s="38" t="str">
        <f t="shared" si="5"/>
        <v/>
      </c>
      <c r="BO11" s="38" t="str">
        <f t="shared" si="5"/>
        <v/>
      </c>
      <c r="BP11" s="39" t="str">
        <f t="shared" si="5"/>
        <v/>
      </c>
      <c r="BQ11" s="39" t="str">
        <f t="shared" si="5"/>
        <v/>
      </c>
      <c r="BR11" s="39" t="str">
        <f t="shared" si="5"/>
        <v/>
      </c>
      <c r="BS11" s="118" t="str">
        <f t="shared" si="5"/>
        <v/>
      </c>
    </row>
    <row r="12" spans="2:71" ht="16.2" customHeight="1" x14ac:dyDescent="0.3">
      <c r="B12" s="86"/>
      <c r="C12" s="87"/>
      <c r="D12" s="87"/>
      <c r="E12" s="87"/>
      <c r="F12" s="87"/>
      <c r="G12" s="88" t="s">
        <v>285</v>
      </c>
      <c r="H12" s="88"/>
      <c r="I12" s="88"/>
      <c r="J12" s="88"/>
      <c r="K12" s="90">
        <f ca="1">IFERROR(MIN(TabProjet[Début]), "")</f>
        <v>44302</v>
      </c>
      <c r="L12" s="91">
        <f>IFERROR(SUMIFS(TabProjet[Charge en J],TabProjet[Is Project], "X"), "")</f>
        <v>1488.5</v>
      </c>
      <c r="M12" s="90">
        <f ca="1">IFERROR(MAX(TabProjet[Deadline]), "")</f>
        <v>45792</v>
      </c>
      <c r="N12" s="89">
        <f>IFERROR(AVERAGEIFS(TabProjet[Progression],TabProjet[Is Project], "X"), "")</f>
        <v>0.3949333333333333</v>
      </c>
      <c r="O12" s="84"/>
      <c r="P12" s="85"/>
      <c r="Q12" s="85"/>
      <c r="R12" s="85"/>
      <c r="S12" s="85"/>
      <c r="T12" s="85"/>
      <c r="U12" s="85"/>
      <c r="V12" s="85"/>
      <c r="W12" s="85"/>
      <c r="X12" s="85"/>
      <c r="Y12" s="85"/>
      <c r="Z12" s="85"/>
      <c r="AA12" s="85"/>
      <c r="AB12" s="85"/>
      <c r="AC12" s="85"/>
      <c r="AD12" s="85"/>
      <c r="AE12" s="85"/>
      <c r="AF12" s="85"/>
      <c r="AG12" s="85"/>
      <c r="AH12" s="85"/>
      <c r="AI12" s="85"/>
      <c r="AJ12" s="85"/>
      <c r="AK12" s="85"/>
      <c r="AL12" s="85"/>
      <c r="AM12" s="85"/>
      <c r="AN12" s="85"/>
      <c r="AO12" s="85"/>
      <c r="AP12" s="85"/>
      <c r="AQ12" s="85"/>
      <c r="AR12" s="85"/>
      <c r="AS12" s="85"/>
      <c r="AT12" s="85"/>
      <c r="AU12" s="85"/>
      <c r="AV12" s="85"/>
      <c r="AW12" s="85"/>
      <c r="AX12" s="85"/>
      <c r="AY12" s="85"/>
      <c r="AZ12" s="85"/>
      <c r="BA12" s="85"/>
      <c r="BB12" s="85"/>
      <c r="BC12" s="85"/>
      <c r="BD12" s="85"/>
      <c r="BE12" s="85"/>
      <c r="BF12" s="85"/>
      <c r="BG12" s="85"/>
      <c r="BH12" s="85"/>
      <c r="BI12" s="85"/>
      <c r="BJ12" s="85"/>
      <c r="BK12" s="85"/>
      <c r="BL12" s="85"/>
      <c r="BM12" s="85"/>
      <c r="BN12" s="85"/>
      <c r="BO12" s="85"/>
      <c r="BP12" s="85"/>
      <c r="BQ12" s="85"/>
      <c r="BR12" s="85"/>
      <c r="BS12" s="85"/>
    </row>
    <row r="13" spans="2:71" s="1" customFormat="1" ht="18" hidden="1" customHeight="1" x14ac:dyDescent="0.3">
      <c r="B13" s="1" t="s">
        <v>0</v>
      </c>
      <c r="C13" s="82" t="s">
        <v>28</v>
      </c>
      <c r="D13" s="78" t="s">
        <v>8</v>
      </c>
      <c r="E13" s="78" t="s">
        <v>9</v>
      </c>
      <c r="F13" s="78" t="s">
        <v>10</v>
      </c>
      <c r="G13" s="18" t="s">
        <v>1</v>
      </c>
      <c r="H13" s="18" t="s">
        <v>7</v>
      </c>
      <c r="I13" s="18" t="s">
        <v>2</v>
      </c>
      <c r="J13" s="18" t="s">
        <v>3</v>
      </c>
      <c r="K13" s="18" t="s">
        <v>4</v>
      </c>
      <c r="L13" s="18" t="s">
        <v>281</v>
      </c>
      <c r="M13" s="1" t="s">
        <v>5</v>
      </c>
      <c r="N13" s="70" t="s">
        <v>6</v>
      </c>
      <c r="O13" s="1" t="s">
        <v>221</v>
      </c>
      <c r="P13" s="1" t="s">
        <v>29</v>
      </c>
      <c r="Q13" s="1" t="s">
        <v>30</v>
      </c>
      <c r="R13" s="1" t="s">
        <v>31</v>
      </c>
      <c r="S13" s="1" t="s">
        <v>32</v>
      </c>
      <c r="T13" s="1" t="s">
        <v>33</v>
      </c>
      <c r="U13" s="1" t="s">
        <v>34</v>
      </c>
      <c r="V13" s="1" t="s">
        <v>35</v>
      </c>
      <c r="W13" s="1" t="s">
        <v>36</v>
      </c>
      <c r="X13" s="1" t="s">
        <v>37</v>
      </c>
      <c r="Y13" s="1" t="s">
        <v>38</v>
      </c>
      <c r="Z13" s="1" t="s">
        <v>39</v>
      </c>
      <c r="AA13" s="1" t="s">
        <v>40</v>
      </c>
      <c r="AB13" s="1" t="s">
        <v>41</v>
      </c>
      <c r="AC13" s="1" t="s">
        <v>42</v>
      </c>
      <c r="AD13" s="1" t="s">
        <v>43</v>
      </c>
      <c r="AE13" s="1" t="s">
        <v>44</v>
      </c>
      <c r="AF13" s="1" t="s">
        <v>45</v>
      </c>
      <c r="AG13" s="1" t="s">
        <v>46</v>
      </c>
      <c r="AH13" s="1" t="s">
        <v>47</v>
      </c>
      <c r="AI13" s="1" t="s">
        <v>48</v>
      </c>
      <c r="AJ13" s="1" t="s">
        <v>49</v>
      </c>
      <c r="AK13" s="1" t="s">
        <v>50</v>
      </c>
      <c r="AL13" s="1" t="s">
        <v>51</v>
      </c>
      <c r="AM13" s="1" t="s">
        <v>52</v>
      </c>
      <c r="AN13" s="1" t="s">
        <v>53</v>
      </c>
      <c r="AO13" s="1" t="s">
        <v>54</v>
      </c>
      <c r="AP13" s="1" t="s">
        <v>55</v>
      </c>
      <c r="AQ13" s="1" t="s">
        <v>56</v>
      </c>
      <c r="AR13" s="1" t="s">
        <v>57</v>
      </c>
      <c r="AS13" s="1" t="s">
        <v>58</v>
      </c>
      <c r="AT13" s="1" t="s">
        <v>59</v>
      </c>
      <c r="AU13" s="1" t="s">
        <v>60</v>
      </c>
      <c r="AV13" s="1" t="s">
        <v>61</v>
      </c>
      <c r="AW13" s="1" t="s">
        <v>62</v>
      </c>
      <c r="AX13" s="1" t="s">
        <v>63</v>
      </c>
      <c r="AY13" s="1" t="s">
        <v>64</v>
      </c>
      <c r="AZ13" s="1" t="s">
        <v>65</v>
      </c>
      <c r="BA13" s="1" t="s">
        <v>66</v>
      </c>
      <c r="BB13" s="1" t="s">
        <v>67</v>
      </c>
      <c r="BC13" s="1" t="s">
        <v>68</v>
      </c>
      <c r="BD13" s="1" t="s">
        <v>69</v>
      </c>
      <c r="BE13" s="1" t="s">
        <v>70</v>
      </c>
      <c r="BF13" s="1" t="s">
        <v>71</v>
      </c>
      <c r="BG13" s="1" t="s">
        <v>72</v>
      </c>
      <c r="BH13" s="1" t="s">
        <v>73</v>
      </c>
      <c r="BI13" s="1" t="s">
        <v>74</v>
      </c>
      <c r="BJ13" s="1" t="s">
        <v>75</v>
      </c>
      <c r="BK13" s="1" t="s">
        <v>76</v>
      </c>
      <c r="BL13" s="1" t="s">
        <v>77</v>
      </c>
      <c r="BM13" s="1" t="s">
        <v>78</v>
      </c>
      <c r="BN13" s="1" t="s">
        <v>79</v>
      </c>
      <c r="BO13" s="1" t="s">
        <v>80</v>
      </c>
      <c r="BP13" s="1" t="s">
        <v>81</v>
      </c>
      <c r="BQ13" s="1" t="s">
        <v>82</v>
      </c>
      <c r="BR13" s="1" t="s">
        <v>84</v>
      </c>
      <c r="BS13" s="1" t="s">
        <v>85</v>
      </c>
    </row>
    <row r="14" spans="2:71" x14ac:dyDescent="0.3">
      <c r="B14" s="3" t="str">
        <f>TabProjet[[#This Row],[IDProj]] &amp; TabProjet[[#This Row],[Point]] &amp; TabProjet[[#This Row],[IDSubProj]]</f>
        <v>1</v>
      </c>
      <c r="C14" s="83" t="s">
        <v>27</v>
      </c>
      <c r="D14" s="83">
        <f>IF(ISNUMBER($D13),IF(TabProjet[[#This Row],[Is Project]] &lt;&gt;"",$D13+1,$D13),1)</f>
        <v>1</v>
      </c>
      <c r="E14" s="83" t="str">
        <f>IF(TabProjet[[#This Row],[Is Project]] &lt;&gt; "","",".")</f>
        <v/>
      </c>
      <c r="F14" s="83" t="str">
        <f>IFERROR(IF(TabProjet[[#This Row],[Is Project]]= "",$F13+1,""),1)</f>
        <v/>
      </c>
      <c r="G14" s="20" t="s">
        <v>156</v>
      </c>
      <c r="H14" s="21"/>
      <c r="I14" s="19"/>
      <c r="J14" s="21" t="s">
        <v>109</v>
      </c>
      <c r="K14" s="22">
        <f ca="1">IFERROR(MinStartDate(TabProjet[[#This Row],[ID]]), "")</f>
        <v>44302</v>
      </c>
      <c r="L14" s="19">
        <f>IFERROR(SUMIFS(TabProjet[Charge en J],TabProjet[Is Project],"",TabProjet[IDProj],TabProjet[[#This Row],[IDProj]]), "")</f>
        <v>42.5</v>
      </c>
      <c r="M14" s="16">
        <f ca="1">IFERROR(MaxDeadlineDate(TabProjet[[#This Row],[ID]]), "")</f>
        <v>45412</v>
      </c>
      <c r="N14" s="25">
        <f>IFERROR(AVERAGEIFS(TabProjet[Progression],TabProjet[Is Project],"",TabProjet[IDProj],TabProjet[[#This Row],[IDProj]]), 0)</f>
        <v>0.41</v>
      </c>
      <c r="O14" s="33">
        <f ca="1">TabProjet[[#This Row],[Début]]+(TabProjet[[#This Row],[Deadline]]-TabProjet[[#This Row],[Début]])*TabProjet[[#This Row],[Progression]]</f>
        <v>44757.1</v>
      </c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  <c r="BA14" s="3"/>
      <c r="BB14" s="3"/>
      <c r="BC14" s="3"/>
      <c r="BD14" s="3"/>
      <c r="BE14" s="3"/>
      <c r="BF14" s="3"/>
      <c r="BG14" s="3"/>
      <c r="BH14" s="3"/>
      <c r="BI14" s="3"/>
      <c r="BJ14" s="3"/>
      <c r="BK14" s="3"/>
      <c r="BL14" s="3"/>
      <c r="BM14" s="3"/>
      <c r="BN14" s="3"/>
      <c r="BO14" s="3"/>
      <c r="BP14" s="3"/>
      <c r="BQ14" s="3"/>
      <c r="BR14" s="3"/>
      <c r="BS14" s="3"/>
    </row>
    <row r="15" spans="2:71" x14ac:dyDescent="0.3">
      <c r="B15" s="3" t="str">
        <f>TabProjet[[#This Row],[IDProj]] &amp; TabProjet[[#This Row],[Point]] &amp; TabProjet[[#This Row],[IDSubProj]]</f>
        <v>1.1</v>
      </c>
      <c r="C15" s="83"/>
      <c r="D15" s="83">
        <f>IF(ISNUMBER($D14),IF(TabProjet[[#This Row],[Is Project]] &lt;&gt;"",$D14+1,$D14),1)</f>
        <v>1</v>
      </c>
      <c r="E15" s="83" t="str">
        <f>IF(TabProjet[[#This Row],[Is Project]] &lt;&gt; "","",".")</f>
        <v>.</v>
      </c>
      <c r="F15" s="83">
        <f>IFERROR(IF(TabProjet[[#This Row],[Is Project]]= "",$F14+1,""),1)</f>
        <v>1</v>
      </c>
      <c r="G15" s="20" t="s">
        <v>157</v>
      </c>
      <c r="H15" s="21" t="s">
        <v>417</v>
      </c>
      <c r="I15" s="19"/>
      <c r="J15" s="21" t="s">
        <v>11</v>
      </c>
      <c r="K15" s="22">
        <v>44682</v>
      </c>
      <c r="L15" s="19">
        <v>1.5</v>
      </c>
      <c r="M15" s="16">
        <f>IF(TabProjet[[#This Row],[Début]]="","",WORKDAY(IF(WEEKDAY(TabProjet[[#This Row],[Début]],1)=7,TabProjet[[#This Row],[Début]]+2,IF(WEEKDAY(TabProjet[[#This Row],[Début]],1)=1,TabProjet[[#This Row],[Début]]+1,TabProjet[[#This Row],[Début]])),ROUNDUP(TabProjet[[#This Row],[Charge en J]],0)-IF(TabProjet[[#This Row],[Charge en J]] &gt; 0, 1, 0),TabOffDays[Date]))</f>
        <v>44684</v>
      </c>
      <c r="N15" s="25">
        <v>0.3</v>
      </c>
      <c r="O15" s="33">
        <f>TabProjet[[#This Row],[Début]]+(TabProjet[[#This Row],[Deadline]]-TabProjet[[#This Row],[Début]])*TabProjet[[#This Row],[Progression]]</f>
        <v>44682.6</v>
      </c>
      <c r="P15" s="10"/>
      <c r="Q15" s="3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  <c r="AY15" s="3"/>
      <c r="AZ15" s="3"/>
      <c r="BA15" s="3"/>
      <c r="BB15" s="3"/>
      <c r="BC15" s="3"/>
      <c r="BD15" s="3"/>
      <c r="BE15" s="3"/>
      <c r="BF15" s="3"/>
      <c r="BG15" s="3"/>
      <c r="BH15" s="3"/>
      <c r="BI15" s="3"/>
      <c r="BJ15" s="3"/>
      <c r="BK15" s="3"/>
      <c r="BL15" s="3"/>
      <c r="BM15" s="3"/>
      <c r="BN15" s="3"/>
      <c r="BO15" s="3"/>
      <c r="BP15" s="3"/>
      <c r="BQ15" s="3"/>
      <c r="BR15" s="3"/>
      <c r="BS15" s="3"/>
    </row>
    <row r="16" spans="2:71" x14ac:dyDescent="0.3">
      <c r="B16" s="3" t="str">
        <f>TabProjet[[#This Row],[IDProj]] &amp; TabProjet[[#This Row],[Point]] &amp; TabProjet[[#This Row],[IDSubProj]]</f>
        <v>1.2</v>
      </c>
      <c r="C16" s="83"/>
      <c r="D16" s="83">
        <f>IF(ISNUMBER($D15),IF(TabProjet[[#This Row],[Is Project]] &lt;&gt;"",$D15+1,$D15),1)</f>
        <v>1</v>
      </c>
      <c r="E16" s="83" t="str">
        <f>IF(TabProjet[[#This Row],[Is Project]] &lt;&gt; "","",".")</f>
        <v>.</v>
      </c>
      <c r="F16" s="83">
        <f>IFERROR(IF(TabProjet[[#This Row],[Is Project]]= "",$F15+1,""),1)</f>
        <v>2</v>
      </c>
      <c r="G16" s="20" t="s">
        <v>158</v>
      </c>
      <c r="H16" s="21" t="s">
        <v>103</v>
      </c>
      <c r="I16" s="19" t="s">
        <v>195</v>
      </c>
      <c r="J16" s="21" t="s">
        <v>12</v>
      </c>
      <c r="K16" s="22">
        <v>44958</v>
      </c>
      <c r="L16" s="19">
        <v>4</v>
      </c>
      <c r="M16" s="16">
        <f>IF(TabProjet[[#This Row],[Début]]="","",WORKDAY(IF(WEEKDAY(TabProjet[[#This Row],[Début]],1)=7,TabProjet[[#This Row],[Début]]+2,IF(WEEKDAY(TabProjet[[#This Row],[Début]],1)=1,TabProjet[[#This Row],[Début]]+1,TabProjet[[#This Row],[Début]])),ROUNDUP(TabProjet[[#This Row],[Charge en J]],0)-IF(TabProjet[[#This Row],[Charge en J]] &gt; 0, 1, 0),TabOffDays[Date]))</f>
        <v>44963</v>
      </c>
      <c r="N16" s="25">
        <v>0.6</v>
      </c>
      <c r="O16" s="33">
        <f>TabProjet[[#This Row],[Début]]+(TabProjet[[#This Row],[Deadline]]-TabProjet[[#This Row],[Début]])*TabProjet[[#This Row],[Progression]]</f>
        <v>44961</v>
      </c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3"/>
      <c r="BA16" s="3"/>
      <c r="BB16" s="3"/>
      <c r="BC16" s="3"/>
      <c r="BD16" s="3"/>
      <c r="BE16" s="3"/>
      <c r="BF16" s="3"/>
      <c r="BG16" s="3"/>
      <c r="BH16" s="3"/>
      <c r="BI16" s="3"/>
      <c r="BJ16" s="3"/>
      <c r="BK16" s="3"/>
      <c r="BL16" s="3"/>
      <c r="BM16" s="3"/>
      <c r="BN16" s="3"/>
      <c r="BO16" s="3"/>
      <c r="BP16" s="3"/>
      <c r="BQ16" s="3"/>
      <c r="BR16" s="3"/>
      <c r="BS16" s="3"/>
    </row>
    <row r="17" spans="2:71" x14ac:dyDescent="0.3">
      <c r="B17" s="3" t="str">
        <f>TabProjet[[#This Row],[IDProj]] &amp; TabProjet[[#This Row],[Point]] &amp; TabProjet[[#This Row],[IDSubProj]]</f>
        <v>1.3</v>
      </c>
      <c r="C17" s="83"/>
      <c r="D17" s="83">
        <f>IF(ISNUMBER($D16),IF(TabProjet[[#This Row],[Is Project]] &lt;&gt;"",$D16+1,$D16),1)</f>
        <v>1</v>
      </c>
      <c r="E17" s="83" t="str">
        <f>IF(TabProjet[[#This Row],[Is Project]] &lt;&gt; "","",".")</f>
        <v>.</v>
      </c>
      <c r="F17" s="83">
        <f>IFERROR(IF(TabProjet[[#This Row],[Is Project]]= "",$F16+1,""),1)</f>
        <v>3</v>
      </c>
      <c r="G17" s="20" t="s">
        <v>159</v>
      </c>
      <c r="H17" s="21" t="s">
        <v>418</v>
      </c>
      <c r="I17" s="19"/>
      <c r="J17" s="21" t="s">
        <v>13</v>
      </c>
      <c r="K17" s="22">
        <v>44927</v>
      </c>
      <c r="L17" s="19">
        <v>2</v>
      </c>
      <c r="M17" s="16">
        <f>IF(TabProjet[[#This Row],[Début]]="","",WORKDAY(IF(WEEKDAY(TabProjet[[#This Row],[Début]],1)=7,TabProjet[[#This Row],[Début]]+2,IF(WEEKDAY(TabProjet[[#This Row],[Début]],1)=1,TabProjet[[#This Row],[Début]]+1,TabProjet[[#This Row],[Début]])),ROUNDUP(TabProjet[[#This Row],[Charge en J]],0)-IF(TabProjet[[#This Row],[Charge en J]] &gt; 0, 1, 0),TabOffDays[Date]))</f>
        <v>44929</v>
      </c>
      <c r="N17" s="25">
        <v>0</v>
      </c>
      <c r="O17" s="33">
        <f>TabProjet[[#This Row],[Début]]+(TabProjet[[#This Row],[Deadline]]-TabProjet[[#This Row],[Début]])*TabProjet[[#This Row],[Progression]]</f>
        <v>44927</v>
      </c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3"/>
      <c r="AX17" s="3"/>
      <c r="AY17" s="3"/>
      <c r="AZ17" s="3"/>
      <c r="BA17" s="3"/>
      <c r="BB17" s="3"/>
      <c r="BC17" s="3"/>
      <c r="BD17" s="3"/>
      <c r="BE17" s="3"/>
      <c r="BF17" s="3"/>
      <c r="BG17" s="3"/>
      <c r="BH17" s="3"/>
      <c r="BI17" s="3"/>
      <c r="BJ17" s="3"/>
      <c r="BK17" s="3"/>
      <c r="BL17" s="3"/>
      <c r="BM17" s="3"/>
      <c r="BN17" s="3"/>
      <c r="BO17" s="3"/>
      <c r="BP17" s="3"/>
      <c r="BQ17" s="3"/>
      <c r="BR17" s="3"/>
      <c r="BS17" s="3"/>
    </row>
    <row r="18" spans="2:71" x14ac:dyDescent="0.3">
      <c r="B18" s="3" t="str">
        <f>TabProjet[[#This Row],[IDProj]] &amp; TabProjet[[#This Row],[Point]] &amp; TabProjet[[#This Row],[IDSubProj]]</f>
        <v>1.4</v>
      </c>
      <c r="C18" s="83"/>
      <c r="D18" s="83">
        <f>IF(ISNUMBER($D17),IF(TabProjet[[#This Row],[Is Project]] &lt;&gt;"",$D17+1,$D17),1)</f>
        <v>1</v>
      </c>
      <c r="E18" s="83" t="str">
        <f>IF(TabProjet[[#This Row],[Is Project]] &lt;&gt; "","",".")</f>
        <v>.</v>
      </c>
      <c r="F18" s="83">
        <f>IFERROR(IF(TabProjet[[#This Row],[Is Project]]= "",$F17+1,""),1)</f>
        <v>4</v>
      </c>
      <c r="G18" s="20" t="s">
        <v>160</v>
      </c>
      <c r="H18" s="21" t="s">
        <v>418</v>
      </c>
      <c r="I18" s="19" t="s">
        <v>195</v>
      </c>
      <c r="J18" s="21" t="s">
        <v>11</v>
      </c>
      <c r="K18" s="22">
        <v>45392</v>
      </c>
      <c r="L18" s="19">
        <v>15</v>
      </c>
      <c r="M18" s="16">
        <f>IF(TabProjet[[#This Row],[Début]]="","",WORKDAY(IF(WEEKDAY(TabProjet[[#This Row],[Début]],1)=7,TabProjet[[#This Row],[Début]]+2,IF(WEEKDAY(TabProjet[[#This Row],[Début]],1)=1,TabProjet[[#This Row],[Début]]+1,TabProjet[[#This Row],[Début]])),ROUNDUP(TabProjet[[#This Row],[Charge en J]],0)-IF(TabProjet[[#This Row],[Charge en J]] &gt; 0, 1, 0),TabOffDays[Date]))</f>
        <v>45412</v>
      </c>
      <c r="N18" s="25">
        <v>0.15</v>
      </c>
      <c r="O18" s="33">
        <f>TabProjet[[#This Row],[Début]]+(TabProjet[[#This Row],[Deadline]]-TabProjet[[#This Row],[Début]])*TabProjet[[#This Row],[Progression]]</f>
        <v>45395</v>
      </c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  <c r="AW18" s="3"/>
      <c r="AX18" s="3"/>
      <c r="AY18" s="3"/>
      <c r="AZ18" s="3"/>
      <c r="BA18" s="3"/>
      <c r="BB18" s="3"/>
      <c r="BC18" s="3"/>
      <c r="BD18" s="3"/>
      <c r="BE18" s="3"/>
      <c r="BF18" s="3"/>
      <c r="BG18" s="3"/>
      <c r="BH18" s="3"/>
      <c r="BI18" s="3"/>
      <c r="BJ18" s="3"/>
      <c r="BK18" s="3"/>
      <c r="BL18" s="3"/>
      <c r="BM18" s="3"/>
      <c r="BN18" s="3"/>
      <c r="BO18" s="3"/>
      <c r="BP18" s="3"/>
      <c r="BQ18" s="3"/>
      <c r="BR18" s="3"/>
      <c r="BS18" s="3"/>
    </row>
    <row r="19" spans="2:71" x14ac:dyDescent="0.3">
      <c r="B19" s="3" t="str">
        <f>TabProjet[[#This Row],[IDProj]] &amp; TabProjet[[#This Row],[Point]] &amp; TabProjet[[#This Row],[IDSubProj]]</f>
        <v>1.5</v>
      </c>
      <c r="C19" s="83"/>
      <c r="D19" s="83">
        <f>IF(ISNUMBER($D18),IF(TabProjet[[#This Row],[Is Project]] &lt;&gt;"",$D18+1,$D18),1)</f>
        <v>1</v>
      </c>
      <c r="E19" s="83" t="str">
        <f>IF(TabProjet[[#This Row],[Is Project]] &lt;&gt; "","",".")</f>
        <v>.</v>
      </c>
      <c r="F19" s="83">
        <f>IFERROR(IF(TabProjet[[#This Row],[Is Project]]= "",$F18+1,""),1)</f>
        <v>5</v>
      </c>
      <c r="G19" s="20" t="s">
        <v>161</v>
      </c>
      <c r="H19" s="21" t="s">
        <v>419</v>
      </c>
      <c r="I19" s="19" t="s">
        <v>195</v>
      </c>
      <c r="J19" s="21" t="s">
        <v>13</v>
      </c>
      <c r="K19" s="22">
        <v>44302</v>
      </c>
      <c r="L19" s="19">
        <v>20</v>
      </c>
      <c r="M19" s="16">
        <f>IF(TabProjet[[#This Row],[Début]]="","",WORKDAY(IF(WEEKDAY(TabProjet[[#This Row],[Début]],1)=7,TabProjet[[#This Row],[Début]]+2,IF(WEEKDAY(TabProjet[[#This Row],[Début]],1)=1,TabProjet[[#This Row],[Début]]+1,TabProjet[[#This Row],[Début]])),ROUNDUP(TabProjet[[#This Row],[Charge en J]],0)-IF(TabProjet[[#This Row],[Charge en J]] &gt; 0, 1, 0),TabOffDays[Date]))</f>
        <v>44329</v>
      </c>
      <c r="N19" s="25">
        <v>1</v>
      </c>
      <c r="O19" s="33">
        <f>TabProjet[[#This Row],[Début]]+(TabProjet[[#This Row],[Deadline]]-TabProjet[[#This Row],[Début]])*TabProjet[[#This Row],[Progression]]</f>
        <v>44329</v>
      </c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  <c r="AW19" s="3"/>
      <c r="AX19" s="3"/>
      <c r="AY19" s="3"/>
      <c r="AZ19" s="3"/>
      <c r="BA19" s="3"/>
      <c r="BB19" s="3"/>
      <c r="BC19" s="3"/>
      <c r="BD19" s="3"/>
      <c r="BE19" s="3"/>
      <c r="BF19" s="3"/>
      <c r="BG19" s="3"/>
      <c r="BH19" s="3"/>
      <c r="BI19" s="3"/>
      <c r="BJ19" s="3"/>
      <c r="BK19" s="3"/>
      <c r="BL19" s="3"/>
      <c r="BM19" s="3"/>
      <c r="BN19" s="3"/>
      <c r="BO19" s="3"/>
      <c r="BP19" s="3"/>
      <c r="BQ19" s="3"/>
      <c r="BR19" s="3"/>
      <c r="BS19" s="3"/>
    </row>
    <row r="20" spans="2:71" x14ac:dyDescent="0.3">
      <c r="B20" s="3" t="str">
        <f>TabProjet[[#This Row],[IDProj]] &amp; TabProjet[[#This Row],[Point]] &amp; TabProjet[[#This Row],[IDSubProj]]</f>
        <v>2</v>
      </c>
      <c r="C20" s="83" t="s">
        <v>27</v>
      </c>
      <c r="D20" s="83">
        <f>IF(ISNUMBER($D19),IF(TabProjet[[#This Row],[Is Project]] &lt;&gt;"",$D19+1,$D19),1)</f>
        <v>2</v>
      </c>
      <c r="E20" s="83" t="str">
        <f>IF(TabProjet[[#This Row],[Is Project]] &lt;&gt; "","",".")</f>
        <v/>
      </c>
      <c r="F20" s="83" t="str">
        <f>IFERROR(IF(TabProjet[[#This Row],[Is Project]]= "",$F19+1,""),1)</f>
        <v/>
      </c>
      <c r="G20" s="20" t="s">
        <v>162</v>
      </c>
      <c r="H20" s="21"/>
      <c r="I20" s="19" t="s">
        <v>195</v>
      </c>
      <c r="J20" s="21" t="s">
        <v>14</v>
      </c>
      <c r="K20" s="22">
        <f ca="1">IFERROR(MinStartDate(TabProjet[[#This Row],[ID]]), "")</f>
        <v>45035</v>
      </c>
      <c r="L20" s="19">
        <f>IFERROR(SUMIFS(TabProjet[Charge en J],TabProjet[Is Project],"",TabProjet[IDProj],TabProjet[[#This Row],[IDProj]]), "")</f>
        <v>237</v>
      </c>
      <c r="M20" s="16">
        <f ca="1">IFERROR(MaxDeadlineDate(TabProjet[[#This Row],[ID]]), "")</f>
        <v>45152</v>
      </c>
      <c r="N20" s="25">
        <f>IFERROR(AVERAGEIFS(TabProjet[Progression],TabProjet[Is Project],"",TabProjet[IDProj],TabProjet[[#This Row],[IDProj]]), 0)</f>
        <v>0.57999999999999996</v>
      </c>
      <c r="O20" s="33">
        <f ca="1">TabProjet[[#This Row],[Début]]+(TabProjet[[#This Row],[Deadline]]-TabProjet[[#This Row],[Début]])*TabProjet[[#This Row],[Progression]]</f>
        <v>45102.86</v>
      </c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  <c r="BA20" s="3"/>
      <c r="BB20" s="3"/>
      <c r="BC20" s="3"/>
      <c r="BD20" s="3"/>
      <c r="BE20" s="3"/>
      <c r="BF20" s="3"/>
      <c r="BG20" s="3"/>
      <c r="BH20" s="3"/>
      <c r="BI20" s="3"/>
      <c r="BJ20" s="3"/>
      <c r="BK20" s="3"/>
      <c r="BL20" s="3"/>
      <c r="BM20" s="3"/>
      <c r="BN20" s="3"/>
      <c r="BO20" s="3"/>
      <c r="BP20" s="3"/>
      <c r="BQ20" s="3"/>
      <c r="BR20" s="3"/>
      <c r="BS20" s="3"/>
    </row>
    <row r="21" spans="2:71" x14ac:dyDescent="0.3">
      <c r="B21" s="3" t="str">
        <f>TabProjet[[#This Row],[IDProj]] &amp; TabProjet[[#This Row],[Point]] &amp; TabProjet[[#This Row],[IDSubProj]]</f>
        <v>2.1</v>
      </c>
      <c r="C21" s="83"/>
      <c r="D21" s="83">
        <f>IF(ISNUMBER($D20),IF(TabProjet[[#This Row],[Is Project]] &lt;&gt;"",$D20+1,$D20),1)</f>
        <v>2</v>
      </c>
      <c r="E21" s="83" t="str">
        <f>IF(TabProjet[[#This Row],[Is Project]] &lt;&gt; "","",".")</f>
        <v>.</v>
      </c>
      <c r="F21" s="83">
        <f>IFERROR(IF(TabProjet[[#This Row],[Is Project]]= "",$F20+1,""),1)</f>
        <v>1</v>
      </c>
      <c r="G21" s="20" t="s">
        <v>163</v>
      </c>
      <c r="H21" s="21" t="s">
        <v>417</v>
      </c>
      <c r="I21" s="19"/>
      <c r="J21" s="21" t="s">
        <v>116</v>
      </c>
      <c r="K21" s="22">
        <v>45038</v>
      </c>
      <c r="L21" s="19">
        <v>35</v>
      </c>
      <c r="M21" s="16">
        <f>IF(TabProjet[[#This Row],[Début]]="","",WORKDAY(IF(WEEKDAY(TabProjet[[#This Row],[Début]],1)=7,TabProjet[[#This Row],[Début]]+2,IF(WEEKDAY(TabProjet[[#This Row],[Début]],1)=1,TabProjet[[#This Row],[Début]]+1,TabProjet[[#This Row],[Début]])),ROUNDUP(TabProjet[[#This Row],[Charge en J]],0)-IF(TabProjet[[#This Row],[Charge en J]] &gt; 0, 1, 0),TabOffDays[Date]))</f>
        <v>45092</v>
      </c>
      <c r="N21" s="25">
        <v>0.5</v>
      </c>
      <c r="O21" s="33">
        <f>TabProjet[[#This Row],[Début]]+(TabProjet[[#This Row],[Deadline]]-TabProjet[[#This Row],[Début]])*TabProjet[[#This Row],[Progression]]</f>
        <v>45065</v>
      </c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  <c r="BA21" s="3"/>
      <c r="BB21" s="3"/>
      <c r="BC21" s="3"/>
      <c r="BD21" s="3"/>
      <c r="BE21" s="3"/>
      <c r="BF21" s="3"/>
      <c r="BG21" s="3"/>
      <c r="BH21" s="3"/>
      <c r="BI21" s="3"/>
      <c r="BJ21" s="3"/>
      <c r="BK21" s="3"/>
      <c r="BL21" s="3"/>
      <c r="BM21" s="3"/>
      <c r="BN21" s="3"/>
      <c r="BO21" s="3"/>
      <c r="BP21" s="3"/>
      <c r="BQ21" s="3"/>
      <c r="BR21" s="3"/>
      <c r="BS21" s="3"/>
    </row>
    <row r="22" spans="2:71" x14ac:dyDescent="0.3">
      <c r="B22" s="3" t="str">
        <f>TabProjet[[#This Row],[IDProj]] &amp; TabProjet[[#This Row],[Point]] &amp; TabProjet[[#This Row],[IDSubProj]]</f>
        <v>2.2</v>
      </c>
      <c r="C22" s="83"/>
      <c r="D22" s="83">
        <f>IF(ISNUMBER($D21),IF(TabProjet[[#This Row],[Is Project]] &lt;&gt;"",$D21+1,$D21),1)</f>
        <v>2</v>
      </c>
      <c r="E22" s="83" t="str">
        <f>IF(TabProjet[[#This Row],[Is Project]] &lt;&gt; "","",".")</f>
        <v>.</v>
      </c>
      <c r="F22" s="83">
        <f>IFERROR(IF(TabProjet[[#This Row],[Is Project]]= "",$F21+1,""),1)</f>
        <v>2</v>
      </c>
      <c r="G22" s="20" t="s">
        <v>164</v>
      </c>
      <c r="H22" s="21" t="s">
        <v>419</v>
      </c>
      <c r="I22" s="19">
        <v>1.5</v>
      </c>
      <c r="J22" s="21" t="s">
        <v>15</v>
      </c>
      <c r="K22" s="22">
        <v>45038</v>
      </c>
      <c r="L22" s="19">
        <v>50</v>
      </c>
      <c r="M22" s="16">
        <f>IF(TabProjet[[#This Row],[Début]]="","",WORKDAY(IF(WEEKDAY(TabProjet[[#This Row],[Début]],1)=7,TabProjet[[#This Row],[Début]]+2,IF(WEEKDAY(TabProjet[[#This Row],[Début]],1)=1,TabProjet[[#This Row],[Début]]+1,TabProjet[[#This Row],[Début]])),ROUNDUP(TabProjet[[#This Row],[Charge en J]],0)-IF(TabProjet[[#This Row],[Charge en J]] &gt; 0, 1, 0),TabOffDays[Date]))</f>
        <v>45113</v>
      </c>
      <c r="N22" s="25">
        <v>0.9</v>
      </c>
      <c r="O22" s="33">
        <f>TabProjet[[#This Row],[Début]]+(TabProjet[[#This Row],[Deadline]]-TabProjet[[#This Row],[Début]])*TabProjet[[#This Row],[Progression]]</f>
        <v>45105.5</v>
      </c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  <c r="BA22" s="3"/>
      <c r="BB22" s="3"/>
      <c r="BC22" s="3"/>
      <c r="BD22" s="3"/>
      <c r="BE22" s="3"/>
      <c r="BF22" s="3"/>
      <c r="BG22" s="3"/>
      <c r="BH22" s="3"/>
      <c r="BI22" s="3"/>
      <c r="BJ22" s="3"/>
      <c r="BK22" s="3"/>
      <c r="BL22" s="3"/>
      <c r="BM22" s="3"/>
      <c r="BN22" s="3"/>
      <c r="BO22" s="3"/>
      <c r="BP22" s="3"/>
      <c r="BQ22" s="3"/>
      <c r="BR22" s="3"/>
      <c r="BS22" s="3"/>
    </row>
    <row r="23" spans="2:71" x14ac:dyDescent="0.3">
      <c r="B23" s="3" t="str">
        <f>TabProjet[[#This Row],[IDProj]] &amp; TabProjet[[#This Row],[Point]] &amp; TabProjet[[#This Row],[IDSubProj]]</f>
        <v>2.3</v>
      </c>
      <c r="C23" s="83"/>
      <c r="D23" s="83">
        <f>IF(ISNUMBER($D22),IF(TabProjet[[#This Row],[Is Project]] &lt;&gt;"",$D22+1,$D22),1)</f>
        <v>2</v>
      </c>
      <c r="E23" s="83" t="str">
        <f>IF(TabProjet[[#This Row],[Is Project]] &lt;&gt; "","",".")</f>
        <v>.</v>
      </c>
      <c r="F23" s="83">
        <f>IFERROR(IF(TabProjet[[#This Row],[Is Project]]= "",$F22+1,""),1)</f>
        <v>3</v>
      </c>
      <c r="G23" s="20" t="s">
        <v>165</v>
      </c>
      <c r="H23" s="21" t="s">
        <v>103</v>
      </c>
      <c r="I23" s="19" t="s">
        <v>196</v>
      </c>
      <c r="J23" s="21" t="s">
        <v>16</v>
      </c>
      <c r="K23" s="22">
        <v>45065</v>
      </c>
      <c r="L23" s="19">
        <v>60</v>
      </c>
      <c r="M23" s="16">
        <f>IF(TabProjet[[#This Row],[Début]]="","",WORKDAY(IF(WEEKDAY(TabProjet[[#This Row],[Début]],1)=7,TabProjet[[#This Row],[Début]]+2,IF(WEEKDAY(TabProjet[[#This Row],[Début]],1)=1,TabProjet[[#This Row],[Début]]+1,TabProjet[[#This Row],[Début]])),ROUNDUP(TabProjet[[#This Row],[Charge en J]],0)-IF(TabProjet[[#This Row],[Charge en J]] &gt; 0, 1, 0),TabOffDays[Date]))</f>
        <v>45152</v>
      </c>
      <c r="N23" s="25">
        <v>0.5</v>
      </c>
      <c r="O23" s="33">
        <f>TabProjet[[#This Row],[Début]]+(TabProjet[[#This Row],[Deadline]]-TabProjet[[#This Row],[Début]])*TabProjet[[#This Row],[Progression]]</f>
        <v>45108.5</v>
      </c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  <c r="BA23" s="3"/>
      <c r="BB23" s="3"/>
      <c r="BC23" s="3"/>
      <c r="BD23" s="3"/>
      <c r="BE23" s="3"/>
      <c r="BF23" s="3"/>
      <c r="BG23" s="3"/>
      <c r="BH23" s="3"/>
      <c r="BI23" s="3"/>
      <c r="BJ23" s="3"/>
      <c r="BK23" s="3"/>
      <c r="BL23" s="3"/>
      <c r="BM23" s="3"/>
      <c r="BN23" s="3"/>
      <c r="BO23" s="3"/>
      <c r="BP23" s="3"/>
      <c r="BQ23" s="3"/>
      <c r="BR23" s="3"/>
      <c r="BS23" s="3"/>
    </row>
    <row r="24" spans="2:71" x14ac:dyDescent="0.3">
      <c r="B24" s="3" t="str">
        <f>TabProjet[[#This Row],[IDProj]] &amp; TabProjet[[#This Row],[Point]] &amp; TabProjet[[#This Row],[IDSubProj]]</f>
        <v>2.4</v>
      </c>
      <c r="C24" s="83"/>
      <c r="D24" s="83">
        <f>IF(ISNUMBER($D23),IF(TabProjet[[#This Row],[Is Project]] &lt;&gt;"",$D23+1,$D23),1)</f>
        <v>2</v>
      </c>
      <c r="E24" s="83" t="str">
        <f>IF(TabProjet[[#This Row],[Is Project]] &lt;&gt; "","",".")</f>
        <v>.</v>
      </c>
      <c r="F24" s="83">
        <f>IFERROR(IF(TabProjet[[#This Row],[Is Project]]= "",$F23+1,""),1)</f>
        <v>4</v>
      </c>
      <c r="G24" s="20" t="s">
        <v>166</v>
      </c>
      <c r="H24" s="21" t="s">
        <v>103</v>
      </c>
      <c r="I24" s="19" t="s">
        <v>196</v>
      </c>
      <c r="J24" s="21" t="s">
        <v>14</v>
      </c>
      <c r="K24" s="22">
        <v>45035</v>
      </c>
      <c r="L24" s="19">
        <v>33</v>
      </c>
      <c r="M24" s="16">
        <f>IF(TabProjet[[#This Row],[Début]]="","",WORKDAY(IF(WEEKDAY(TabProjet[[#This Row],[Début]],1)=7,TabProjet[[#This Row],[Début]]+2,IF(WEEKDAY(TabProjet[[#This Row],[Début]],1)=1,TabProjet[[#This Row],[Début]]+1,TabProjet[[#This Row],[Début]])),ROUNDUP(TabProjet[[#This Row],[Charge en J]],0)-IF(TabProjet[[#This Row],[Charge en J]] &gt; 0, 1, 0),TabOffDays[Date]))</f>
        <v>45085</v>
      </c>
      <c r="N24" s="25">
        <v>0.5</v>
      </c>
      <c r="O24" s="33">
        <f>TabProjet[[#This Row],[Début]]+(TabProjet[[#This Row],[Deadline]]-TabProjet[[#This Row],[Début]])*TabProjet[[#This Row],[Progression]]</f>
        <v>45060</v>
      </c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  <c r="BA24" s="3"/>
      <c r="BB24" s="3"/>
      <c r="BC24" s="3"/>
      <c r="BD24" s="3"/>
      <c r="BE24" s="3"/>
      <c r="BF24" s="3"/>
      <c r="BG24" s="3"/>
      <c r="BH24" s="3"/>
      <c r="BI24" s="3"/>
      <c r="BJ24" s="3"/>
      <c r="BK24" s="3"/>
      <c r="BL24" s="3"/>
      <c r="BM24" s="3"/>
      <c r="BN24" s="3"/>
      <c r="BO24" s="3"/>
      <c r="BP24" s="3"/>
      <c r="BQ24" s="3"/>
      <c r="BR24" s="3"/>
      <c r="BS24" s="3"/>
    </row>
    <row r="25" spans="2:71" ht="28.8" x14ac:dyDescent="0.3">
      <c r="B25" s="3" t="str">
        <f>TabProjet[[#This Row],[IDProj]] &amp; TabProjet[[#This Row],[Point]] &amp; TabProjet[[#This Row],[IDSubProj]]</f>
        <v>2.5</v>
      </c>
      <c r="C25" s="83"/>
      <c r="D25" s="83">
        <f>IF(ISNUMBER($D24),IF(TabProjet[[#This Row],[Is Project]] &lt;&gt;"",$D24+1,$D24),1)</f>
        <v>2</v>
      </c>
      <c r="E25" s="83" t="str">
        <f>IF(TabProjet[[#This Row],[Is Project]] &lt;&gt; "","",".")</f>
        <v>.</v>
      </c>
      <c r="F25" s="83">
        <f>IFERROR(IF(TabProjet[[#This Row],[Is Project]]= "",$F24+1,""),1)</f>
        <v>5</v>
      </c>
      <c r="G25" s="20" t="s">
        <v>167</v>
      </c>
      <c r="H25" s="21" t="s">
        <v>418</v>
      </c>
      <c r="I25" s="19" t="s">
        <v>196</v>
      </c>
      <c r="J25" s="21" t="s">
        <v>15</v>
      </c>
      <c r="K25" s="22">
        <v>45061</v>
      </c>
      <c r="L25" s="19">
        <v>59</v>
      </c>
      <c r="M25" s="16">
        <f>IF(TabProjet[[#This Row],[Début]]="","",WORKDAY(IF(WEEKDAY(TabProjet[[#This Row],[Début]],1)=7,TabProjet[[#This Row],[Début]]+2,IF(WEEKDAY(TabProjet[[#This Row],[Début]],1)=1,TabProjet[[#This Row],[Début]]+1,TabProjet[[#This Row],[Début]])),ROUNDUP(TabProjet[[#This Row],[Charge en J]],0)-IF(TabProjet[[#This Row],[Charge en J]] &gt; 0, 1, 0),TabOffDays[Date]))</f>
        <v>45146</v>
      </c>
      <c r="N25" s="25">
        <v>0.5</v>
      </c>
      <c r="O25" s="33">
        <f>TabProjet[[#This Row],[Début]]+(TabProjet[[#This Row],[Deadline]]-TabProjet[[#This Row],[Début]])*TabProjet[[#This Row],[Progression]]</f>
        <v>45103.5</v>
      </c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  <c r="BA25" s="3"/>
      <c r="BB25" s="3"/>
      <c r="BC25" s="3"/>
      <c r="BD25" s="3"/>
      <c r="BE25" s="3"/>
      <c r="BF25" s="3"/>
      <c r="BG25" s="3"/>
      <c r="BH25" s="3"/>
      <c r="BI25" s="3"/>
      <c r="BJ25" s="3"/>
      <c r="BK25" s="3"/>
      <c r="BL25" s="3"/>
      <c r="BM25" s="3"/>
      <c r="BN25" s="3"/>
      <c r="BO25" s="3"/>
      <c r="BP25" s="3"/>
      <c r="BQ25" s="3"/>
      <c r="BR25" s="3"/>
      <c r="BS25" s="3"/>
    </row>
    <row r="26" spans="2:71" x14ac:dyDescent="0.3">
      <c r="B26" s="3" t="str">
        <f>TabProjet[[#This Row],[IDProj]] &amp; TabProjet[[#This Row],[Point]] &amp; TabProjet[[#This Row],[IDSubProj]]</f>
        <v>3</v>
      </c>
      <c r="C26" s="83" t="s">
        <v>27</v>
      </c>
      <c r="D26" s="83">
        <f>IF(ISNUMBER($D25),IF(TabProjet[[#This Row],[Is Project]] &lt;&gt;"",$D25+1,$D25),1)</f>
        <v>3</v>
      </c>
      <c r="E26" s="83" t="str">
        <f>IF(TabProjet[[#This Row],[Is Project]] &lt;&gt; "","",".")</f>
        <v/>
      </c>
      <c r="F26" s="83" t="str">
        <f>IFERROR(IF(TabProjet[[#This Row],[Is Project]]= "",$F25+1,""),1)</f>
        <v/>
      </c>
      <c r="G26" s="20" t="s">
        <v>168</v>
      </c>
      <c r="H26" s="21"/>
      <c r="I26" s="19" t="s">
        <v>197</v>
      </c>
      <c r="J26" s="21" t="s">
        <v>17</v>
      </c>
      <c r="K26" s="22">
        <f ca="1">IFERROR(MinStartDate(TabProjet[[#This Row],[ID]]), "")</f>
        <v>45088</v>
      </c>
      <c r="L26" s="19">
        <f>IFERROR(SUMIFS(TabProjet[Charge en J],TabProjet[Is Project],"",TabProjet[IDProj],TabProjet[[#This Row],[IDProj]]), "")</f>
        <v>504</v>
      </c>
      <c r="M26" s="16">
        <f ca="1">IFERROR(MaxDeadlineDate(TabProjet[[#This Row],[ID]]), "")</f>
        <v>45344</v>
      </c>
      <c r="N26" s="25">
        <f>IFERROR(AVERAGEIFS(TabProjet[Progression],TabProjet[Is Project],"",TabProjet[IDProj],TabProjet[[#This Row],[IDProj]]), 0)</f>
        <v>0.30499999999999999</v>
      </c>
      <c r="O26" s="33">
        <f ca="1">TabProjet[[#This Row],[Début]]+(TabProjet[[#This Row],[Deadline]]-TabProjet[[#This Row],[Début]])*TabProjet[[#This Row],[Progression]]</f>
        <v>45166.080000000002</v>
      </c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  <c r="BA26" s="3"/>
      <c r="BB26" s="3"/>
      <c r="BC26" s="3"/>
      <c r="BD26" s="3"/>
      <c r="BE26" s="3"/>
      <c r="BF26" s="3"/>
      <c r="BG26" s="3"/>
      <c r="BH26" s="3"/>
      <c r="BI26" s="3"/>
      <c r="BJ26" s="3"/>
      <c r="BK26" s="3"/>
      <c r="BL26" s="3"/>
      <c r="BM26" s="3"/>
      <c r="BN26" s="3"/>
      <c r="BO26" s="3"/>
      <c r="BP26" s="3"/>
      <c r="BQ26" s="3"/>
      <c r="BR26" s="3"/>
      <c r="BS26" s="3"/>
    </row>
    <row r="27" spans="2:71" x14ac:dyDescent="0.3">
      <c r="B27" s="3" t="str">
        <f>TabProjet[[#This Row],[IDProj]] &amp; TabProjet[[#This Row],[Point]] &amp; TabProjet[[#This Row],[IDSubProj]]</f>
        <v>3.1</v>
      </c>
      <c r="C27" s="83"/>
      <c r="D27" s="83">
        <f>IF(ISNUMBER($D26),IF(TabProjet[[#This Row],[Is Project]] &lt;&gt;"",$D26+1,$D26),1)</f>
        <v>3</v>
      </c>
      <c r="E27" s="83" t="str">
        <f>IF(TabProjet[[#This Row],[Is Project]] &lt;&gt; "","",".")</f>
        <v>.</v>
      </c>
      <c r="F27" s="83">
        <f>IFERROR(IF(TabProjet[[#This Row],[Is Project]]= "",$F26+1,""),1)</f>
        <v>1</v>
      </c>
      <c r="G27" s="20" t="s">
        <v>169</v>
      </c>
      <c r="H27" s="21" t="s">
        <v>419</v>
      </c>
      <c r="I27" s="19"/>
      <c r="J27" s="21" t="s">
        <v>14</v>
      </c>
      <c r="K27" s="22">
        <v>45088</v>
      </c>
      <c r="L27" s="19">
        <v>14</v>
      </c>
      <c r="M27" s="16">
        <f>IF(TabProjet[[#This Row],[Début]]="","",WORKDAY(IF(WEEKDAY(TabProjet[[#This Row],[Début]],1)=7,TabProjet[[#This Row],[Début]]+2,IF(WEEKDAY(TabProjet[[#This Row],[Début]],1)=1,TabProjet[[#This Row],[Début]]+1,TabProjet[[#This Row],[Début]])),ROUNDUP(TabProjet[[#This Row],[Charge en J]],0)-IF(TabProjet[[#This Row],[Charge en J]] &gt; 0, 1, 0),TabOffDays[Date]))</f>
        <v>45106</v>
      </c>
      <c r="N27" s="25">
        <v>0.2</v>
      </c>
      <c r="O27" s="33">
        <f>TabProjet[[#This Row],[Début]]+(TabProjet[[#This Row],[Deadline]]-TabProjet[[#This Row],[Début]])*TabProjet[[#This Row],[Progression]]</f>
        <v>45091.6</v>
      </c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  <c r="AW27" s="3"/>
      <c r="AX27" s="3"/>
      <c r="AY27" s="3"/>
      <c r="AZ27" s="3"/>
      <c r="BA27" s="3"/>
      <c r="BB27" s="3"/>
      <c r="BC27" s="3"/>
      <c r="BD27" s="3"/>
      <c r="BE27" s="3"/>
      <c r="BF27" s="3"/>
      <c r="BG27" s="3"/>
      <c r="BH27" s="3"/>
      <c r="BI27" s="3"/>
      <c r="BJ27" s="3"/>
      <c r="BK27" s="3"/>
      <c r="BL27" s="3"/>
      <c r="BM27" s="3"/>
      <c r="BN27" s="3"/>
      <c r="BO27" s="3"/>
      <c r="BP27" s="3"/>
      <c r="BQ27" s="3"/>
      <c r="BR27" s="3"/>
      <c r="BS27" s="3"/>
    </row>
    <row r="28" spans="2:71" x14ac:dyDescent="0.3">
      <c r="B28" s="3" t="str">
        <f>TabProjet[[#This Row],[IDProj]] &amp; TabProjet[[#This Row],[Point]] &amp; TabProjet[[#This Row],[IDSubProj]]</f>
        <v>3.2</v>
      </c>
      <c r="C28" s="83"/>
      <c r="D28" s="83">
        <f>IF(ISNUMBER($D27),IF(TabProjet[[#This Row],[Is Project]] &lt;&gt;"",$D27+1,$D27),1)</f>
        <v>3</v>
      </c>
      <c r="E28" s="83" t="str">
        <f>IF(TabProjet[[#This Row],[Is Project]] &lt;&gt; "","",".")</f>
        <v>.</v>
      </c>
      <c r="F28" s="83">
        <f>IFERROR(IF(TabProjet[[#This Row],[Is Project]]= "",$F27+1,""),1)</f>
        <v>2</v>
      </c>
      <c r="G28" s="20" t="s">
        <v>170</v>
      </c>
      <c r="H28" s="21" t="s">
        <v>103</v>
      </c>
      <c r="I28" s="19">
        <v>2</v>
      </c>
      <c r="J28" s="21" t="s">
        <v>17</v>
      </c>
      <c r="K28" s="22">
        <v>45120</v>
      </c>
      <c r="L28" s="19">
        <v>121</v>
      </c>
      <c r="M28" s="16">
        <f>IF(TabProjet[[#This Row],[Début]]="","",WORKDAY(IF(WEEKDAY(TabProjet[[#This Row],[Début]],1)=7,TabProjet[[#This Row],[Début]]+2,IF(WEEKDAY(TabProjet[[#This Row],[Début]],1)=1,TabProjet[[#This Row],[Début]]+1,TabProjet[[#This Row],[Début]])),ROUNDUP(TabProjet[[#This Row],[Charge en J]],0)-IF(TabProjet[[#This Row],[Charge en J]] &gt; 0, 1, 0),TabOffDays[Date]))</f>
        <v>45294</v>
      </c>
      <c r="N28" s="25">
        <v>0.13</v>
      </c>
      <c r="O28" s="33">
        <f>TabProjet[[#This Row],[Début]]+(TabProjet[[#This Row],[Deadline]]-TabProjet[[#This Row],[Début]])*TabProjet[[#This Row],[Progression]]</f>
        <v>45142.62</v>
      </c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  <c r="AW28" s="3"/>
      <c r="AX28" s="3"/>
      <c r="AY28" s="3"/>
      <c r="AZ28" s="3"/>
      <c r="BA28" s="3"/>
      <c r="BB28" s="3"/>
      <c r="BC28" s="3"/>
      <c r="BD28" s="3"/>
      <c r="BE28" s="3"/>
      <c r="BF28" s="3"/>
      <c r="BG28" s="3"/>
      <c r="BH28" s="3"/>
      <c r="BI28" s="3"/>
      <c r="BJ28" s="3"/>
      <c r="BK28" s="3"/>
      <c r="BL28" s="3"/>
      <c r="BM28" s="3"/>
      <c r="BN28" s="3"/>
      <c r="BO28" s="3"/>
      <c r="BP28" s="3"/>
      <c r="BQ28" s="3"/>
      <c r="BR28" s="3"/>
      <c r="BS28" s="3"/>
    </row>
    <row r="29" spans="2:71" x14ac:dyDescent="0.3">
      <c r="B29" s="3" t="str">
        <f>TabProjet[[#This Row],[IDProj]] &amp; TabProjet[[#This Row],[Point]] &amp; TabProjet[[#This Row],[IDSubProj]]</f>
        <v>3.3</v>
      </c>
      <c r="C29" s="83"/>
      <c r="D29" s="83">
        <f>IF(ISNUMBER($D28),IF(TabProjet[[#This Row],[Is Project]] &lt;&gt;"",$D28+1,$D28),1)</f>
        <v>3</v>
      </c>
      <c r="E29" s="83" t="str">
        <f>IF(TabProjet[[#This Row],[Is Project]] &lt;&gt; "","",".")</f>
        <v>.</v>
      </c>
      <c r="F29" s="83">
        <f>IFERROR(IF(TabProjet[[#This Row],[Is Project]]= "",$F28+1,""),1)</f>
        <v>3</v>
      </c>
      <c r="G29" s="20" t="s">
        <v>171</v>
      </c>
      <c r="H29" s="21" t="s">
        <v>417</v>
      </c>
      <c r="I29" s="19">
        <v>2</v>
      </c>
      <c r="J29" s="21" t="s">
        <v>12</v>
      </c>
      <c r="K29" s="22">
        <v>45151</v>
      </c>
      <c r="L29" s="19">
        <v>90</v>
      </c>
      <c r="M29" s="16">
        <f>IF(TabProjet[[#This Row],[Début]]="","",WORKDAY(IF(WEEKDAY(TabProjet[[#This Row],[Début]],1)=7,TabProjet[[#This Row],[Début]]+2,IF(WEEKDAY(TabProjet[[#This Row],[Début]],1)=1,TabProjet[[#This Row],[Début]]+1,TabProjet[[#This Row],[Début]])),ROUNDUP(TabProjet[[#This Row],[Charge en J]],0)-IF(TabProjet[[#This Row],[Charge en J]] &gt; 0, 1, 0),TabOffDays[Date]))</f>
        <v>45279</v>
      </c>
      <c r="N29" s="25">
        <v>0.15</v>
      </c>
      <c r="O29" s="33">
        <f>TabProjet[[#This Row],[Début]]+(TabProjet[[#This Row],[Deadline]]-TabProjet[[#This Row],[Début]])*TabProjet[[#This Row],[Progression]]</f>
        <v>45170.2</v>
      </c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  <c r="BA29" s="3"/>
      <c r="BB29" s="3"/>
      <c r="BC29" s="3"/>
      <c r="BD29" s="3"/>
      <c r="BE29" s="3"/>
      <c r="BF29" s="3"/>
      <c r="BG29" s="3"/>
      <c r="BH29" s="3"/>
      <c r="BI29" s="3"/>
      <c r="BJ29" s="3"/>
      <c r="BK29" s="3"/>
      <c r="BL29" s="3"/>
      <c r="BM29" s="3"/>
      <c r="BN29" s="3"/>
      <c r="BO29" s="3"/>
      <c r="BP29" s="3"/>
      <c r="BQ29" s="3"/>
      <c r="BR29" s="3"/>
      <c r="BS29" s="3"/>
    </row>
    <row r="30" spans="2:71" x14ac:dyDescent="0.3">
      <c r="B30" s="3" t="str">
        <f>TabProjet[[#This Row],[IDProj]] &amp; TabProjet[[#This Row],[Point]] &amp; TabProjet[[#This Row],[IDSubProj]]</f>
        <v>3.4</v>
      </c>
      <c r="C30" s="83"/>
      <c r="D30" s="83">
        <f>IF(ISNUMBER($D29),IF(TabProjet[[#This Row],[Is Project]] &lt;&gt;"",$D29+1,$D29),1)</f>
        <v>3</v>
      </c>
      <c r="E30" s="83" t="str">
        <f>IF(TabProjet[[#This Row],[Is Project]] &lt;&gt; "","",".")</f>
        <v>.</v>
      </c>
      <c r="F30" s="83">
        <f>IFERROR(IF(TabProjet[[#This Row],[Is Project]]= "",$F29+1,""),1)</f>
        <v>4</v>
      </c>
      <c r="G30" s="20" t="s">
        <v>172</v>
      </c>
      <c r="H30" s="21" t="s">
        <v>103</v>
      </c>
      <c r="I30" s="19">
        <v>2</v>
      </c>
      <c r="J30" s="21" t="s">
        <v>23</v>
      </c>
      <c r="K30" s="22">
        <v>45182</v>
      </c>
      <c r="L30" s="19">
        <v>59</v>
      </c>
      <c r="M30" s="16">
        <f>IF(TabProjet[[#This Row],[Début]]="","",WORKDAY(IF(WEEKDAY(TabProjet[[#This Row],[Début]],1)=7,TabProjet[[#This Row],[Début]]+2,IF(WEEKDAY(TabProjet[[#This Row],[Début]],1)=1,TabProjet[[#This Row],[Début]]+1,TabProjet[[#This Row],[Début]])),ROUNDUP(TabProjet[[#This Row],[Charge en J]],0)-IF(TabProjet[[#This Row],[Charge en J]] &gt; 0, 1, 0),TabOffDays[Date]))</f>
        <v>45265</v>
      </c>
      <c r="N30" s="25">
        <v>0.45</v>
      </c>
      <c r="O30" s="33">
        <f>TabProjet[[#This Row],[Début]]+(TabProjet[[#This Row],[Deadline]]-TabProjet[[#This Row],[Début]])*TabProjet[[#This Row],[Progression]]</f>
        <v>45219.35</v>
      </c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  <c r="AW30" s="3"/>
      <c r="AX30" s="3"/>
      <c r="AY30" s="3"/>
      <c r="AZ30" s="3"/>
      <c r="BA30" s="3"/>
      <c r="BB30" s="3"/>
      <c r="BC30" s="3"/>
      <c r="BD30" s="3"/>
      <c r="BE30" s="3"/>
      <c r="BF30" s="3"/>
      <c r="BG30" s="3"/>
      <c r="BH30" s="3"/>
      <c r="BI30" s="3"/>
      <c r="BJ30" s="3"/>
      <c r="BK30" s="3"/>
      <c r="BL30" s="3"/>
      <c r="BM30" s="3"/>
      <c r="BN30" s="3"/>
      <c r="BO30" s="3"/>
      <c r="BP30" s="3"/>
      <c r="BQ30" s="3"/>
      <c r="BR30" s="3"/>
      <c r="BS30" s="3"/>
    </row>
    <row r="31" spans="2:71" x14ac:dyDescent="0.3">
      <c r="B31" s="3" t="str">
        <f>TabProjet[[#This Row],[IDProj]] &amp; TabProjet[[#This Row],[Point]] &amp; TabProjet[[#This Row],[IDSubProj]]</f>
        <v>3.5</v>
      </c>
      <c r="C31" s="83"/>
      <c r="D31" s="83">
        <f>IF(ISNUMBER($D30),IF(TabProjet[[#This Row],[Is Project]] &lt;&gt;"",$D30+1,$D30),1)</f>
        <v>3</v>
      </c>
      <c r="E31" s="83" t="str">
        <f>IF(TabProjet[[#This Row],[Is Project]] &lt;&gt; "","",".")</f>
        <v>.</v>
      </c>
      <c r="F31" s="83">
        <f>IFERROR(IF(TabProjet[[#This Row],[Is Project]]= "",$F30+1,""),1)</f>
        <v>5</v>
      </c>
      <c r="G31" s="20" t="s">
        <v>173</v>
      </c>
      <c r="H31" s="21" t="s">
        <v>417</v>
      </c>
      <c r="I31" s="19" t="s">
        <v>198</v>
      </c>
      <c r="J31" s="21" t="s">
        <v>19</v>
      </c>
      <c r="K31" s="22">
        <v>45088</v>
      </c>
      <c r="L31" s="19">
        <v>180</v>
      </c>
      <c r="M31" s="16">
        <f>IF(TabProjet[[#This Row],[Début]]="","",WORKDAY(IF(WEEKDAY(TabProjet[[#This Row],[Début]],1)=7,TabProjet[[#This Row],[Début]]+2,IF(WEEKDAY(TabProjet[[#This Row],[Début]],1)=1,TabProjet[[#This Row],[Début]]+1,TabProjet[[#This Row],[Début]])),ROUNDUP(TabProjet[[#This Row],[Charge en J]],0)-IF(TabProjet[[#This Row],[Charge en J]] &gt; 0, 1, 0),TabOffDays[Date]))</f>
        <v>45344</v>
      </c>
      <c r="N31" s="25">
        <v>0.6</v>
      </c>
      <c r="O31" s="33">
        <f>TabProjet[[#This Row],[Début]]+(TabProjet[[#This Row],[Deadline]]-TabProjet[[#This Row],[Début]])*TabProjet[[#This Row],[Progression]]</f>
        <v>45241.599999999999</v>
      </c>
      <c r="P31" s="17"/>
      <c r="Q31" s="17"/>
      <c r="R31" s="17"/>
      <c r="S31" s="17"/>
      <c r="T31" s="17"/>
      <c r="U31" s="17"/>
      <c r="V31" s="17"/>
      <c r="W31" s="17"/>
      <c r="X31" s="17"/>
      <c r="Y31" s="17"/>
      <c r="Z31" s="17"/>
      <c r="AA31" s="17"/>
      <c r="AB31" s="17"/>
      <c r="AC31" s="17"/>
      <c r="AD31" s="17"/>
      <c r="AE31" s="17"/>
      <c r="AF31" s="17"/>
      <c r="AG31" s="17"/>
      <c r="AH31" s="17"/>
      <c r="AI31" s="17"/>
      <c r="AJ31" s="17"/>
      <c r="AK31" s="17"/>
      <c r="AL31" s="17"/>
      <c r="AM31" s="17"/>
      <c r="AN31" s="17"/>
      <c r="AO31" s="17"/>
      <c r="AP31" s="17"/>
      <c r="AQ31" s="17"/>
      <c r="AR31" s="17"/>
      <c r="AS31" s="17"/>
      <c r="AT31" s="17"/>
      <c r="AU31" s="17"/>
      <c r="AV31" s="17"/>
      <c r="AW31" s="17"/>
      <c r="AX31" s="17"/>
      <c r="AY31" s="17"/>
      <c r="AZ31" s="17"/>
      <c r="BA31" s="17"/>
      <c r="BB31" s="17"/>
      <c r="BC31" s="17"/>
      <c r="BD31" s="17"/>
      <c r="BE31" s="17"/>
      <c r="BF31" s="17"/>
      <c r="BG31" s="17"/>
      <c r="BH31" s="17"/>
      <c r="BI31" s="17"/>
      <c r="BJ31" s="17"/>
      <c r="BK31" s="17"/>
      <c r="BL31" s="17"/>
      <c r="BM31" s="17"/>
      <c r="BN31" s="17"/>
      <c r="BO31" s="17"/>
      <c r="BP31" s="17"/>
      <c r="BQ31" s="17"/>
      <c r="BR31" s="17"/>
      <c r="BS31" s="17"/>
    </row>
    <row r="32" spans="2:71" x14ac:dyDescent="0.3">
      <c r="B32" s="3" t="str">
        <f>TabProjet[[#This Row],[IDProj]] &amp; TabProjet[[#This Row],[Point]] &amp; TabProjet[[#This Row],[IDSubProj]]</f>
        <v>3.6</v>
      </c>
      <c r="C32" s="83"/>
      <c r="D32" s="83">
        <f>IF(ISNUMBER($D31),IF(TabProjet[[#This Row],[Is Project]] &lt;&gt;"",$D31+1,$D31),1)</f>
        <v>3</v>
      </c>
      <c r="E32" s="83" t="str">
        <f>IF(TabProjet[[#This Row],[Is Project]] &lt;&gt; "","",".")</f>
        <v>.</v>
      </c>
      <c r="F32" s="83">
        <f>IFERROR(IF(TabProjet[[#This Row],[Is Project]]= "",$F31+1,""),1)</f>
        <v>6</v>
      </c>
      <c r="G32" s="20" t="s">
        <v>174</v>
      </c>
      <c r="H32" s="21" t="s">
        <v>418</v>
      </c>
      <c r="I32" s="19" t="s">
        <v>199</v>
      </c>
      <c r="J32" s="21" t="s">
        <v>20</v>
      </c>
      <c r="K32" s="22">
        <v>45198</v>
      </c>
      <c r="L32" s="19">
        <v>40</v>
      </c>
      <c r="M32" s="16">
        <f>IF(TabProjet[[#This Row],[Début]]="","",WORKDAY(IF(WEEKDAY(TabProjet[[#This Row],[Début]],1)=7,TabProjet[[#This Row],[Début]]+2,IF(WEEKDAY(TabProjet[[#This Row],[Début]],1)=1,TabProjet[[#This Row],[Début]]+1,TabProjet[[#This Row],[Début]])),ROUNDUP(TabProjet[[#This Row],[Charge en J]],0)-IF(TabProjet[[#This Row],[Charge en J]] &gt; 0, 1, 0),TabOffDays[Date]))</f>
        <v>45254</v>
      </c>
      <c r="N32" s="25">
        <v>0.3</v>
      </c>
      <c r="O32" s="33">
        <f>TabProjet[[#This Row],[Début]]+(TabProjet[[#This Row],[Deadline]]-TabProjet[[#This Row],[Début]])*TabProjet[[#This Row],[Progression]]</f>
        <v>45214.8</v>
      </c>
      <c r="P32" s="17"/>
      <c r="Q32" s="17"/>
      <c r="R32" s="17"/>
      <c r="S32" s="17"/>
      <c r="T32" s="17"/>
      <c r="U32" s="17"/>
      <c r="V32" s="17"/>
      <c r="W32" s="17"/>
      <c r="X32" s="17"/>
      <c r="Y32" s="17"/>
      <c r="Z32" s="17"/>
      <c r="AA32" s="17"/>
      <c r="AB32" s="17"/>
      <c r="AC32" s="17"/>
      <c r="AD32" s="17"/>
      <c r="AE32" s="17"/>
      <c r="AF32" s="17"/>
      <c r="AG32" s="17"/>
      <c r="AH32" s="17"/>
      <c r="AI32" s="17"/>
      <c r="AJ32" s="17"/>
      <c r="AK32" s="17"/>
      <c r="AL32" s="17"/>
      <c r="AM32" s="17"/>
      <c r="AN32" s="17"/>
      <c r="AO32" s="17"/>
      <c r="AP32" s="17"/>
      <c r="AQ32" s="17"/>
      <c r="AR32" s="17"/>
      <c r="AS32" s="17"/>
      <c r="AT32" s="17"/>
      <c r="AU32" s="17"/>
      <c r="AV32" s="17"/>
      <c r="AW32" s="17"/>
      <c r="AX32" s="17"/>
      <c r="AY32" s="17"/>
      <c r="AZ32" s="17"/>
      <c r="BA32" s="17"/>
      <c r="BB32" s="17"/>
      <c r="BC32" s="17"/>
      <c r="BD32" s="17"/>
      <c r="BE32" s="17"/>
      <c r="BF32" s="17"/>
      <c r="BG32" s="17"/>
      <c r="BH32" s="17"/>
      <c r="BI32" s="17"/>
      <c r="BJ32" s="17"/>
      <c r="BK32" s="17"/>
      <c r="BL32" s="17"/>
      <c r="BM32" s="17"/>
      <c r="BN32" s="17"/>
      <c r="BO32" s="17"/>
      <c r="BP32" s="17"/>
      <c r="BQ32" s="17"/>
      <c r="BR32" s="17"/>
      <c r="BS32" s="17"/>
    </row>
    <row r="33" spans="2:71" x14ac:dyDescent="0.3">
      <c r="B33" s="3" t="str">
        <f>TabProjet[[#This Row],[IDProj]] &amp; TabProjet[[#This Row],[Point]] &amp; TabProjet[[#This Row],[IDSubProj]]</f>
        <v>4</v>
      </c>
      <c r="C33" s="83" t="s">
        <v>27</v>
      </c>
      <c r="D33" s="83">
        <f>IF(ISNUMBER($D32),IF(TabProjet[[#This Row],[Is Project]] &lt;&gt;"",$D32+1,$D32),1)</f>
        <v>4</v>
      </c>
      <c r="E33" s="83" t="str">
        <f>IF(TabProjet[[#This Row],[Is Project]] &lt;&gt; "","",".")</f>
        <v/>
      </c>
      <c r="F33" s="83" t="str">
        <f>IFERROR(IF(TabProjet[[#This Row],[Is Project]]= "",$F32+1,""),1)</f>
        <v/>
      </c>
      <c r="G33" s="20" t="s">
        <v>175</v>
      </c>
      <c r="H33" s="21"/>
      <c r="I33" s="19" t="s">
        <v>200</v>
      </c>
      <c r="J33" s="21" t="s">
        <v>21</v>
      </c>
      <c r="K33" s="22">
        <f ca="1">IFERROR(MinStartDate(TabProjet[[#This Row],[ID]]), "")</f>
        <v>44944</v>
      </c>
      <c r="L33" s="19">
        <f>IFERROR(SUMIFS(TabProjet[Charge en J],TabProjet[Is Project],"",TabProjet[IDProj],TabProjet[[#This Row],[IDProj]]), "")</f>
        <v>579</v>
      </c>
      <c r="M33" s="16">
        <f ca="1">IFERROR(MaxDeadlineDate(TabProjet[[#This Row],[ID]]), "")</f>
        <v>45792</v>
      </c>
      <c r="N33" s="25">
        <f>IFERROR(AVERAGEIFS(TabProjet[Progression],TabProjet[Is Project],"",TabProjet[IDProj],TabProjet[[#This Row],[IDProj]]), 0)</f>
        <v>0.32466666666666671</v>
      </c>
      <c r="O33" s="33">
        <f ca="1">TabProjet[[#This Row],[Début]]+(TabProjet[[#This Row],[Deadline]]-TabProjet[[#This Row],[Début]])*TabProjet[[#This Row],[Progression]]</f>
        <v>45219.317333333332</v>
      </c>
      <c r="P33" s="17"/>
      <c r="Q33" s="17"/>
      <c r="R33" s="17"/>
      <c r="S33" s="17"/>
      <c r="T33" s="17"/>
      <c r="U33" s="17"/>
      <c r="V33" s="17"/>
      <c r="W33" s="17"/>
      <c r="X33" s="17"/>
      <c r="Y33" s="17"/>
      <c r="Z33" s="17"/>
      <c r="AA33" s="17"/>
      <c r="AB33" s="17"/>
      <c r="AC33" s="17"/>
      <c r="AD33" s="17"/>
      <c r="AE33" s="17"/>
      <c r="AF33" s="17"/>
      <c r="AG33" s="17"/>
      <c r="AH33" s="17"/>
      <c r="AI33" s="17"/>
      <c r="AJ33" s="17"/>
      <c r="AK33" s="17"/>
      <c r="AL33" s="17"/>
      <c r="AM33" s="17"/>
      <c r="AN33" s="17"/>
      <c r="AO33" s="17"/>
      <c r="AP33" s="17"/>
      <c r="AQ33" s="17"/>
      <c r="AR33" s="17"/>
      <c r="AS33" s="17"/>
      <c r="AT33" s="17"/>
      <c r="AU33" s="17"/>
      <c r="AV33" s="17"/>
      <c r="AW33" s="17"/>
      <c r="AX33" s="17"/>
      <c r="AY33" s="17"/>
      <c r="AZ33" s="17"/>
      <c r="BA33" s="17"/>
      <c r="BB33" s="17"/>
      <c r="BC33" s="17"/>
      <c r="BD33" s="17"/>
      <c r="BE33" s="17"/>
      <c r="BF33" s="17"/>
      <c r="BG33" s="17"/>
      <c r="BH33" s="17"/>
      <c r="BI33" s="17"/>
      <c r="BJ33" s="17"/>
      <c r="BK33" s="17"/>
      <c r="BL33" s="17"/>
      <c r="BM33" s="17"/>
      <c r="BN33" s="17"/>
      <c r="BO33" s="17"/>
      <c r="BP33" s="17"/>
      <c r="BQ33" s="17"/>
      <c r="BR33" s="17"/>
      <c r="BS33" s="17"/>
    </row>
    <row r="34" spans="2:71" x14ac:dyDescent="0.3">
      <c r="B34" s="3" t="str">
        <f>TabProjet[[#This Row],[IDProj]] &amp; TabProjet[[#This Row],[Point]] &amp; TabProjet[[#This Row],[IDSubProj]]</f>
        <v>4.1</v>
      </c>
      <c r="C34" s="83"/>
      <c r="D34" s="83">
        <f>IF(ISNUMBER($D33),IF(TabProjet[[#This Row],[Is Project]] &lt;&gt;"",$D33+1,$D33),1)</f>
        <v>4</v>
      </c>
      <c r="E34" s="83" t="str">
        <f>IF(TabProjet[[#This Row],[Is Project]] &lt;&gt; "","",".")</f>
        <v>.</v>
      </c>
      <c r="F34" s="83">
        <f>IFERROR(IF(TabProjet[[#This Row],[Is Project]]= "",$F33+1,""),1)</f>
        <v>1</v>
      </c>
      <c r="G34" s="20" t="s">
        <v>176</v>
      </c>
      <c r="H34" s="21" t="s">
        <v>419</v>
      </c>
      <c r="I34" s="19" t="s">
        <v>201</v>
      </c>
      <c r="J34" s="21" t="s">
        <v>25</v>
      </c>
      <c r="K34" s="22">
        <v>45268</v>
      </c>
      <c r="L34" s="19">
        <v>91</v>
      </c>
      <c r="M34" s="16">
        <f>IF(TabProjet[[#This Row],[Début]]="","",WORKDAY(IF(WEEKDAY(TabProjet[[#This Row],[Début]],1)=7,TabProjet[[#This Row],[Début]]+2,IF(WEEKDAY(TabProjet[[#This Row],[Début]],1)=1,TabProjet[[#This Row],[Début]]+1,TabProjet[[#This Row],[Début]])),ROUNDUP(TabProjet[[#This Row],[Charge en J]],0)-IF(TabProjet[[#This Row],[Charge en J]] &gt; 0, 1, 0),TabOffDays[Date]))</f>
        <v>45397</v>
      </c>
      <c r="N34" s="25">
        <v>0.2</v>
      </c>
      <c r="O34" s="33">
        <f>TabProjet[[#This Row],[Début]]+(TabProjet[[#This Row],[Deadline]]-TabProjet[[#This Row],[Début]])*TabProjet[[#This Row],[Progression]]</f>
        <v>45293.8</v>
      </c>
      <c r="P34" s="17"/>
      <c r="Q34" s="17"/>
      <c r="R34" s="17"/>
      <c r="S34" s="17"/>
      <c r="T34" s="17"/>
      <c r="U34" s="17"/>
      <c r="V34" s="17"/>
      <c r="W34" s="17"/>
      <c r="X34" s="17"/>
      <c r="Y34" s="17"/>
      <c r="Z34" s="17"/>
      <c r="AA34" s="17"/>
      <c r="AB34" s="17"/>
      <c r="AC34" s="17"/>
      <c r="AD34" s="17"/>
      <c r="AE34" s="17"/>
      <c r="AF34" s="17"/>
      <c r="AG34" s="17"/>
      <c r="AH34" s="17"/>
      <c r="AI34" s="17"/>
      <c r="AJ34" s="17"/>
      <c r="AK34" s="17"/>
      <c r="AL34" s="17"/>
      <c r="AM34" s="17"/>
      <c r="AN34" s="17"/>
      <c r="AO34" s="17"/>
      <c r="AP34" s="17"/>
      <c r="AQ34" s="17"/>
      <c r="AR34" s="17"/>
      <c r="AS34" s="17"/>
      <c r="AT34" s="17"/>
      <c r="AU34" s="17"/>
      <c r="AV34" s="17"/>
      <c r="AW34" s="17"/>
      <c r="AX34" s="17"/>
      <c r="AY34" s="17"/>
      <c r="AZ34" s="17"/>
      <c r="BA34" s="17"/>
      <c r="BB34" s="17"/>
      <c r="BC34" s="17"/>
      <c r="BD34" s="17"/>
      <c r="BE34" s="17"/>
      <c r="BF34" s="17"/>
      <c r="BG34" s="17"/>
      <c r="BH34" s="17"/>
      <c r="BI34" s="17"/>
      <c r="BJ34" s="17"/>
      <c r="BK34" s="17"/>
      <c r="BL34" s="17"/>
      <c r="BM34" s="17"/>
      <c r="BN34" s="17"/>
      <c r="BO34" s="17"/>
      <c r="BP34" s="17"/>
      <c r="BQ34" s="17"/>
      <c r="BR34" s="17"/>
      <c r="BS34" s="17"/>
    </row>
    <row r="35" spans="2:71" x14ac:dyDescent="0.3">
      <c r="B35" s="3" t="str">
        <f>TabProjet[[#This Row],[IDProj]] &amp; TabProjet[[#This Row],[Point]] &amp; TabProjet[[#This Row],[IDSubProj]]</f>
        <v>4.2</v>
      </c>
      <c r="C35" s="83"/>
      <c r="D35" s="83">
        <f>IF(ISNUMBER($D34),IF(TabProjet[[#This Row],[Is Project]] &lt;&gt;"",$D34+1,$D34),1)</f>
        <v>4</v>
      </c>
      <c r="E35" s="83" t="str">
        <f>IF(TabProjet[[#This Row],[Is Project]] &lt;&gt; "","",".")</f>
        <v>.</v>
      </c>
      <c r="F35" s="83">
        <f>IFERROR(IF(TabProjet[[#This Row],[Is Project]]= "",$F34+1,""),1)</f>
        <v>2</v>
      </c>
      <c r="G35" s="23" t="s">
        <v>226</v>
      </c>
      <c r="H35" s="21" t="s">
        <v>419</v>
      </c>
      <c r="I35" s="19">
        <v>3</v>
      </c>
      <c r="J35" s="21" t="s">
        <v>12</v>
      </c>
      <c r="K35" s="24">
        <v>45755</v>
      </c>
      <c r="L35" s="19">
        <v>28</v>
      </c>
      <c r="M35" s="16">
        <f>IF(TabProjet[[#This Row],[Début]]="","",WORKDAY(IF(WEEKDAY(TabProjet[[#This Row],[Début]],1)=7,TabProjet[[#This Row],[Début]]+2,IF(WEEKDAY(TabProjet[[#This Row],[Début]],1)=1,TabProjet[[#This Row],[Début]]+1,TabProjet[[#This Row],[Début]])),ROUNDUP(TabProjet[[#This Row],[Charge en J]],0)-IF(TabProjet[[#This Row],[Charge en J]] &gt; 0, 1, 0),TabOffDays[Date]))</f>
        <v>45792</v>
      </c>
      <c r="N35" s="25">
        <v>0.6</v>
      </c>
      <c r="O35" s="33">
        <f>TabProjet[[#This Row],[Début]]+(TabProjet[[#This Row],[Deadline]]-TabProjet[[#This Row],[Début]])*TabProjet[[#This Row],[Progression]]</f>
        <v>45777.2</v>
      </c>
      <c r="P35" s="17"/>
      <c r="Q35" s="17"/>
      <c r="R35" s="17"/>
      <c r="S35" s="17"/>
      <c r="T35" s="17"/>
      <c r="U35" s="17"/>
      <c r="V35" s="17"/>
      <c r="W35" s="17"/>
      <c r="X35" s="17"/>
      <c r="Y35" s="17"/>
      <c r="Z35" s="17"/>
      <c r="AA35" s="17"/>
      <c r="AB35" s="17"/>
      <c r="AC35" s="17"/>
      <c r="AD35" s="17"/>
      <c r="AE35" s="17"/>
      <c r="AF35" s="17"/>
      <c r="AG35" s="17"/>
      <c r="AH35" s="17"/>
      <c r="AI35" s="17"/>
      <c r="AJ35" s="17"/>
      <c r="AK35" s="17"/>
      <c r="AL35" s="17"/>
      <c r="AM35" s="17"/>
      <c r="AN35" s="17"/>
      <c r="AO35" s="17"/>
      <c r="AP35" s="17"/>
      <c r="AQ35" s="17"/>
      <c r="AR35" s="17"/>
      <c r="AS35" s="17"/>
      <c r="AT35" s="17"/>
      <c r="AU35" s="17"/>
      <c r="AV35" s="17"/>
      <c r="AW35" s="17"/>
      <c r="AX35" s="17"/>
      <c r="AY35" s="17"/>
      <c r="AZ35" s="17"/>
      <c r="BA35" s="17"/>
      <c r="BB35" s="17"/>
      <c r="BC35" s="17"/>
      <c r="BD35" s="17"/>
      <c r="BE35" s="17"/>
      <c r="BF35" s="17"/>
      <c r="BG35" s="17"/>
      <c r="BH35" s="17"/>
      <c r="BI35" s="17"/>
      <c r="BJ35" s="17"/>
      <c r="BK35" s="17"/>
      <c r="BL35" s="17"/>
      <c r="BM35" s="17"/>
      <c r="BN35" s="17"/>
      <c r="BO35" s="17"/>
      <c r="BP35" s="17"/>
      <c r="BQ35" s="17"/>
      <c r="BR35" s="17"/>
      <c r="BS35" s="17"/>
    </row>
    <row r="36" spans="2:71" x14ac:dyDescent="0.3">
      <c r="B36" s="3" t="str">
        <f>TabProjet[[#This Row],[IDProj]] &amp; TabProjet[[#This Row],[Point]] &amp; TabProjet[[#This Row],[IDSubProj]]</f>
        <v>4.3</v>
      </c>
      <c r="C36" s="83"/>
      <c r="D36" s="83">
        <f>IF(ISNUMBER($D35),IF(TabProjet[[#This Row],[Is Project]] &lt;&gt;"",$D35+1,$D35),1)</f>
        <v>4</v>
      </c>
      <c r="E36" s="83" t="str">
        <f>IF(TabProjet[[#This Row],[Is Project]] &lt;&gt; "","",".")</f>
        <v>.</v>
      </c>
      <c r="F36" s="83">
        <f>IFERROR(IF(TabProjet[[#This Row],[Is Project]]= "",$F35+1,""),1)</f>
        <v>3</v>
      </c>
      <c r="G36" s="20" t="s">
        <v>177</v>
      </c>
      <c r="H36" s="21" t="s">
        <v>419</v>
      </c>
      <c r="I36" s="19" t="s">
        <v>202</v>
      </c>
      <c r="J36" s="21" t="s">
        <v>14</v>
      </c>
      <c r="K36" s="24">
        <v>45268</v>
      </c>
      <c r="L36" s="19">
        <v>45</v>
      </c>
      <c r="M36" s="16">
        <f>IF(TabProjet[[#This Row],[Début]]="","",WORKDAY(IF(WEEKDAY(TabProjet[[#This Row],[Début]],1)=7,TabProjet[[#This Row],[Début]]+2,IF(WEEKDAY(TabProjet[[#This Row],[Début]],1)=1,TabProjet[[#This Row],[Début]]+1,TabProjet[[#This Row],[Début]])),ROUNDUP(TabProjet[[#This Row],[Charge en J]],0)-IF(TabProjet[[#This Row],[Charge en J]] &gt; 0, 1, 0),TabOffDays[Date]))</f>
        <v>45331</v>
      </c>
      <c r="N36" s="25">
        <v>0</v>
      </c>
      <c r="O36" s="33">
        <f>TabProjet[[#This Row],[Début]]+(TabProjet[[#This Row],[Deadline]]-TabProjet[[#This Row],[Début]])*TabProjet[[#This Row],[Progression]]</f>
        <v>45268</v>
      </c>
      <c r="P36" s="17"/>
      <c r="Q36" s="17"/>
      <c r="R36" s="17"/>
      <c r="S36" s="17"/>
      <c r="T36" s="17"/>
      <c r="U36" s="17"/>
      <c r="V36" s="17"/>
      <c r="W36" s="17"/>
      <c r="X36" s="17"/>
      <c r="Y36" s="17"/>
      <c r="Z36" s="17"/>
      <c r="AA36" s="17"/>
      <c r="AB36" s="17"/>
      <c r="AC36" s="17"/>
      <c r="AD36" s="17"/>
      <c r="AE36" s="17"/>
      <c r="AF36" s="17"/>
      <c r="AG36" s="17"/>
      <c r="AH36" s="17"/>
      <c r="AI36" s="17"/>
      <c r="AJ36" s="17"/>
      <c r="AK36" s="17"/>
      <c r="AL36" s="17"/>
      <c r="AM36" s="17"/>
      <c r="AN36" s="17"/>
      <c r="AO36" s="17"/>
      <c r="AP36" s="17"/>
      <c r="AQ36" s="17"/>
      <c r="AR36" s="17"/>
      <c r="AS36" s="17"/>
      <c r="AT36" s="17"/>
      <c r="AU36" s="17"/>
      <c r="AV36" s="17"/>
      <c r="AW36" s="17"/>
      <c r="AX36" s="17"/>
      <c r="AY36" s="17"/>
      <c r="AZ36" s="17"/>
      <c r="BA36" s="17"/>
      <c r="BB36" s="17"/>
      <c r="BC36" s="17"/>
      <c r="BD36" s="17"/>
      <c r="BE36" s="17"/>
      <c r="BF36" s="17"/>
      <c r="BG36" s="17"/>
      <c r="BH36" s="17"/>
      <c r="BI36" s="17"/>
      <c r="BJ36" s="17"/>
      <c r="BK36" s="17"/>
      <c r="BL36" s="17"/>
      <c r="BM36" s="17"/>
      <c r="BN36" s="17"/>
      <c r="BO36" s="17"/>
      <c r="BP36" s="17"/>
      <c r="BQ36" s="17"/>
      <c r="BR36" s="17"/>
      <c r="BS36" s="17"/>
    </row>
    <row r="37" spans="2:71" x14ac:dyDescent="0.3">
      <c r="B37" s="3" t="str">
        <f>TabProjet[[#This Row],[IDProj]] &amp; TabProjet[[#This Row],[Point]] &amp; TabProjet[[#This Row],[IDSubProj]]</f>
        <v>4.4</v>
      </c>
      <c r="C37" s="83"/>
      <c r="D37" s="83">
        <f>IF(ISNUMBER($D36),IF(TabProjet[[#This Row],[Is Project]] &lt;&gt;"",$D36+1,$D36),1)</f>
        <v>4</v>
      </c>
      <c r="E37" s="83" t="str">
        <f>IF(TabProjet[[#This Row],[Is Project]] &lt;&gt; "","",".")</f>
        <v>.</v>
      </c>
      <c r="F37" s="83">
        <f>IFERROR(IF(TabProjet[[#This Row],[Is Project]]= "",$F36+1,""),1)</f>
        <v>4</v>
      </c>
      <c r="G37" s="20" t="s">
        <v>178</v>
      </c>
      <c r="H37" s="21" t="s">
        <v>418</v>
      </c>
      <c r="I37" s="19" t="s">
        <v>203</v>
      </c>
      <c r="J37" s="23" t="s">
        <v>22</v>
      </c>
      <c r="K37" s="22">
        <v>44944</v>
      </c>
      <c r="L37" s="19">
        <v>14</v>
      </c>
      <c r="M37" s="16">
        <f>IF(TabProjet[[#This Row],[Début]]="","",WORKDAY(IF(WEEKDAY(TabProjet[[#This Row],[Début]],1)=7,TabProjet[[#This Row],[Début]]+2,IF(WEEKDAY(TabProjet[[#This Row],[Début]],1)=1,TabProjet[[#This Row],[Début]]+1,TabProjet[[#This Row],[Début]])),ROUNDUP(TabProjet[[#This Row],[Charge en J]],0)-IF(TabProjet[[#This Row],[Charge en J]] &gt; 0, 1, 0),TabOffDays[Date]))</f>
        <v>44963</v>
      </c>
      <c r="N37" s="25">
        <v>0.32</v>
      </c>
      <c r="O37" s="33">
        <f>TabProjet[[#This Row],[Début]]+(TabProjet[[#This Row],[Deadline]]-TabProjet[[#This Row],[Début]])*TabProjet[[#This Row],[Progression]]</f>
        <v>44950.080000000002</v>
      </c>
      <c r="P37" s="17"/>
      <c r="Q37" s="17"/>
      <c r="R37" s="17"/>
      <c r="S37" s="17"/>
      <c r="T37" s="17"/>
      <c r="U37" s="17"/>
      <c r="V37" s="17"/>
      <c r="W37" s="17"/>
      <c r="X37" s="17"/>
      <c r="Y37" s="17"/>
      <c r="Z37" s="17"/>
      <c r="AA37" s="17"/>
      <c r="AB37" s="17"/>
      <c r="AC37" s="17"/>
      <c r="AD37" s="17"/>
      <c r="AE37" s="17"/>
      <c r="AF37" s="17"/>
      <c r="AG37" s="17"/>
      <c r="AH37" s="17"/>
      <c r="AI37" s="17"/>
      <c r="AJ37" s="17"/>
      <c r="AK37" s="17"/>
      <c r="AL37" s="17"/>
      <c r="AM37" s="17"/>
      <c r="AN37" s="17"/>
      <c r="AO37" s="17"/>
      <c r="AP37" s="17"/>
      <c r="AQ37" s="17"/>
      <c r="AR37" s="17"/>
      <c r="AS37" s="17"/>
      <c r="AT37" s="17"/>
      <c r="AU37" s="17"/>
      <c r="AV37" s="17"/>
      <c r="AW37" s="17"/>
      <c r="AX37" s="17"/>
      <c r="AY37" s="17"/>
      <c r="AZ37" s="17"/>
      <c r="BA37" s="17"/>
      <c r="BB37" s="17"/>
      <c r="BC37" s="17"/>
      <c r="BD37" s="17"/>
      <c r="BE37" s="17"/>
      <c r="BF37" s="17"/>
      <c r="BG37" s="17"/>
      <c r="BH37" s="17"/>
      <c r="BI37" s="17"/>
      <c r="BJ37" s="17"/>
      <c r="BK37" s="17"/>
      <c r="BL37" s="17"/>
      <c r="BM37" s="17"/>
      <c r="BN37" s="17"/>
      <c r="BO37" s="17"/>
      <c r="BP37" s="17"/>
      <c r="BQ37" s="17"/>
      <c r="BR37" s="17"/>
      <c r="BS37" s="17"/>
    </row>
    <row r="38" spans="2:71" x14ac:dyDescent="0.3">
      <c r="B38" s="3" t="str">
        <f>TabProjet[[#This Row],[IDProj]] &amp; TabProjet[[#This Row],[Point]] &amp; TabProjet[[#This Row],[IDSubProj]]</f>
        <v>4.5</v>
      </c>
      <c r="C38" s="83"/>
      <c r="D38" s="83">
        <f>IF(ISNUMBER($D37),IF(TabProjet[[#This Row],[Is Project]] &lt;&gt;"",$D37+1,$D37),1)</f>
        <v>4</v>
      </c>
      <c r="E38" s="83" t="str">
        <f>IF(TabProjet[[#This Row],[Is Project]] &lt;&gt; "","",".")</f>
        <v>.</v>
      </c>
      <c r="F38" s="83">
        <f>IFERROR(IF(TabProjet[[#This Row],[Is Project]]= "",$F37+1,""),1)</f>
        <v>5</v>
      </c>
      <c r="G38" s="20" t="s">
        <v>179</v>
      </c>
      <c r="H38" s="21" t="s">
        <v>417</v>
      </c>
      <c r="I38" s="19" t="s">
        <v>204</v>
      </c>
      <c r="J38" s="23" t="s">
        <v>11</v>
      </c>
      <c r="K38" s="22">
        <v>44958</v>
      </c>
      <c r="L38" s="19">
        <v>27</v>
      </c>
      <c r="M38" s="16">
        <f>IF(TabProjet[[#This Row],[Début]]="","",WORKDAY(IF(WEEKDAY(TabProjet[[#This Row],[Début]],1)=7,TabProjet[[#This Row],[Début]]+2,IF(WEEKDAY(TabProjet[[#This Row],[Début]],1)=1,TabProjet[[#This Row],[Début]]+1,TabProjet[[#This Row],[Début]])),ROUNDUP(TabProjet[[#This Row],[Charge en J]],0)-IF(TabProjet[[#This Row],[Charge en J]] &gt; 0, 1, 0),TabOffDays[Date]))</f>
        <v>44994</v>
      </c>
      <c r="N38" s="25">
        <v>0</v>
      </c>
      <c r="O38" s="33">
        <f>TabProjet[[#This Row],[Début]]+(TabProjet[[#This Row],[Deadline]]-TabProjet[[#This Row],[Début]])*TabProjet[[#This Row],[Progression]]</f>
        <v>44958</v>
      </c>
      <c r="P38" s="17"/>
      <c r="Q38" s="17"/>
      <c r="R38" s="17"/>
      <c r="S38" s="17"/>
      <c r="T38" s="17"/>
      <c r="U38" s="17"/>
      <c r="V38" s="17"/>
      <c r="W38" s="17"/>
      <c r="X38" s="17"/>
      <c r="Y38" s="17"/>
      <c r="Z38" s="17"/>
      <c r="AA38" s="17"/>
      <c r="AB38" s="17"/>
      <c r="AC38" s="17"/>
      <c r="AD38" s="17"/>
      <c r="AE38" s="17"/>
      <c r="AF38" s="17"/>
      <c r="AG38" s="17"/>
      <c r="AH38" s="17"/>
      <c r="AI38" s="17"/>
      <c r="AJ38" s="17"/>
      <c r="AK38" s="17"/>
      <c r="AL38" s="17"/>
      <c r="AM38" s="17"/>
      <c r="AN38" s="17"/>
      <c r="AO38" s="17"/>
      <c r="AP38" s="17"/>
      <c r="AQ38" s="17"/>
      <c r="AR38" s="17"/>
      <c r="AS38" s="17"/>
      <c r="AT38" s="17"/>
      <c r="AU38" s="17"/>
      <c r="AV38" s="17"/>
      <c r="AW38" s="17"/>
      <c r="AX38" s="17"/>
      <c r="AY38" s="17"/>
      <c r="AZ38" s="17"/>
      <c r="BA38" s="17"/>
      <c r="BB38" s="17"/>
      <c r="BC38" s="17"/>
      <c r="BD38" s="17"/>
      <c r="BE38" s="17"/>
      <c r="BF38" s="17"/>
      <c r="BG38" s="17"/>
      <c r="BH38" s="17"/>
      <c r="BI38" s="17"/>
      <c r="BJ38" s="17"/>
      <c r="BK38" s="17"/>
      <c r="BL38" s="17"/>
      <c r="BM38" s="17"/>
      <c r="BN38" s="17"/>
      <c r="BO38" s="17"/>
      <c r="BP38" s="17"/>
      <c r="BQ38" s="17"/>
      <c r="BR38" s="17"/>
      <c r="BS38" s="17"/>
    </row>
    <row r="39" spans="2:71" x14ac:dyDescent="0.3">
      <c r="B39" s="3" t="str">
        <f>TabProjet[[#This Row],[IDProj]] &amp; TabProjet[[#This Row],[Point]] &amp; TabProjet[[#This Row],[IDSubProj]]</f>
        <v>4.6</v>
      </c>
      <c r="C39" s="83"/>
      <c r="D39" s="83">
        <f>IF(ISNUMBER($D38),IF(TabProjet[[#This Row],[Is Project]] &lt;&gt;"",$D38+1,$D38),1)</f>
        <v>4</v>
      </c>
      <c r="E39" s="83" t="str">
        <f>IF(TabProjet[[#This Row],[Is Project]] &lt;&gt; "","",".")</f>
        <v>.</v>
      </c>
      <c r="F39" s="83">
        <f>IFERROR(IF(TabProjet[[#This Row],[Is Project]]= "",$F38+1,""),1)</f>
        <v>6</v>
      </c>
      <c r="G39" s="20" t="s">
        <v>180</v>
      </c>
      <c r="H39" s="21" t="s">
        <v>103</v>
      </c>
      <c r="I39" s="19" t="s">
        <v>205</v>
      </c>
      <c r="J39" s="23" t="s">
        <v>17</v>
      </c>
      <c r="K39" s="22">
        <v>44985</v>
      </c>
      <c r="L39" s="19">
        <v>2</v>
      </c>
      <c r="M39" s="16">
        <f>IF(TabProjet[[#This Row],[Début]]="","",WORKDAY(IF(WEEKDAY(TabProjet[[#This Row],[Début]],1)=7,TabProjet[[#This Row],[Début]]+2,IF(WEEKDAY(TabProjet[[#This Row],[Début]],1)=1,TabProjet[[#This Row],[Début]]+1,TabProjet[[#This Row],[Début]])),ROUNDUP(TabProjet[[#This Row],[Charge en J]],0)-IF(TabProjet[[#This Row],[Charge en J]] &gt; 0, 1, 0),TabOffDays[Date]))</f>
        <v>44986</v>
      </c>
      <c r="N39" s="25">
        <v>0</v>
      </c>
      <c r="O39" s="33">
        <f>TabProjet[[#This Row],[Début]]+(TabProjet[[#This Row],[Deadline]]-TabProjet[[#This Row],[Début]])*TabProjet[[#This Row],[Progression]]</f>
        <v>44985</v>
      </c>
      <c r="P39" s="17"/>
      <c r="Q39" s="17"/>
      <c r="R39" s="17"/>
      <c r="S39" s="17"/>
      <c r="T39" s="17"/>
      <c r="U39" s="17"/>
      <c r="V39" s="17"/>
      <c r="W39" s="17"/>
      <c r="X39" s="17"/>
      <c r="Y39" s="17"/>
      <c r="Z39" s="17"/>
      <c r="AA39" s="17"/>
      <c r="AB39" s="17"/>
      <c r="AC39" s="17"/>
      <c r="AD39" s="17"/>
      <c r="AE39" s="17"/>
      <c r="AF39" s="17"/>
      <c r="AG39" s="17"/>
      <c r="AH39" s="17"/>
      <c r="AI39" s="17"/>
      <c r="AJ39" s="17"/>
      <c r="AK39" s="17"/>
      <c r="AL39" s="17"/>
      <c r="AM39" s="17"/>
      <c r="AN39" s="17"/>
      <c r="AO39" s="17"/>
      <c r="AP39" s="17"/>
      <c r="AQ39" s="17"/>
      <c r="AR39" s="17"/>
      <c r="AS39" s="17"/>
      <c r="AT39" s="17"/>
      <c r="AU39" s="17"/>
      <c r="AV39" s="17"/>
      <c r="AW39" s="17"/>
      <c r="AX39" s="17"/>
      <c r="AY39" s="17"/>
      <c r="AZ39" s="17"/>
      <c r="BA39" s="17"/>
      <c r="BB39" s="17"/>
      <c r="BC39" s="17"/>
      <c r="BD39" s="17"/>
      <c r="BE39" s="17"/>
      <c r="BF39" s="17"/>
      <c r="BG39" s="17"/>
      <c r="BH39" s="17"/>
      <c r="BI39" s="17"/>
      <c r="BJ39" s="17"/>
      <c r="BK39" s="17"/>
      <c r="BL39" s="17"/>
      <c r="BM39" s="17"/>
      <c r="BN39" s="17"/>
      <c r="BO39" s="17"/>
      <c r="BP39" s="17"/>
      <c r="BQ39" s="17"/>
      <c r="BR39" s="17"/>
      <c r="BS39" s="17"/>
    </row>
    <row r="40" spans="2:71" x14ac:dyDescent="0.3">
      <c r="B40" s="3" t="str">
        <f>TabProjet[[#This Row],[IDProj]] &amp; TabProjet[[#This Row],[Point]] &amp; TabProjet[[#This Row],[IDSubProj]]</f>
        <v>4.7</v>
      </c>
      <c r="C40" s="83"/>
      <c r="D40" s="83">
        <f>IF(ISNUMBER($D39),IF(TabProjet[[#This Row],[Is Project]] &lt;&gt;"",$D39+1,$D39),1)</f>
        <v>4</v>
      </c>
      <c r="E40" s="83" t="str">
        <f>IF(TabProjet[[#This Row],[Is Project]] &lt;&gt; "","",".")</f>
        <v>.</v>
      </c>
      <c r="F40" s="83">
        <f>IFERROR(IF(TabProjet[[#This Row],[Is Project]]= "",$F39+1,""),1)</f>
        <v>7</v>
      </c>
      <c r="G40" s="20" t="s">
        <v>181</v>
      </c>
      <c r="H40" s="21" t="s">
        <v>103</v>
      </c>
      <c r="I40" s="19" t="s">
        <v>206</v>
      </c>
      <c r="J40" s="23" t="s">
        <v>17</v>
      </c>
      <c r="K40" s="22">
        <v>44982</v>
      </c>
      <c r="L40" s="19">
        <v>123</v>
      </c>
      <c r="M40" s="16">
        <f>IF(TabProjet[[#This Row],[Début]]="","",WORKDAY(IF(WEEKDAY(TabProjet[[#This Row],[Début]],1)=7,TabProjet[[#This Row],[Début]]+2,IF(WEEKDAY(TabProjet[[#This Row],[Début]],1)=1,TabProjet[[#This Row],[Début]]+1,TabProjet[[#This Row],[Début]])),ROUNDUP(TabProjet[[#This Row],[Charge en J]],0)-IF(TabProjet[[#This Row],[Charge en J]] &gt; 0, 1, 0),TabOffDays[Date]))</f>
        <v>45163</v>
      </c>
      <c r="N40" s="25">
        <v>1</v>
      </c>
      <c r="O40" s="33">
        <f>TabProjet[[#This Row],[Début]]+(TabProjet[[#This Row],[Deadline]]-TabProjet[[#This Row],[Début]])*TabProjet[[#This Row],[Progression]]</f>
        <v>45163</v>
      </c>
      <c r="P40" s="17"/>
      <c r="Q40" s="17"/>
      <c r="R40" s="17"/>
      <c r="S40" s="17"/>
      <c r="T40" s="17"/>
      <c r="U40" s="17"/>
      <c r="V40" s="17"/>
      <c r="W40" s="17"/>
      <c r="X40" s="17"/>
      <c r="Y40" s="17"/>
      <c r="Z40" s="17"/>
      <c r="AA40" s="17"/>
      <c r="AB40" s="17"/>
      <c r="AC40" s="17"/>
      <c r="AD40" s="17"/>
      <c r="AE40" s="17"/>
      <c r="AF40" s="17"/>
      <c r="AG40" s="17"/>
      <c r="AH40" s="17"/>
      <c r="AI40" s="17"/>
      <c r="AJ40" s="17"/>
      <c r="AK40" s="17"/>
      <c r="AL40" s="17"/>
      <c r="AM40" s="17"/>
      <c r="AN40" s="17"/>
      <c r="AO40" s="17"/>
      <c r="AP40" s="17"/>
      <c r="AQ40" s="17"/>
      <c r="AR40" s="17"/>
      <c r="AS40" s="17"/>
      <c r="AT40" s="17"/>
      <c r="AU40" s="17"/>
      <c r="AV40" s="17"/>
      <c r="AW40" s="17"/>
      <c r="AX40" s="17"/>
      <c r="AY40" s="17"/>
      <c r="AZ40" s="17"/>
      <c r="BA40" s="17"/>
      <c r="BB40" s="17"/>
      <c r="BC40" s="17"/>
      <c r="BD40" s="17"/>
      <c r="BE40" s="17"/>
      <c r="BF40" s="17"/>
      <c r="BG40" s="17"/>
      <c r="BH40" s="17"/>
      <c r="BI40" s="17"/>
      <c r="BJ40" s="17"/>
      <c r="BK40" s="17"/>
      <c r="BL40" s="17"/>
      <c r="BM40" s="17"/>
      <c r="BN40" s="17"/>
      <c r="BO40" s="17"/>
      <c r="BP40" s="17"/>
      <c r="BQ40" s="17"/>
      <c r="BR40" s="17"/>
      <c r="BS40" s="17"/>
    </row>
    <row r="41" spans="2:71" x14ac:dyDescent="0.3">
      <c r="B41" s="3" t="str">
        <f>TabProjet[[#This Row],[IDProj]] &amp; TabProjet[[#This Row],[Point]] &amp; TabProjet[[#This Row],[IDSubProj]]</f>
        <v>4.8</v>
      </c>
      <c r="C41" s="83"/>
      <c r="D41" s="83">
        <f>IF(ISNUMBER($D40),IF(TabProjet[[#This Row],[Is Project]] &lt;&gt;"",$D40+1,$D40),1)</f>
        <v>4</v>
      </c>
      <c r="E41" s="83" t="str">
        <f>IF(TabProjet[[#This Row],[Is Project]] &lt;&gt; "","",".")</f>
        <v>.</v>
      </c>
      <c r="F41" s="83">
        <f>IFERROR(IF(TabProjet[[#This Row],[Is Project]]= "",$F40+1,""),1)</f>
        <v>8</v>
      </c>
      <c r="G41" s="20" t="s">
        <v>182</v>
      </c>
      <c r="H41" s="21" t="s">
        <v>417</v>
      </c>
      <c r="I41" s="19" t="s">
        <v>207</v>
      </c>
      <c r="J41" s="23" t="s">
        <v>17</v>
      </c>
      <c r="K41" s="22">
        <v>44981</v>
      </c>
      <c r="L41" s="19">
        <v>58</v>
      </c>
      <c r="M41" s="16">
        <f>IF(TabProjet[[#This Row],[Début]]="","",WORKDAY(IF(WEEKDAY(TabProjet[[#This Row],[Début]],1)=7,TabProjet[[#This Row],[Début]]+2,IF(WEEKDAY(TabProjet[[#This Row],[Début]],1)=1,TabProjet[[#This Row],[Début]]+1,TabProjet[[#This Row],[Début]])),ROUNDUP(TabProjet[[#This Row],[Charge en J]],0)-IF(TabProjet[[#This Row],[Charge en J]] &gt; 0, 1, 0),TabOffDays[Date]))</f>
        <v>45068</v>
      </c>
      <c r="N41" s="25">
        <v>0.1</v>
      </c>
      <c r="O41" s="33">
        <f>TabProjet[[#This Row],[Début]]+(TabProjet[[#This Row],[Deadline]]-TabProjet[[#This Row],[Début]])*TabProjet[[#This Row],[Progression]]</f>
        <v>44989.7</v>
      </c>
      <c r="P41" s="17"/>
      <c r="Q41" s="17"/>
      <c r="R41" s="17"/>
      <c r="S41" s="17"/>
      <c r="T41" s="17"/>
      <c r="U41" s="17"/>
      <c r="V41" s="17"/>
      <c r="W41" s="17"/>
      <c r="X41" s="17"/>
      <c r="Y41" s="17"/>
      <c r="Z41" s="17"/>
      <c r="AA41" s="17"/>
      <c r="AB41" s="17"/>
      <c r="AC41" s="17"/>
      <c r="AD41" s="17"/>
      <c r="AE41" s="17"/>
      <c r="AF41" s="17"/>
      <c r="AG41" s="17"/>
      <c r="AH41" s="17"/>
      <c r="AI41" s="17"/>
      <c r="AJ41" s="17"/>
      <c r="AK41" s="17"/>
      <c r="AL41" s="17"/>
      <c r="AM41" s="17"/>
      <c r="AN41" s="17"/>
      <c r="AO41" s="17"/>
      <c r="AP41" s="17"/>
      <c r="AQ41" s="17"/>
      <c r="AR41" s="17"/>
      <c r="AS41" s="17"/>
      <c r="AT41" s="17"/>
      <c r="AU41" s="17"/>
      <c r="AV41" s="17"/>
      <c r="AW41" s="17"/>
      <c r="AX41" s="17"/>
      <c r="AY41" s="17"/>
      <c r="AZ41" s="17"/>
      <c r="BA41" s="17"/>
      <c r="BB41" s="17"/>
      <c r="BC41" s="17"/>
      <c r="BD41" s="17"/>
      <c r="BE41" s="17"/>
      <c r="BF41" s="17"/>
      <c r="BG41" s="17"/>
      <c r="BH41" s="17"/>
      <c r="BI41" s="17"/>
      <c r="BJ41" s="17"/>
      <c r="BK41" s="17"/>
      <c r="BL41" s="17"/>
      <c r="BM41" s="17"/>
      <c r="BN41" s="17"/>
      <c r="BO41" s="17"/>
      <c r="BP41" s="17"/>
      <c r="BQ41" s="17"/>
      <c r="BR41" s="17"/>
      <c r="BS41" s="17"/>
    </row>
    <row r="42" spans="2:71" x14ac:dyDescent="0.3">
      <c r="B42" s="3" t="str">
        <f>TabProjet[[#This Row],[IDProj]] &amp; TabProjet[[#This Row],[Point]] &amp; TabProjet[[#This Row],[IDSubProj]]</f>
        <v>4.9</v>
      </c>
      <c r="C42" s="83"/>
      <c r="D42" s="83">
        <f>IF(ISNUMBER($D41),IF(TabProjet[[#This Row],[Is Project]] &lt;&gt;"",$D41+1,$D41),1)</f>
        <v>4</v>
      </c>
      <c r="E42" s="83" t="str">
        <f>IF(TabProjet[[#This Row],[Is Project]] &lt;&gt; "","",".")</f>
        <v>.</v>
      </c>
      <c r="F42" s="83">
        <f>IFERROR(IF(TabProjet[[#This Row],[Is Project]]= "",$F41+1,""),1)</f>
        <v>9</v>
      </c>
      <c r="G42" s="20" t="s">
        <v>183</v>
      </c>
      <c r="H42" s="21" t="s">
        <v>103</v>
      </c>
      <c r="I42" s="19" t="s">
        <v>208</v>
      </c>
      <c r="J42" s="23" t="s">
        <v>19</v>
      </c>
      <c r="K42" s="22">
        <v>44980</v>
      </c>
      <c r="L42" s="19">
        <v>27</v>
      </c>
      <c r="M42" s="16">
        <f>IF(TabProjet[[#This Row],[Début]]="","",WORKDAY(IF(WEEKDAY(TabProjet[[#This Row],[Début]],1)=7,TabProjet[[#This Row],[Début]]+2,IF(WEEKDAY(TabProjet[[#This Row],[Début]],1)=1,TabProjet[[#This Row],[Début]]+1,TabProjet[[#This Row],[Début]])),ROUNDUP(TabProjet[[#This Row],[Charge en J]],0)-IF(TabProjet[[#This Row],[Charge en J]] &gt; 0, 1, 0),TabOffDays[Date]))</f>
        <v>45016</v>
      </c>
      <c r="N42" s="25">
        <v>0</v>
      </c>
      <c r="O42" s="33">
        <f>TabProjet[[#This Row],[Début]]+(TabProjet[[#This Row],[Deadline]]-TabProjet[[#This Row],[Début]])*TabProjet[[#This Row],[Progression]]</f>
        <v>44980</v>
      </c>
      <c r="P42" s="17"/>
      <c r="Q42" s="17"/>
      <c r="R42" s="17"/>
      <c r="S42" s="17"/>
      <c r="T42" s="17"/>
      <c r="U42" s="17"/>
      <c r="V42" s="17"/>
      <c r="W42" s="17"/>
      <c r="X42" s="17"/>
      <c r="Y42" s="17"/>
      <c r="Z42" s="17"/>
      <c r="AA42" s="17"/>
      <c r="AB42" s="17"/>
      <c r="AC42" s="17"/>
      <c r="AD42" s="17"/>
      <c r="AE42" s="17"/>
      <c r="AF42" s="17"/>
      <c r="AG42" s="17"/>
      <c r="AH42" s="17"/>
      <c r="AI42" s="17"/>
      <c r="AJ42" s="17"/>
      <c r="AK42" s="17"/>
      <c r="AL42" s="17"/>
      <c r="AM42" s="17"/>
      <c r="AN42" s="17"/>
      <c r="AO42" s="17"/>
      <c r="AP42" s="17"/>
      <c r="AQ42" s="17"/>
      <c r="AR42" s="17"/>
      <c r="AS42" s="17"/>
      <c r="AT42" s="17"/>
      <c r="AU42" s="17"/>
      <c r="AV42" s="17"/>
      <c r="AW42" s="17"/>
      <c r="AX42" s="17"/>
      <c r="AY42" s="17"/>
      <c r="AZ42" s="17"/>
      <c r="BA42" s="17"/>
      <c r="BB42" s="17"/>
      <c r="BC42" s="17"/>
      <c r="BD42" s="17"/>
      <c r="BE42" s="17"/>
      <c r="BF42" s="17"/>
      <c r="BG42" s="17"/>
      <c r="BH42" s="17"/>
      <c r="BI42" s="17"/>
      <c r="BJ42" s="17"/>
      <c r="BK42" s="17"/>
      <c r="BL42" s="17"/>
      <c r="BM42" s="17"/>
      <c r="BN42" s="17"/>
      <c r="BO42" s="17"/>
      <c r="BP42" s="17"/>
      <c r="BQ42" s="17"/>
      <c r="BR42" s="17"/>
      <c r="BS42" s="17"/>
    </row>
    <row r="43" spans="2:71" x14ac:dyDescent="0.3">
      <c r="B43" s="3" t="str">
        <f>TabProjet[[#This Row],[IDProj]] &amp; TabProjet[[#This Row],[Point]] &amp; TabProjet[[#This Row],[IDSubProj]]</f>
        <v>4.10</v>
      </c>
      <c r="C43" s="83"/>
      <c r="D43" s="83">
        <f>IF(ISNUMBER($D42),IF(TabProjet[[#This Row],[Is Project]] &lt;&gt;"",$D42+1,$D42),1)</f>
        <v>4</v>
      </c>
      <c r="E43" s="83" t="str">
        <f>IF(TabProjet[[#This Row],[Is Project]] &lt;&gt; "","",".")</f>
        <v>.</v>
      </c>
      <c r="F43" s="83">
        <f>IFERROR(IF(TabProjet[[#This Row],[Is Project]]= "",$F42+1,""),1)</f>
        <v>10</v>
      </c>
      <c r="G43" s="20" t="s">
        <v>184</v>
      </c>
      <c r="H43" s="21" t="s">
        <v>417</v>
      </c>
      <c r="I43" s="19" t="s">
        <v>209</v>
      </c>
      <c r="J43" s="23" t="s">
        <v>17</v>
      </c>
      <c r="K43" s="22">
        <v>44959</v>
      </c>
      <c r="L43" s="19">
        <v>3</v>
      </c>
      <c r="M43" s="16">
        <f>IF(TabProjet[[#This Row],[Début]]="","",WORKDAY(IF(WEEKDAY(TabProjet[[#This Row],[Début]],1)=7,TabProjet[[#This Row],[Début]]+2,IF(WEEKDAY(TabProjet[[#This Row],[Début]],1)=1,TabProjet[[#This Row],[Début]]+1,TabProjet[[#This Row],[Début]])),ROUNDUP(TabProjet[[#This Row],[Charge en J]],0)-IF(TabProjet[[#This Row],[Charge en J]] &gt; 0, 1, 0),TabOffDays[Date]))</f>
        <v>44963</v>
      </c>
      <c r="N43" s="25">
        <v>0</v>
      </c>
      <c r="O43" s="33">
        <f>TabProjet[[#This Row],[Début]]+(TabProjet[[#This Row],[Deadline]]-TabProjet[[#This Row],[Début]])*TabProjet[[#This Row],[Progression]]</f>
        <v>44959</v>
      </c>
      <c r="P43" s="17"/>
      <c r="Q43" s="17"/>
      <c r="R43" s="17"/>
      <c r="S43" s="17"/>
      <c r="T43" s="17"/>
      <c r="U43" s="17"/>
      <c r="V43" s="17"/>
      <c r="W43" s="17"/>
      <c r="X43" s="17"/>
      <c r="Y43" s="17"/>
      <c r="Z43" s="17"/>
      <c r="AA43" s="17"/>
      <c r="AB43" s="17"/>
      <c r="AC43" s="17"/>
      <c r="AD43" s="17"/>
      <c r="AE43" s="17"/>
      <c r="AF43" s="17"/>
      <c r="AG43" s="17"/>
      <c r="AH43" s="17"/>
      <c r="AI43" s="17"/>
      <c r="AJ43" s="17"/>
      <c r="AK43" s="17"/>
      <c r="AL43" s="17"/>
      <c r="AM43" s="17"/>
      <c r="AN43" s="17"/>
      <c r="AO43" s="17"/>
      <c r="AP43" s="17"/>
      <c r="AQ43" s="17"/>
      <c r="AR43" s="17"/>
      <c r="AS43" s="17"/>
      <c r="AT43" s="17"/>
      <c r="AU43" s="17"/>
      <c r="AV43" s="17"/>
      <c r="AW43" s="17"/>
      <c r="AX43" s="17"/>
      <c r="AY43" s="17"/>
      <c r="AZ43" s="17"/>
      <c r="BA43" s="17"/>
      <c r="BB43" s="17"/>
      <c r="BC43" s="17"/>
      <c r="BD43" s="17"/>
      <c r="BE43" s="17"/>
      <c r="BF43" s="17"/>
      <c r="BG43" s="17"/>
      <c r="BH43" s="17"/>
      <c r="BI43" s="17"/>
      <c r="BJ43" s="17"/>
      <c r="BK43" s="17"/>
      <c r="BL43" s="17"/>
      <c r="BM43" s="17"/>
      <c r="BN43" s="17"/>
      <c r="BO43" s="17"/>
      <c r="BP43" s="17"/>
      <c r="BQ43" s="17"/>
      <c r="BR43" s="17"/>
      <c r="BS43" s="17"/>
    </row>
    <row r="44" spans="2:71" x14ac:dyDescent="0.3">
      <c r="B44" s="3" t="str">
        <f>TabProjet[[#This Row],[IDProj]] &amp; TabProjet[[#This Row],[Point]] &amp; TabProjet[[#This Row],[IDSubProj]]</f>
        <v>4.11</v>
      </c>
      <c r="C44" s="83"/>
      <c r="D44" s="83">
        <f>IF(ISNUMBER($D43),IF(TabProjet[[#This Row],[Is Project]] &lt;&gt;"",$D43+1,$D43),1)</f>
        <v>4</v>
      </c>
      <c r="E44" s="83" t="str">
        <f>IF(TabProjet[[#This Row],[Is Project]] &lt;&gt; "","",".")</f>
        <v>.</v>
      </c>
      <c r="F44" s="83">
        <f>IFERROR(IF(TabProjet[[#This Row],[Is Project]]= "",$F43+1,""),1)</f>
        <v>11</v>
      </c>
      <c r="G44" s="20" t="s">
        <v>185</v>
      </c>
      <c r="H44" s="21" t="s">
        <v>103</v>
      </c>
      <c r="I44" s="19" t="s">
        <v>210</v>
      </c>
      <c r="J44" s="23" t="s">
        <v>23</v>
      </c>
      <c r="K44" s="22">
        <v>44978</v>
      </c>
      <c r="L44" s="19">
        <v>1</v>
      </c>
      <c r="M44" s="16">
        <f>IF(TabProjet[[#This Row],[Début]]="","",WORKDAY(IF(WEEKDAY(TabProjet[[#This Row],[Début]],1)=7,TabProjet[[#This Row],[Début]]+2,IF(WEEKDAY(TabProjet[[#This Row],[Début]],1)=1,TabProjet[[#This Row],[Début]]+1,TabProjet[[#This Row],[Début]])),ROUNDUP(TabProjet[[#This Row],[Charge en J]],0)-IF(TabProjet[[#This Row],[Charge en J]] &gt; 0, 1, 0),TabOffDays[Date]))</f>
        <v>44978</v>
      </c>
      <c r="N44" s="25">
        <v>0</v>
      </c>
      <c r="O44" s="33">
        <f>TabProjet[[#This Row],[Début]]+(TabProjet[[#This Row],[Deadline]]-TabProjet[[#This Row],[Début]])*TabProjet[[#This Row],[Progression]]</f>
        <v>44978</v>
      </c>
      <c r="P44" s="17"/>
      <c r="Q44" s="17"/>
      <c r="R44" s="17"/>
      <c r="S44" s="17"/>
      <c r="T44" s="17"/>
      <c r="U44" s="17"/>
      <c r="V44" s="17"/>
      <c r="W44" s="17"/>
      <c r="X44" s="17"/>
      <c r="Y44" s="17"/>
      <c r="Z44" s="17"/>
      <c r="AA44" s="17"/>
      <c r="AB44" s="17"/>
      <c r="AC44" s="17"/>
      <c r="AD44" s="17"/>
      <c r="AE44" s="17"/>
      <c r="AF44" s="17"/>
      <c r="AG44" s="17"/>
      <c r="AH44" s="17"/>
      <c r="AI44" s="17"/>
      <c r="AJ44" s="17"/>
      <c r="AK44" s="17"/>
      <c r="AL44" s="17"/>
      <c r="AM44" s="17"/>
      <c r="AN44" s="17"/>
      <c r="AO44" s="17"/>
      <c r="AP44" s="17"/>
      <c r="AQ44" s="17"/>
      <c r="AR44" s="17"/>
      <c r="AS44" s="17"/>
      <c r="AT44" s="17"/>
      <c r="AU44" s="17"/>
      <c r="AV44" s="17"/>
      <c r="AW44" s="17"/>
      <c r="AX44" s="17"/>
      <c r="AY44" s="17"/>
      <c r="AZ44" s="17"/>
      <c r="BA44" s="17"/>
      <c r="BB44" s="17"/>
      <c r="BC44" s="17"/>
      <c r="BD44" s="17"/>
      <c r="BE44" s="17"/>
      <c r="BF44" s="17"/>
      <c r="BG44" s="17"/>
      <c r="BH44" s="17"/>
      <c r="BI44" s="17"/>
      <c r="BJ44" s="17"/>
      <c r="BK44" s="17"/>
      <c r="BL44" s="17"/>
      <c r="BM44" s="17"/>
      <c r="BN44" s="17"/>
      <c r="BO44" s="17"/>
      <c r="BP44" s="17"/>
      <c r="BQ44" s="17"/>
      <c r="BR44" s="17"/>
      <c r="BS44" s="17"/>
    </row>
    <row r="45" spans="2:71" x14ac:dyDescent="0.3">
      <c r="B45" s="3" t="str">
        <f>TabProjet[[#This Row],[IDProj]] &amp; TabProjet[[#This Row],[Point]] &amp; TabProjet[[#This Row],[IDSubProj]]</f>
        <v>4.12</v>
      </c>
      <c r="C45" s="83"/>
      <c r="D45" s="83">
        <f>IF(ISNUMBER($D44),IF(TabProjet[[#This Row],[Is Project]] &lt;&gt;"",$D44+1,$D44),1)</f>
        <v>4</v>
      </c>
      <c r="E45" s="83" t="str">
        <f>IF(TabProjet[[#This Row],[Is Project]] &lt;&gt; "","",".")</f>
        <v>.</v>
      </c>
      <c r="F45" s="83">
        <f>IFERROR(IF(TabProjet[[#This Row],[Is Project]]= "",$F44+1,""),1)</f>
        <v>12</v>
      </c>
      <c r="G45" s="20" t="s">
        <v>186</v>
      </c>
      <c r="H45" s="21" t="s">
        <v>103</v>
      </c>
      <c r="I45" s="19" t="s">
        <v>211</v>
      </c>
      <c r="J45" s="23" t="s">
        <v>24</v>
      </c>
      <c r="K45" s="22">
        <v>44975</v>
      </c>
      <c r="L45" s="19">
        <v>53</v>
      </c>
      <c r="M45" s="16">
        <f>IF(TabProjet[[#This Row],[Début]]="","",WORKDAY(IF(WEEKDAY(TabProjet[[#This Row],[Début]],1)=7,TabProjet[[#This Row],[Début]]+2,IF(WEEKDAY(TabProjet[[#This Row],[Début]],1)=1,TabProjet[[#This Row],[Début]]+1,TabProjet[[#This Row],[Début]])),ROUNDUP(TabProjet[[#This Row],[Charge en J]],0)-IF(TabProjet[[#This Row],[Charge en J]] &gt; 0, 1, 0),TabOffDays[Date]))</f>
        <v>45051</v>
      </c>
      <c r="N45" s="25">
        <v>1</v>
      </c>
      <c r="O45" s="33">
        <f>TabProjet[[#This Row],[Début]]+(TabProjet[[#This Row],[Deadline]]-TabProjet[[#This Row],[Début]])*TabProjet[[#This Row],[Progression]]</f>
        <v>45051</v>
      </c>
      <c r="P45" s="17"/>
      <c r="Q45" s="17"/>
      <c r="R45" s="17"/>
      <c r="S45" s="17"/>
      <c r="T45" s="17"/>
      <c r="U45" s="17"/>
      <c r="V45" s="17"/>
      <c r="W45" s="17"/>
      <c r="X45" s="17"/>
      <c r="Y45" s="17"/>
      <c r="Z45" s="17"/>
      <c r="AA45" s="17"/>
      <c r="AB45" s="17"/>
      <c r="AC45" s="17"/>
      <c r="AD45" s="17"/>
      <c r="AE45" s="17"/>
      <c r="AF45" s="17"/>
      <c r="AG45" s="17"/>
      <c r="AH45" s="17"/>
      <c r="AI45" s="17"/>
      <c r="AJ45" s="17"/>
      <c r="AK45" s="17"/>
      <c r="AL45" s="17"/>
      <c r="AM45" s="17"/>
      <c r="AN45" s="17"/>
      <c r="AO45" s="17"/>
      <c r="AP45" s="17"/>
      <c r="AQ45" s="17"/>
      <c r="AR45" s="17"/>
      <c r="AS45" s="17"/>
      <c r="AT45" s="17"/>
      <c r="AU45" s="17"/>
      <c r="AV45" s="17"/>
      <c r="AW45" s="17"/>
      <c r="AX45" s="17"/>
      <c r="AY45" s="17"/>
      <c r="AZ45" s="17"/>
      <c r="BA45" s="17"/>
      <c r="BB45" s="17"/>
      <c r="BC45" s="17"/>
      <c r="BD45" s="17"/>
      <c r="BE45" s="17"/>
      <c r="BF45" s="17"/>
      <c r="BG45" s="17"/>
      <c r="BH45" s="17"/>
      <c r="BI45" s="17"/>
      <c r="BJ45" s="17"/>
      <c r="BK45" s="17"/>
      <c r="BL45" s="17"/>
      <c r="BM45" s="17"/>
      <c r="BN45" s="17"/>
      <c r="BO45" s="17"/>
      <c r="BP45" s="17"/>
      <c r="BQ45" s="17"/>
      <c r="BR45" s="17"/>
      <c r="BS45" s="17"/>
    </row>
    <row r="46" spans="2:71" x14ac:dyDescent="0.3">
      <c r="B46" s="3" t="str">
        <f>TabProjet[[#This Row],[IDProj]] &amp; TabProjet[[#This Row],[Point]] &amp; TabProjet[[#This Row],[IDSubProj]]</f>
        <v>4.13</v>
      </c>
      <c r="C46" s="83"/>
      <c r="D46" s="83">
        <f>IF(ISNUMBER($D45),IF(TabProjet[[#This Row],[Is Project]] &lt;&gt;"",$D45+1,$D45),1)</f>
        <v>4</v>
      </c>
      <c r="E46" s="83" t="str">
        <f>IF(TabProjet[[#This Row],[Is Project]] &lt;&gt; "","",".")</f>
        <v>.</v>
      </c>
      <c r="F46" s="83">
        <f>IFERROR(IF(TabProjet[[#This Row],[Is Project]]= "",$F45+1,""),1)</f>
        <v>13</v>
      </c>
      <c r="G46" s="20" t="s">
        <v>187</v>
      </c>
      <c r="H46" s="21" t="s">
        <v>417</v>
      </c>
      <c r="I46" s="19" t="s">
        <v>212</v>
      </c>
      <c r="J46" s="23" t="s">
        <v>25</v>
      </c>
      <c r="K46" s="22">
        <v>45028</v>
      </c>
      <c r="L46" s="19">
        <v>51</v>
      </c>
      <c r="M46" s="16">
        <f>IF(TabProjet[[#This Row],[Début]]="","",WORKDAY(IF(WEEKDAY(TabProjet[[#This Row],[Début]],1)=7,TabProjet[[#This Row],[Début]]+2,IF(WEEKDAY(TabProjet[[#This Row],[Début]],1)=1,TabProjet[[#This Row],[Début]]+1,TabProjet[[#This Row],[Début]])),ROUNDUP(TabProjet[[#This Row],[Charge en J]],0)-IF(TabProjet[[#This Row],[Charge en J]] &gt; 0, 1, 0),TabOffDays[Date]))</f>
        <v>45104</v>
      </c>
      <c r="N46" s="25">
        <v>1</v>
      </c>
      <c r="O46" s="33">
        <f>TabProjet[[#This Row],[Début]]+(TabProjet[[#This Row],[Deadline]]-TabProjet[[#This Row],[Début]])*TabProjet[[#This Row],[Progression]]</f>
        <v>45104</v>
      </c>
      <c r="P46" s="17"/>
      <c r="Q46" s="17"/>
      <c r="R46" s="17"/>
      <c r="S46" s="17"/>
      <c r="T46" s="17"/>
      <c r="U46" s="17"/>
      <c r="V46" s="17"/>
      <c r="W46" s="17"/>
      <c r="X46" s="17"/>
      <c r="Y46" s="17"/>
      <c r="Z46" s="17"/>
      <c r="AA46" s="17"/>
      <c r="AB46" s="17"/>
      <c r="AC46" s="17"/>
      <c r="AD46" s="17"/>
      <c r="AE46" s="17"/>
      <c r="AF46" s="17"/>
      <c r="AG46" s="17"/>
      <c r="AH46" s="17"/>
      <c r="AI46" s="17"/>
      <c r="AJ46" s="17"/>
      <c r="AK46" s="17"/>
      <c r="AL46" s="17"/>
      <c r="AM46" s="17"/>
      <c r="AN46" s="17"/>
      <c r="AO46" s="17"/>
      <c r="AP46" s="17"/>
      <c r="AQ46" s="17"/>
      <c r="AR46" s="17"/>
      <c r="AS46" s="17"/>
      <c r="AT46" s="17"/>
      <c r="AU46" s="17"/>
      <c r="AV46" s="17"/>
      <c r="AW46" s="17"/>
      <c r="AX46" s="17"/>
      <c r="AY46" s="17"/>
      <c r="AZ46" s="17"/>
      <c r="BA46" s="17"/>
      <c r="BB46" s="17"/>
      <c r="BC46" s="17"/>
      <c r="BD46" s="17"/>
      <c r="BE46" s="17"/>
      <c r="BF46" s="17"/>
      <c r="BG46" s="17"/>
      <c r="BH46" s="17"/>
      <c r="BI46" s="17"/>
      <c r="BJ46" s="17"/>
      <c r="BK46" s="17"/>
      <c r="BL46" s="17"/>
      <c r="BM46" s="17"/>
      <c r="BN46" s="17"/>
      <c r="BO46" s="17"/>
      <c r="BP46" s="17"/>
      <c r="BQ46" s="17"/>
      <c r="BR46" s="17"/>
      <c r="BS46" s="17"/>
    </row>
    <row r="47" spans="2:71" x14ac:dyDescent="0.3">
      <c r="B47" s="3" t="str">
        <f>TabProjet[[#This Row],[IDProj]] &amp; TabProjet[[#This Row],[Point]] &amp; TabProjet[[#This Row],[IDSubProj]]</f>
        <v>4.14</v>
      </c>
      <c r="C47" s="83"/>
      <c r="D47" s="83">
        <f>IF(ISNUMBER($D46),IF(TabProjet[[#This Row],[Is Project]] &lt;&gt;"",$D46+1,$D46),1)</f>
        <v>4</v>
      </c>
      <c r="E47" s="83" t="str">
        <f>IF(TabProjet[[#This Row],[Is Project]] &lt;&gt; "","",".")</f>
        <v>.</v>
      </c>
      <c r="F47" s="83">
        <f>IFERROR(IF(TabProjet[[#This Row],[Is Project]]= "",$F46+1,""),1)</f>
        <v>14</v>
      </c>
      <c r="G47" s="20" t="s">
        <v>188</v>
      </c>
      <c r="H47" s="21" t="s">
        <v>417</v>
      </c>
      <c r="I47" s="19" t="s">
        <v>213</v>
      </c>
      <c r="J47" s="23" t="s">
        <v>11</v>
      </c>
      <c r="K47" s="22">
        <v>45079</v>
      </c>
      <c r="L47" s="19">
        <v>53</v>
      </c>
      <c r="M47" s="16">
        <f>IF(TabProjet[[#This Row],[Début]]="","",WORKDAY(IF(WEEKDAY(TabProjet[[#This Row],[Début]],1)=7,TabProjet[[#This Row],[Début]]+2,IF(WEEKDAY(TabProjet[[#This Row],[Début]],1)=1,TabProjet[[#This Row],[Début]]+1,TabProjet[[#This Row],[Début]])),ROUNDUP(TabProjet[[#This Row],[Charge en J]],0)-IF(TabProjet[[#This Row],[Charge en J]] &gt; 0, 1, 0),TabOffDays[Date]))</f>
        <v>45155</v>
      </c>
      <c r="N47" s="25">
        <v>0.15</v>
      </c>
      <c r="O47" s="33">
        <f>TabProjet[[#This Row],[Début]]+(TabProjet[[#This Row],[Deadline]]-TabProjet[[#This Row],[Début]])*TabProjet[[#This Row],[Progression]]</f>
        <v>45090.400000000001</v>
      </c>
      <c r="P47" s="17"/>
      <c r="Q47" s="17"/>
      <c r="R47" s="17"/>
      <c r="S47" s="17"/>
      <c r="T47" s="17"/>
      <c r="U47" s="17"/>
      <c r="V47" s="17"/>
      <c r="W47" s="17"/>
      <c r="X47" s="17"/>
      <c r="Y47" s="17"/>
      <c r="Z47" s="17"/>
      <c r="AA47" s="17"/>
      <c r="AB47" s="17"/>
      <c r="AC47" s="17"/>
      <c r="AD47" s="17"/>
      <c r="AE47" s="17"/>
      <c r="AF47" s="17"/>
      <c r="AG47" s="17"/>
      <c r="AH47" s="17"/>
      <c r="AI47" s="17"/>
      <c r="AJ47" s="17"/>
      <c r="AK47" s="17"/>
      <c r="AL47" s="17"/>
      <c r="AM47" s="17"/>
      <c r="AN47" s="17"/>
      <c r="AO47" s="17"/>
      <c r="AP47" s="17"/>
      <c r="AQ47" s="17"/>
      <c r="AR47" s="17"/>
      <c r="AS47" s="17"/>
      <c r="AT47" s="17"/>
      <c r="AU47" s="17"/>
      <c r="AV47" s="17"/>
      <c r="AW47" s="17"/>
      <c r="AX47" s="17"/>
      <c r="AY47" s="17"/>
      <c r="AZ47" s="17"/>
      <c r="BA47" s="17"/>
      <c r="BB47" s="17"/>
      <c r="BC47" s="17"/>
      <c r="BD47" s="17"/>
      <c r="BE47" s="17"/>
      <c r="BF47" s="17"/>
      <c r="BG47" s="17"/>
      <c r="BH47" s="17"/>
      <c r="BI47" s="17"/>
      <c r="BJ47" s="17"/>
      <c r="BK47" s="17"/>
      <c r="BL47" s="17"/>
      <c r="BM47" s="17"/>
      <c r="BN47" s="17"/>
      <c r="BO47" s="17"/>
      <c r="BP47" s="17"/>
      <c r="BQ47" s="17"/>
      <c r="BR47" s="17"/>
      <c r="BS47" s="17"/>
    </row>
    <row r="48" spans="2:71" x14ac:dyDescent="0.3">
      <c r="B48" s="3" t="str">
        <f>TabProjet[[#This Row],[IDProj]] &amp; TabProjet[[#This Row],[Point]] &amp; TabProjet[[#This Row],[IDSubProj]]</f>
        <v>4.15</v>
      </c>
      <c r="C48" s="83"/>
      <c r="D48" s="83">
        <f>IF(ISNUMBER($D47),IF(TabProjet[[#This Row],[Is Project]] &lt;&gt;"",$D47+1,$D47),1)</f>
        <v>4</v>
      </c>
      <c r="E48" s="83" t="str">
        <f>IF(TabProjet[[#This Row],[Is Project]] &lt;&gt; "","",".")</f>
        <v>.</v>
      </c>
      <c r="F48" s="83">
        <f>IFERROR(IF(TabProjet[[#This Row],[Is Project]]= "",$F47+1,""),1)</f>
        <v>15</v>
      </c>
      <c r="G48" s="20" t="s">
        <v>189</v>
      </c>
      <c r="H48" s="21" t="s">
        <v>103</v>
      </c>
      <c r="I48" s="19" t="s">
        <v>214</v>
      </c>
      <c r="J48" s="23" t="s">
        <v>18</v>
      </c>
      <c r="K48" s="22">
        <v>45132</v>
      </c>
      <c r="L48" s="19">
        <v>3</v>
      </c>
      <c r="M48" s="16">
        <f>IF(TabProjet[[#This Row],[Début]]="","",WORKDAY(IF(WEEKDAY(TabProjet[[#This Row],[Début]],1)=7,TabProjet[[#This Row],[Début]]+2,IF(WEEKDAY(TabProjet[[#This Row],[Début]],1)=1,TabProjet[[#This Row],[Début]]+1,TabProjet[[#This Row],[Début]])),ROUNDUP(TabProjet[[#This Row],[Charge en J]],0)-IF(TabProjet[[#This Row],[Charge en J]] &gt; 0, 1, 0),TabOffDays[Date]))</f>
        <v>45134</v>
      </c>
      <c r="N48" s="25">
        <v>0.5</v>
      </c>
      <c r="O48" s="33">
        <f>TabProjet[[#This Row],[Début]]+(TabProjet[[#This Row],[Deadline]]-TabProjet[[#This Row],[Début]])*TabProjet[[#This Row],[Progression]]</f>
        <v>45133</v>
      </c>
      <c r="P48" s="17"/>
      <c r="Q48" s="17"/>
      <c r="R48" s="17"/>
      <c r="S48" s="17"/>
      <c r="T48" s="17"/>
      <c r="U48" s="17"/>
      <c r="V48" s="17"/>
      <c r="W48" s="17"/>
      <c r="X48" s="17"/>
      <c r="Y48" s="17"/>
      <c r="Z48" s="17"/>
      <c r="AA48" s="17"/>
      <c r="AB48" s="17"/>
      <c r="AC48" s="17"/>
      <c r="AD48" s="17"/>
      <c r="AE48" s="17"/>
      <c r="AF48" s="17"/>
      <c r="AG48" s="17"/>
      <c r="AH48" s="17"/>
      <c r="AI48" s="17"/>
      <c r="AJ48" s="17"/>
      <c r="AK48" s="17"/>
      <c r="AL48" s="17"/>
      <c r="AM48" s="17"/>
      <c r="AN48" s="17"/>
      <c r="AO48" s="17"/>
      <c r="AP48" s="17"/>
      <c r="AQ48" s="17"/>
      <c r="AR48" s="17"/>
      <c r="AS48" s="17"/>
      <c r="AT48" s="17"/>
      <c r="AU48" s="17"/>
      <c r="AV48" s="17"/>
      <c r="AW48" s="17"/>
      <c r="AX48" s="17"/>
      <c r="AY48" s="17"/>
      <c r="AZ48" s="17"/>
      <c r="BA48" s="17"/>
      <c r="BB48" s="17"/>
      <c r="BC48" s="17"/>
      <c r="BD48" s="17"/>
      <c r="BE48" s="17"/>
      <c r="BF48" s="17"/>
      <c r="BG48" s="17"/>
      <c r="BH48" s="17"/>
      <c r="BI48" s="17"/>
      <c r="BJ48" s="17"/>
      <c r="BK48" s="17"/>
      <c r="BL48" s="17"/>
      <c r="BM48" s="17"/>
      <c r="BN48" s="17"/>
      <c r="BO48" s="17"/>
      <c r="BP48" s="17"/>
      <c r="BQ48" s="17"/>
      <c r="BR48" s="17"/>
      <c r="BS48" s="17"/>
    </row>
    <row r="49" spans="2:71" x14ac:dyDescent="0.3">
      <c r="B49" s="3" t="str">
        <f>TabProjet[[#This Row],[IDProj]] &amp; TabProjet[[#This Row],[Point]] &amp; TabProjet[[#This Row],[IDSubProj]]</f>
        <v>5</v>
      </c>
      <c r="C49" s="83" t="s">
        <v>27</v>
      </c>
      <c r="D49" s="83">
        <f>IF(ISNUMBER($D48),IF(TabProjet[[#This Row],[Is Project]] &lt;&gt;"",$D48+1,$D48),1)</f>
        <v>5</v>
      </c>
      <c r="E49" s="83" t="str">
        <f>IF(TabProjet[[#This Row],[Is Project]] &lt;&gt; "","",".")</f>
        <v/>
      </c>
      <c r="F49" s="83" t="str">
        <f>IFERROR(IF(TabProjet[[#This Row],[Is Project]]= "",$F48+1,""),1)</f>
        <v/>
      </c>
      <c r="G49" s="20" t="s">
        <v>190</v>
      </c>
      <c r="H49" s="21"/>
      <c r="I49" s="19" t="s">
        <v>215</v>
      </c>
      <c r="J49" s="23" t="s">
        <v>14</v>
      </c>
      <c r="K49" s="22">
        <f ca="1">IFERROR(MinStartDate(TabProjet[[#This Row],[ID]]), "")</f>
        <v>45109</v>
      </c>
      <c r="L49" s="19">
        <f>IFERROR(SUMIFS(TabProjet[Charge en J],TabProjet[Is Project],"",TabProjet[IDProj],TabProjet[[#This Row],[IDProj]]), "")</f>
        <v>126</v>
      </c>
      <c r="M49" s="16">
        <f ca="1">IFERROR(MaxDeadlineDate(TabProjet[[#This Row],[ID]]), "")</f>
        <v>45203</v>
      </c>
      <c r="N49" s="25">
        <f>IFERROR(AVERAGEIFS(TabProjet[Progression],TabProjet[Is Project],"",TabProjet[IDProj],TabProjet[[#This Row],[IDProj]]), 0)</f>
        <v>0.35500000000000004</v>
      </c>
      <c r="O49" s="33">
        <f ca="1">TabProjet[[#This Row],[Début]]+(TabProjet[[#This Row],[Deadline]]-TabProjet[[#This Row],[Début]])*TabProjet[[#This Row],[Progression]]</f>
        <v>45142.37</v>
      </c>
      <c r="P49" s="17"/>
      <c r="Q49" s="17"/>
      <c r="R49" s="17"/>
      <c r="S49" s="17"/>
      <c r="T49" s="17"/>
      <c r="U49" s="17"/>
      <c r="V49" s="17"/>
      <c r="W49" s="17"/>
      <c r="X49" s="17"/>
      <c r="Y49" s="17"/>
      <c r="Z49" s="17"/>
      <c r="AA49" s="17"/>
      <c r="AB49" s="17"/>
      <c r="AC49" s="17"/>
      <c r="AD49" s="17"/>
      <c r="AE49" s="17"/>
      <c r="AF49" s="17"/>
      <c r="AG49" s="17"/>
      <c r="AH49" s="17"/>
      <c r="AI49" s="17"/>
      <c r="AJ49" s="17"/>
      <c r="AK49" s="17"/>
      <c r="AL49" s="17"/>
      <c r="AM49" s="17"/>
      <c r="AN49" s="17"/>
      <c r="AO49" s="17"/>
      <c r="AP49" s="17"/>
      <c r="AQ49" s="17"/>
      <c r="AR49" s="17"/>
      <c r="AS49" s="17"/>
      <c r="AT49" s="17"/>
      <c r="AU49" s="17"/>
      <c r="AV49" s="17"/>
      <c r="AW49" s="17"/>
      <c r="AX49" s="17"/>
      <c r="AY49" s="17"/>
      <c r="AZ49" s="17"/>
      <c r="BA49" s="17"/>
      <c r="BB49" s="17"/>
      <c r="BC49" s="17"/>
      <c r="BD49" s="17"/>
      <c r="BE49" s="17"/>
      <c r="BF49" s="17"/>
      <c r="BG49" s="17"/>
      <c r="BH49" s="17"/>
      <c r="BI49" s="17"/>
      <c r="BJ49" s="17"/>
      <c r="BK49" s="17"/>
      <c r="BL49" s="17"/>
      <c r="BM49" s="17"/>
      <c r="BN49" s="17"/>
      <c r="BO49" s="17"/>
      <c r="BP49" s="17"/>
      <c r="BQ49" s="17"/>
      <c r="BR49" s="17"/>
      <c r="BS49" s="17"/>
    </row>
    <row r="50" spans="2:71" x14ac:dyDescent="0.3">
      <c r="B50" s="3" t="str">
        <f>TabProjet[[#This Row],[IDProj]] &amp; TabProjet[[#This Row],[Point]] &amp; TabProjet[[#This Row],[IDSubProj]]</f>
        <v>5.1</v>
      </c>
      <c r="C50" s="83"/>
      <c r="D50" s="83">
        <f>IF(ISNUMBER($D49),IF(TabProjet[[#This Row],[Is Project]] &lt;&gt;"",$D49+1,$D49),1)</f>
        <v>5</v>
      </c>
      <c r="E50" s="83" t="str">
        <f>IF(TabProjet[[#This Row],[Is Project]] &lt;&gt; "","",".")</f>
        <v>.</v>
      </c>
      <c r="F50" s="83">
        <f>IFERROR(IF(TabProjet[[#This Row],[Is Project]]= "",$F49+1,""),1)</f>
        <v>1</v>
      </c>
      <c r="G50" s="20" t="s">
        <v>191</v>
      </c>
      <c r="H50" s="21" t="s">
        <v>417</v>
      </c>
      <c r="I50" s="19" t="s">
        <v>216</v>
      </c>
      <c r="J50" s="23" t="s">
        <v>14</v>
      </c>
      <c r="K50" s="22">
        <v>45109</v>
      </c>
      <c r="L50" s="19">
        <v>15</v>
      </c>
      <c r="M50" s="16">
        <f>IF(TabProjet[[#This Row],[Début]]="","",WORKDAY(IF(WEEKDAY(TabProjet[[#This Row],[Début]],1)=7,TabProjet[[#This Row],[Début]]+2,IF(WEEKDAY(TabProjet[[#This Row],[Début]],1)=1,TabProjet[[#This Row],[Début]]+1,TabProjet[[#This Row],[Début]])),ROUNDUP(TabProjet[[#This Row],[Charge en J]],0)-IF(TabProjet[[#This Row],[Charge en J]] &gt; 0, 1, 0),TabOffDays[Date]))</f>
        <v>45131</v>
      </c>
      <c r="N50" s="25">
        <v>0.02</v>
      </c>
      <c r="O50" s="33">
        <f>TabProjet[[#This Row],[Début]]+(TabProjet[[#This Row],[Deadline]]-TabProjet[[#This Row],[Début]])*TabProjet[[#This Row],[Progression]]</f>
        <v>45109.440000000002</v>
      </c>
      <c r="P50" s="17"/>
      <c r="Q50" s="17"/>
      <c r="R50" s="17"/>
      <c r="S50" s="17"/>
      <c r="T50" s="17"/>
      <c r="U50" s="17"/>
      <c r="V50" s="17"/>
      <c r="W50" s="17"/>
      <c r="X50" s="17"/>
      <c r="Y50" s="17"/>
      <c r="Z50" s="17"/>
      <c r="AA50" s="17"/>
      <c r="AB50" s="17"/>
      <c r="AC50" s="17"/>
      <c r="AD50" s="17"/>
      <c r="AE50" s="17"/>
      <c r="AF50" s="17"/>
      <c r="AG50" s="17"/>
      <c r="AH50" s="17"/>
      <c r="AI50" s="17"/>
      <c r="AJ50" s="17"/>
      <c r="AK50" s="17"/>
      <c r="AL50" s="17"/>
      <c r="AM50" s="17"/>
      <c r="AN50" s="17"/>
      <c r="AO50" s="17"/>
      <c r="AP50" s="17"/>
      <c r="AQ50" s="17"/>
      <c r="AR50" s="17"/>
      <c r="AS50" s="17"/>
      <c r="AT50" s="17"/>
      <c r="AU50" s="17"/>
      <c r="AV50" s="17"/>
      <c r="AW50" s="17"/>
      <c r="AX50" s="17"/>
      <c r="AY50" s="17"/>
      <c r="AZ50" s="17"/>
      <c r="BA50" s="17"/>
      <c r="BB50" s="17"/>
      <c r="BC50" s="17"/>
      <c r="BD50" s="17"/>
      <c r="BE50" s="17"/>
      <c r="BF50" s="17"/>
      <c r="BG50" s="17"/>
      <c r="BH50" s="17"/>
      <c r="BI50" s="17"/>
      <c r="BJ50" s="17"/>
      <c r="BK50" s="17"/>
      <c r="BL50" s="17"/>
      <c r="BM50" s="17"/>
      <c r="BN50" s="17"/>
      <c r="BO50" s="17"/>
      <c r="BP50" s="17"/>
      <c r="BQ50" s="17"/>
      <c r="BR50" s="17"/>
      <c r="BS50" s="17"/>
    </row>
    <row r="51" spans="2:71" x14ac:dyDescent="0.3">
      <c r="B51" s="3" t="str">
        <f>TabProjet[[#This Row],[IDProj]] &amp; TabProjet[[#This Row],[Point]] &amp; TabProjet[[#This Row],[IDSubProj]]</f>
        <v>5.2</v>
      </c>
      <c r="C51" s="83"/>
      <c r="D51" s="83">
        <f>IF(ISNUMBER($D50),IF(TabProjet[[#This Row],[Is Project]] &lt;&gt;"",$D50+1,$D50),1)</f>
        <v>5</v>
      </c>
      <c r="E51" s="83" t="str">
        <f>IF(TabProjet[[#This Row],[Is Project]] &lt;&gt; "","",".")</f>
        <v>.</v>
      </c>
      <c r="F51" s="83">
        <f>IFERROR(IF(TabProjet[[#This Row],[Is Project]]= "",$F50+1,""),1)</f>
        <v>2</v>
      </c>
      <c r="G51" s="20" t="s">
        <v>192</v>
      </c>
      <c r="H51" s="21" t="s">
        <v>417</v>
      </c>
      <c r="I51" s="19">
        <v>4</v>
      </c>
      <c r="J51" s="23" t="s">
        <v>16</v>
      </c>
      <c r="K51" s="22">
        <v>45140</v>
      </c>
      <c r="L51" s="19">
        <v>45</v>
      </c>
      <c r="M51" s="16">
        <f>IF(TabProjet[[#This Row],[Début]]="","",WORKDAY(IF(WEEKDAY(TabProjet[[#This Row],[Début]],1)=7,TabProjet[[#This Row],[Début]]+2,IF(WEEKDAY(TabProjet[[#This Row],[Début]],1)=1,TabProjet[[#This Row],[Début]]+1,TabProjet[[#This Row],[Début]])),ROUNDUP(TabProjet[[#This Row],[Charge en J]],0)-IF(TabProjet[[#This Row],[Charge en J]] &gt; 0, 1, 0),TabOffDays[Date]))</f>
        <v>45203</v>
      </c>
      <c r="N51" s="25">
        <v>0.3</v>
      </c>
      <c r="O51" s="33">
        <f>TabProjet[[#This Row],[Début]]+(TabProjet[[#This Row],[Deadline]]-TabProjet[[#This Row],[Début]])*TabProjet[[#This Row],[Progression]]</f>
        <v>45158.9</v>
      </c>
      <c r="P51" s="17"/>
      <c r="Q51" s="17"/>
      <c r="R51" s="17"/>
      <c r="S51" s="17"/>
      <c r="T51" s="17"/>
      <c r="U51" s="17"/>
      <c r="V51" s="17"/>
      <c r="W51" s="17"/>
      <c r="X51" s="17"/>
      <c r="Y51" s="17"/>
      <c r="Z51" s="17"/>
      <c r="AA51" s="17"/>
      <c r="AB51" s="17"/>
      <c r="AC51" s="17"/>
      <c r="AD51" s="17"/>
      <c r="AE51" s="17"/>
      <c r="AF51" s="17"/>
      <c r="AG51" s="17"/>
      <c r="AH51" s="17"/>
      <c r="AI51" s="17"/>
      <c r="AJ51" s="17"/>
      <c r="AK51" s="17"/>
      <c r="AL51" s="17"/>
      <c r="AM51" s="17"/>
      <c r="AN51" s="17"/>
      <c r="AO51" s="17"/>
      <c r="AP51" s="17"/>
      <c r="AQ51" s="17"/>
      <c r="AR51" s="17"/>
      <c r="AS51" s="17"/>
      <c r="AT51" s="17"/>
      <c r="AU51" s="17"/>
      <c r="AV51" s="17"/>
      <c r="AW51" s="17"/>
      <c r="AX51" s="17"/>
      <c r="AY51" s="17"/>
      <c r="AZ51" s="17"/>
      <c r="BA51" s="17"/>
      <c r="BB51" s="17"/>
      <c r="BC51" s="17"/>
      <c r="BD51" s="17"/>
      <c r="BE51" s="17"/>
      <c r="BF51" s="17"/>
      <c r="BG51" s="17"/>
      <c r="BH51" s="17"/>
      <c r="BI51" s="17"/>
      <c r="BJ51" s="17"/>
      <c r="BK51" s="17"/>
      <c r="BL51" s="17"/>
      <c r="BM51" s="17"/>
      <c r="BN51" s="17"/>
      <c r="BO51" s="17"/>
      <c r="BP51" s="17"/>
      <c r="BQ51" s="17"/>
      <c r="BR51" s="17"/>
      <c r="BS51" s="17"/>
    </row>
    <row r="52" spans="2:71" x14ac:dyDescent="0.3">
      <c r="B52" s="3" t="str">
        <f>TabProjet[[#This Row],[IDProj]] &amp; TabProjet[[#This Row],[Point]] &amp; TabProjet[[#This Row],[IDSubProj]]</f>
        <v>5.3</v>
      </c>
      <c r="C52" s="83"/>
      <c r="D52" s="83">
        <f>IF(ISNUMBER($D51),IF(TabProjet[[#This Row],[Is Project]] &lt;&gt;"",$D51+1,$D51),1)</f>
        <v>5</v>
      </c>
      <c r="E52" s="83" t="str">
        <f>IF(TabProjet[[#This Row],[Is Project]] &lt;&gt; "","",".")</f>
        <v>.</v>
      </c>
      <c r="F52" s="83">
        <f>IFERROR(IF(TabProjet[[#This Row],[Is Project]]= "",$F51+1,""),1)</f>
        <v>3</v>
      </c>
      <c r="G52" s="20" t="s">
        <v>193</v>
      </c>
      <c r="H52" s="21" t="s">
        <v>417</v>
      </c>
      <c r="I52" s="19">
        <v>4</v>
      </c>
      <c r="J52" s="23" t="s">
        <v>26</v>
      </c>
      <c r="K52" s="22">
        <v>45140</v>
      </c>
      <c r="L52" s="19">
        <v>41</v>
      </c>
      <c r="M52" s="16">
        <f>IF(TabProjet[[#This Row],[Début]]="","",WORKDAY(IF(WEEKDAY(TabProjet[[#This Row],[Début]],1)=7,TabProjet[[#This Row],[Début]]+2,IF(WEEKDAY(TabProjet[[#This Row],[Début]],1)=1,TabProjet[[#This Row],[Début]]+1,TabProjet[[#This Row],[Début]])),ROUNDUP(TabProjet[[#This Row],[Charge en J]],0)-IF(TabProjet[[#This Row],[Charge en J]] &gt; 0, 1, 0),TabOffDays[Date]))</f>
        <v>45197</v>
      </c>
      <c r="N52" s="25">
        <v>1</v>
      </c>
      <c r="O52" s="33">
        <f>TabProjet[[#This Row],[Début]]+(TabProjet[[#This Row],[Deadline]]-TabProjet[[#This Row],[Début]])*TabProjet[[#This Row],[Progression]]</f>
        <v>45197</v>
      </c>
      <c r="P52" s="17"/>
      <c r="Q52" s="17"/>
      <c r="R52" s="17"/>
      <c r="S52" s="17"/>
      <c r="T52" s="17"/>
      <c r="U52" s="17"/>
      <c r="V52" s="17"/>
      <c r="W52" s="17"/>
      <c r="X52" s="17"/>
      <c r="Y52" s="17"/>
      <c r="Z52" s="17"/>
      <c r="AA52" s="17"/>
      <c r="AB52" s="17"/>
      <c r="AC52" s="17"/>
      <c r="AD52" s="17"/>
      <c r="AE52" s="17"/>
      <c r="AF52" s="17"/>
      <c r="AG52" s="17"/>
      <c r="AH52" s="17"/>
      <c r="AI52" s="17"/>
      <c r="AJ52" s="17"/>
      <c r="AK52" s="17"/>
      <c r="AL52" s="17"/>
      <c r="AM52" s="17"/>
      <c r="AN52" s="17"/>
      <c r="AO52" s="17"/>
      <c r="AP52" s="17"/>
      <c r="AQ52" s="17"/>
      <c r="AR52" s="17"/>
      <c r="AS52" s="17"/>
      <c r="AT52" s="17"/>
      <c r="AU52" s="17"/>
      <c r="AV52" s="17"/>
      <c r="AW52" s="17"/>
      <c r="AX52" s="17"/>
      <c r="AY52" s="17"/>
      <c r="AZ52" s="17"/>
      <c r="BA52" s="17"/>
      <c r="BB52" s="17"/>
      <c r="BC52" s="17"/>
      <c r="BD52" s="17"/>
      <c r="BE52" s="17"/>
      <c r="BF52" s="17"/>
      <c r="BG52" s="17"/>
      <c r="BH52" s="17"/>
      <c r="BI52" s="17"/>
      <c r="BJ52" s="17"/>
      <c r="BK52" s="17"/>
      <c r="BL52" s="17"/>
      <c r="BM52" s="17"/>
      <c r="BN52" s="17"/>
      <c r="BO52" s="17"/>
      <c r="BP52" s="17"/>
      <c r="BQ52" s="17"/>
      <c r="BR52" s="17"/>
      <c r="BS52" s="17"/>
    </row>
    <row r="53" spans="2:71" x14ac:dyDescent="0.3">
      <c r="B53" s="3" t="str">
        <f>TabProjet[[#This Row],[IDProj]] &amp; TabProjet[[#This Row],[Point]] &amp; TabProjet[[#This Row],[IDSubProj]]</f>
        <v>5.4</v>
      </c>
      <c r="C53" s="83"/>
      <c r="D53" s="83">
        <f>IF(ISNUMBER($D52),IF(TabProjet[[#This Row],[Is Project]] &lt;&gt;"",$D52+1,$D52),1)</f>
        <v>5</v>
      </c>
      <c r="E53" s="83" t="str">
        <f>IF(TabProjet[[#This Row],[Is Project]] &lt;&gt; "","",".")</f>
        <v>.</v>
      </c>
      <c r="F53" s="83">
        <f>IFERROR(IF(TabProjet[[#This Row],[Is Project]]= "",$F52+1,""),1)</f>
        <v>4</v>
      </c>
      <c r="G53" s="20" t="s">
        <v>194</v>
      </c>
      <c r="H53" s="21" t="s">
        <v>417</v>
      </c>
      <c r="I53" s="19">
        <v>4</v>
      </c>
      <c r="J53" s="23" t="s">
        <v>15</v>
      </c>
      <c r="K53" s="22">
        <v>45140</v>
      </c>
      <c r="L53" s="19">
        <v>25</v>
      </c>
      <c r="M53" s="16">
        <f>IF(TabProjet[[#This Row],[Début]]="","",WORKDAY(IF(WEEKDAY(TabProjet[[#This Row],[Début]],1)=7,TabProjet[[#This Row],[Début]]+2,IF(WEEKDAY(TabProjet[[#This Row],[Début]],1)=1,TabProjet[[#This Row],[Début]]+1,TabProjet[[#This Row],[Début]])),ROUNDUP(TabProjet[[#This Row],[Charge en J]],0)-IF(TabProjet[[#This Row],[Charge en J]] &gt; 0, 1, 0),TabOffDays[Date]))</f>
        <v>45175</v>
      </c>
      <c r="N53" s="25">
        <v>0.1</v>
      </c>
      <c r="O53" s="33">
        <f>TabProjet[[#This Row],[Début]]+(TabProjet[[#This Row],[Deadline]]-TabProjet[[#This Row],[Début]])*TabProjet[[#This Row],[Progression]]</f>
        <v>45143.5</v>
      </c>
      <c r="P53" s="17"/>
      <c r="Q53" s="17"/>
      <c r="R53" s="17"/>
      <c r="S53" s="17"/>
      <c r="T53" s="17"/>
      <c r="U53" s="17"/>
      <c r="V53" s="17"/>
      <c r="W53" s="17"/>
      <c r="X53" s="17"/>
      <c r="Y53" s="17"/>
      <c r="Z53" s="17"/>
      <c r="AA53" s="17"/>
      <c r="AB53" s="17"/>
      <c r="AC53" s="17"/>
      <c r="AD53" s="17"/>
      <c r="AE53" s="17"/>
      <c r="AF53" s="17"/>
      <c r="AG53" s="17"/>
      <c r="AH53" s="17"/>
      <c r="AI53" s="17"/>
      <c r="AJ53" s="17"/>
      <c r="AK53" s="17"/>
      <c r="AL53" s="17"/>
      <c r="AM53" s="17"/>
      <c r="AN53" s="17"/>
      <c r="AO53" s="17"/>
      <c r="AP53" s="17"/>
      <c r="AQ53" s="17"/>
      <c r="AR53" s="17"/>
      <c r="AS53" s="17"/>
      <c r="AT53" s="17"/>
      <c r="AU53" s="17"/>
      <c r="AV53" s="17"/>
      <c r="AW53" s="17"/>
      <c r="AX53" s="17"/>
      <c r="AY53" s="17"/>
      <c r="AZ53" s="17"/>
      <c r="BA53" s="17"/>
      <c r="BB53" s="17"/>
      <c r="BC53" s="17"/>
      <c r="BD53" s="17"/>
      <c r="BE53" s="17"/>
      <c r="BF53" s="17"/>
      <c r="BG53" s="17"/>
      <c r="BH53" s="17"/>
      <c r="BI53" s="17"/>
      <c r="BJ53" s="17"/>
      <c r="BK53" s="17"/>
      <c r="BL53" s="17"/>
      <c r="BM53" s="17"/>
      <c r="BN53" s="17"/>
      <c r="BO53" s="17"/>
      <c r="BP53" s="17"/>
      <c r="BQ53" s="17"/>
      <c r="BR53" s="17"/>
      <c r="BS53" s="17"/>
    </row>
    <row r="57" spans="2:71" x14ac:dyDescent="0.3">
      <c r="N57" s="92"/>
    </row>
    <row r="69" ht="16.95" customHeight="1" x14ac:dyDescent="0.3"/>
    <row r="70" ht="16.95" customHeight="1" x14ac:dyDescent="0.3"/>
    <row r="71" ht="16.95" customHeight="1" x14ac:dyDescent="0.3"/>
    <row r="72" ht="16.95" customHeight="1" x14ac:dyDescent="0.3"/>
    <row r="73" ht="16.95" customHeight="1" x14ac:dyDescent="0.3"/>
    <row r="74" ht="16.95" customHeight="1" x14ac:dyDescent="0.3"/>
    <row r="75" ht="16.95" customHeight="1" x14ac:dyDescent="0.3"/>
    <row r="76" ht="16.95" customHeight="1" x14ac:dyDescent="0.3"/>
    <row r="77" ht="16.95" customHeight="1" x14ac:dyDescent="0.3"/>
    <row r="78" ht="16.95" customHeight="1" x14ac:dyDescent="0.3"/>
    <row r="79" ht="16.95" customHeight="1" x14ac:dyDescent="0.3"/>
    <row r="80" ht="16.95" customHeight="1" x14ac:dyDescent="0.3"/>
    <row r="81" ht="16.95" customHeight="1" x14ac:dyDescent="0.3"/>
    <row r="82" ht="16.95" customHeight="1" x14ac:dyDescent="0.3"/>
    <row r="83" ht="16.95" customHeight="1" x14ac:dyDescent="0.3"/>
    <row r="84" ht="16.95" customHeight="1" x14ac:dyDescent="0.3"/>
    <row r="85" ht="16.95" customHeight="1" x14ac:dyDescent="0.3"/>
    <row r="86" ht="16.95" customHeight="1" x14ac:dyDescent="0.3"/>
    <row r="87" ht="16.95" customHeight="1" x14ac:dyDescent="0.3"/>
    <row r="88" ht="16.95" customHeight="1" x14ac:dyDescent="0.3"/>
    <row r="89" ht="16.95" customHeight="1" x14ac:dyDescent="0.3"/>
    <row r="90" ht="16.95" customHeight="1" x14ac:dyDescent="0.3"/>
    <row r="91" ht="16.95" customHeight="1" x14ac:dyDescent="0.3"/>
    <row r="92" ht="16.95" customHeight="1" x14ac:dyDescent="0.3"/>
    <row r="93" ht="16.95" customHeight="1" x14ac:dyDescent="0.3"/>
    <row r="94" ht="16.95" customHeight="1" x14ac:dyDescent="0.3"/>
    <row r="95" ht="16.95" customHeight="1" x14ac:dyDescent="0.3"/>
    <row r="96" ht="16.95" customHeight="1" x14ac:dyDescent="0.3"/>
    <row r="97" ht="16.95" customHeight="1" x14ac:dyDescent="0.3"/>
    <row r="98" ht="16.95" customHeight="1" x14ac:dyDescent="0.3"/>
    <row r="99" ht="16.95" customHeight="1" x14ac:dyDescent="0.3"/>
    <row r="100" ht="16.95" customHeight="1" x14ac:dyDescent="0.3"/>
    <row r="101" ht="16.95" customHeight="1" x14ac:dyDescent="0.3"/>
    <row r="102" ht="16.95" customHeight="1" x14ac:dyDescent="0.3"/>
    <row r="103" ht="16.95" customHeight="1" x14ac:dyDescent="0.3"/>
    <row r="104" ht="16.95" customHeight="1" x14ac:dyDescent="0.3"/>
    <row r="105" ht="16.95" customHeight="1" x14ac:dyDescent="0.3"/>
    <row r="106" ht="16.95" customHeight="1" x14ac:dyDescent="0.3"/>
    <row r="107" ht="16.95" customHeight="1" x14ac:dyDescent="0.3"/>
    <row r="108" ht="16.95" customHeight="1" x14ac:dyDescent="0.3"/>
    <row r="109" ht="16.95" customHeight="1" x14ac:dyDescent="0.3"/>
    <row r="110" ht="16.95" customHeight="1" x14ac:dyDescent="0.3"/>
    <row r="111" ht="16.95" customHeight="1" x14ac:dyDescent="0.3"/>
    <row r="112" ht="16.95" customHeight="1" x14ac:dyDescent="0.3"/>
    <row r="113" ht="16.95" customHeight="1" x14ac:dyDescent="0.3"/>
    <row r="114" ht="16.95" customHeight="1" x14ac:dyDescent="0.3"/>
    <row r="115" ht="16.95" customHeight="1" x14ac:dyDescent="0.3"/>
    <row r="116" ht="16.95" customHeight="1" x14ac:dyDescent="0.3"/>
    <row r="117" ht="16.95" customHeight="1" x14ac:dyDescent="0.3"/>
    <row r="118" ht="16.95" customHeight="1" x14ac:dyDescent="0.3"/>
    <row r="119" ht="16.95" customHeight="1" x14ac:dyDescent="0.3"/>
    <row r="120" ht="16.95" customHeight="1" x14ac:dyDescent="0.3"/>
    <row r="121" ht="16.95" customHeight="1" x14ac:dyDescent="0.3"/>
    <row r="122" ht="16.95" customHeight="1" x14ac:dyDescent="0.3"/>
    <row r="123" ht="16.95" customHeight="1" x14ac:dyDescent="0.3"/>
    <row r="124" ht="16.95" customHeight="1" x14ac:dyDescent="0.3"/>
    <row r="125" ht="16.95" customHeight="1" x14ac:dyDescent="0.3"/>
    <row r="126" ht="16.95" customHeight="1" x14ac:dyDescent="0.3"/>
    <row r="127" ht="16.95" customHeight="1" x14ac:dyDescent="0.3"/>
    <row r="128" ht="16.95" customHeight="1" x14ac:dyDescent="0.3"/>
    <row r="129" ht="16.95" customHeight="1" x14ac:dyDescent="0.3"/>
  </sheetData>
  <sheetProtection sheet="1" formatCells="0" formatColumns="0" formatRows="0" insertRows="0" insertHyperlinks="0" deleteRows="0" sort="0" autoFilter="0" pivotTables="0"/>
  <mergeCells count="15">
    <mergeCell ref="AB2:AG2"/>
    <mergeCell ref="AB3:AG3"/>
    <mergeCell ref="AH4:AL4"/>
    <mergeCell ref="H1:I1"/>
    <mergeCell ref="H2:I2"/>
    <mergeCell ref="AH1:AL1"/>
    <mergeCell ref="AH2:AL2"/>
    <mergeCell ref="AH3:AL3"/>
    <mergeCell ref="K1:L1"/>
    <mergeCell ref="K2:L2"/>
    <mergeCell ref="M1:N1"/>
    <mergeCell ref="M2:N2"/>
    <mergeCell ref="P1:V1"/>
    <mergeCell ref="P2:V2"/>
    <mergeCell ref="AB1:AG1"/>
  </mergeCells>
  <phoneticPr fontId="1" type="noConversion"/>
  <conditionalFormatting sqref="B14:N53">
    <cfRule type="expression" dxfId="120" priority="15" stopIfTrue="1">
      <formula>$C14&lt;&gt;""</formula>
    </cfRule>
  </conditionalFormatting>
  <conditionalFormatting sqref="P14:BS53">
    <cfRule type="expression" dxfId="119" priority="14" stopIfTrue="1">
      <formula>OR(AND(P$8&gt;=$K14, $K14 &lt;&gt; "", P$8&lt;=$O14, $N14 &lt;&gt; 0, $H14 ="TODO"), AND(YEAR($K14) = YEAR(P$8),_xlfn.ISOWEEKNUM(P$8) = _xlfn.ISOWEEKNUM($K14), $N14 &lt;&gt; 0, $H14 =""))</formula>
    </cfRule>
    <cfRule type="expression" dxfId="118" priority="16" stopIfTrue="1">
      <formula>OR(AND(P$8&gt;=$K14, $K14 &lt;&gt; "", P$8&lt;=$M14, $M14 &lt;&gt; "", $H14 ="TODO"), AND(YEAR($K14) = YEAR(P$8),_xlfn.ISOWEEKNUM(P$8) = _xlfn.ISOWEEKNUM($K14), $H14 =""))</formula>
    </cfRule>
    <cfRule type="expression" dxfId="117" priority="12" stopIfTrue="1">
      <formula>OR(AND(P$8&gt;=$K14, $K14 &lt;&gt; "", P$8&lt;=$O14, $N14 &lt;&gt; 0, $H14 ="En progress"), AND(YEAR($K14) = YEAR(P$8),_xlfn.ISOWEEKNUM(P$8) = _xlfn.ISOWEEKNUM($K14), $N14 &lt;&gt; 0, $H14 =""))</formula>
    </cfRule>
    <cfRule type="expression" dxfId="116" priority="17" stopIfTrue="1">
      <formula>OR(AND(P$8&gt;=$K14, $K14 &lt;&gt; "", P$8&lt;=$M14, $M14 &lt;&gt; "", $H14 ="En progress"), AND(YEAR($K14) = YEAR(P$8),_xlfn.ISOWEEKNUM(P$8) = _xlfn.ISOWEEKNUM($K14), $H14 =""))</formula>
    </cfRule>
    <cfRule type="expression" dxfId="115" priority="10" stopIfTrue="1">
      <formula>OR(AND(P$8&gt;=$K14, $K14 &lt;&gt; "", P$8&lt;=$O14, $N14 &lt;&gt; 0, $H14 ="In Hold"), AND(YEAR($K14) = YEAR(P$8),_xlfn.ISOWEEKNUM(P$8) = _xlfn.ISOWEEKNUM($K14), $N14 &lt;&gt; 0, $H14 =""))</formula>
    </cfRule>
    <cfRule type="expression" dxfId="114" priority="18" stopIfTrue="1">
      <formula>OR(AND(P$8&gt;=$K14, $K14 &lt;&gt; "", P$8&lt;=$M14, $M14 &lt;&gt; "", $H14 ="In Hold"), AND(YEAR($K14) = YEAR(P$8),_xlfn.ISOWEEKNUM(P$8) = _xlfn.ISOWEEKNUM($K14), $H14 =""))</formula>
    </cfRule>
    <cfRule type="expression" dxfId="113" priority="8" stopIfTrue="1">
      <formula>OR(AND(P$8&gt;=$K14, $K14 &lt;&gt; "", P$8&lt;=$O14, $N14 &lt;&gt; 0, $H14 ="Done"), AND(YEAR($K14) = YEAR(P$8),_xlfn.ISOWEEKNUM(P$8) = _xlfn.ISOWEEKNUM($K14), $N14 &lt;&gt; 0, $H14 =""))</formula>
    </cfRule>
    <cfRule type="expression" dxfId="112" priority="19" stopIfTrue="1">
      <formula>OR(AND(P$8&gt;=$K14, $K14 &lt;&gt; "", P$8&lt;=$M14, $M14 &lt;&gt; "", $H14 ="Done"), AND(YEAR($K14) = YEAR(P$8),_xlfn.ISOWEEKNUM(P$8) = _xlfn.ISOWEEKNUM($K14), $H14 =""))</formula>
    </cfRule>
    <cfRule type="expression" dxfId="111" priority="2">
      <formula>AND(_xlfn.ISOWEEKNUM(TODAY())&gt;=P$9,_xlfn.ISOWEEKNUM(TODAY())&lt;Q$9)</formula>
    </cfRule>
  </conditionalFormatting>
  <conditionalFormatting sqref="H14:H53">
    <cfRule type="expression" dxfId="110" priority="6">
      <formula>$H14="TODO"</formula>
    </cfRule>
    <cfRule type="expression" dxfId="109" priority="5">
      <formula>$H14="En progress"</formula>
    </cfRule>
    <cfRule type="expression" dxfId="108" priority="4">
      <formula>$H14="In Hold"</formula>
    </cfRule>
    <cfRule type="expression" dxfId="107" priority="3">
      <formula>$H14="Done"</formula>
    </cfRule>
  </conditionalFormatting>
  <conditionalFormatting sqref="N14:N53">
    <cfRule type="dataBar" priority="1">
      <dataBar>
        <cfvo type="num" val="0"/>
        <cfvo type="num" val="1"/>
        <color rgb="FF63C384"/>
      </dataBar>
      <extLst>
        <ext xmlns:x14="http://schemas.microsoft.com/office/spreadsheetml/2009/9/main" uri="{B025F937-C7B1-47D3-B67F-A62EFF666E3E}">
          <x14:id>{924C0D72-C9D8-4F00-B6E4-721AB6B4E9BE}</x14:id>
        </ext>
      </extLst>
    </cfRule>
  </conditionalFormatting>
  <dataValidations count="2">
    <dataValidation type="list" allowBlank="1" showInputMessage="1" showErrorMessage="1" sqref="H14:H53" xr:uid="{5290CA30-152B-4D77-AAAC-DFF26CD2A56B}">
      <formula1>INDIRECT("Tabtheme[Libellé]")</formula1>
    </dataValidation>
    <dataValidation type="list" allowBlank="1" showInputMessage="1" showErrorMessage="1" sqref="J14:J53" xr:uid="{0DA1CA69-676C-420D-BC88-889102F0F47D}">
      <formula1>INDIRECT("tabRessources[Nom]")</formula1>
    </dataValidation>
  </dataValidations>
  <pageMargins left="0.7" right="0.7" top="0.75" bottom="0.75" header="0.3" footer="0.3"/>
  <pageSetup paperSize="9" orientation="portrait" r:id="rId1"/>
  <ignoredErrors>
    <ignoredError sqref="N28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Option Button 3">
              <controlPr defaultSize="0" autoFill="0" autoLine="0" autoPict="0" macro="[0]!SwitchDaysWeeks">
                <anchor moveWithCells="1">
                  <from>
                    <xdr:col>44</xdr:col>
                    <xdr:colOff>60960</xdr:colOff>
                    <xdr:row>3</xdr:row>
                    <xdr:rowOff>106680</xdr:rowOff>
                  </from>
                  <to>
                    <xdr:col>45</xdr:col>
                    <xdr:colOff>213360</xdr:colOff>
                    <xdr:row>3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Option Button 4">
              <controlPr defaultSize="0" autoFill="0" autoLine="0" autoPict="0" macro="[0]!SwitchDaysWeeks">
                <anchor moveWithCells="1">
                  <from>
                    <xdr:col>46</xdr:col>
                    <xdr:colOff>15240</xdr:colOff>
                    <xdr:row>3</xdr:row>
                    <xdr:rowOff>106680</xdr:rowOff>
                  </from>
                  <to>
                    <xdr:col>48</xdr:col>
                    <xdr:colOff>76200</xdr:colOff>
                    <xdr:row>3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6" name="Option Button 8">
              <controlPr defaultSize="0" autoFill="0" autoLine="0" autoPict="0" macro="[0]!SwitchDaysWeeks">
                <anchor moveWithCells="1">
                  <from>
                    <xdr:col>48</xdr:col>
                    <xdr:colOff>129540</xdr:colOff>
                    <xdr:row>3</xdr:row>
                    <xdr:rowOff>114300</xdr:rowOff>
                  </from>
                  <to>
                    <xdr:col>50</xdr:col>
                    <xdr:colOff>15240</xdr:colOff>
                    <xdr:row>3</xdr:row>
                    <xdr:rowOff>274320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4C0D72-C9D8-4F00-B6E4-721AB6B4E9BE}">
            <x14:dataBar minLength="0" maxLength="100" border="1" negativeBarBorderColorSameAsPositive="0">
              <x14:cfvo type="num">
                <xm:f>0</xm:f>
              </x14:cfvo>
              <x14:cfvo type="num">
                <xm:f>1</xm:f>
              </x14:cfvo>
              <x14:borderColor rgb="FF63C384"/>
              <x14:negativeFillColor rgb="FFFF0000"/>
              <x14:negativeBorderColor rgb="FFFF0000"/>
              <x14:axisColor rgb="FF000000"/>
            </x14:dataBar>
          </x14:cfRule>
          <xm:sqref>N14:N53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27C7A0-268A-4D97-9BFF-85A28C4AC968}">
  <sheetPr codeName="ShRessources">
    <tabColor theme="9" tint="0.39997558519241921"/>
  </sheetPr>
  <dimension ref="B1:F98"/>
  <sheetViews>
    <sheetView showGridLines="0" workbookViewId="0">
      <selection activeCell="D16" sqref="D16"/>
    </sheetView>
  </sheetViews>
  <sheetFormatPr defaultColWidth="8.88671875" defaultRowHeight="14.4" x14ac:dyDescent="0.3"/>
  <cols>
    <col min="1" max="1" width="2.33203125" customWidth="1"/>
    <col min="2" max="2" width="11.33203125" customWidth="1"/>
    <col min="3" max="3" width="30.6640625" customWidth="1"/>
    <col min="4" max="5" width="36.44140625" customWidth="1"/>
    <col min="6" max="6" width="29.88671875" customWidth="1"/>
  </cols>
  <sheetData>
    <row r="1" spans="2:6" ht="18" customHeight="1" x14ac:dyDescent="0.3">
      <c r="C1" s="1"/>
      <c r="D1" s="1"/>
      <c r="E1" s="13" t="s">
        <v>96</v>
      </c>
      <c r="F1" s="9">
        <v>44893</v>
      </c>
    </row>
    <row r="2" spans="2:6" ht="18" customHeight="1" x14ac:dyDescent="0.3">
      <c r="C2" s="1"/>
      <c r="D2" s="1"/>
      <c r="E2" s="13" t="s">
        <v>97</v>
      </c>
      <c r="F2" s="8"/>
    </row>
    <row r="3" spans="2:6" ht="18" customHeight="1" thickBot="1" x14ac:dyDescent="0.35">
      <c r="C3" s="1"/>
      <c r="D3" s="1"/>
      <c r="E3" s="12" t="s">
        <v>98</v>
      </c>
      <c r="F3" s="8" t="s">
        <v>99</v>
      </c>
    </row>
    <row r="4" spans="2:6" ht="28.95" customHeight="1" thickTop="1" thickBot="1" x14ac:dyDescent="0.35">
      <c r="B4" s="7"/>
      <c r="C4" s="7" t="s">
        <v>152</v>
      </c>
      <c r="D4" s="7"/>
      <c r="E4" s="7"/>
      <c r="F4" s="7"/>
    </row>
    <row r="5" spans="2:6" ht="15" thickTop="1" x14ac:dyDescent="0.3"/>
    <row r="6" spans="2:6" ht="21.6" customHeight="1" x14ac:dyDescent="0.3">
      <c r="B6" s="104" t="s">
        <v>0</v>
      </c>
      <c r="C6" s="104" t="s">
        <v>105</v>
      </c>
      <c r="D6" s="104" t="s">
        <v>106</v>
      </c>
      <c r="E6" s="104" t="s">
        <v>107</v>
      </c>
      <c r="F6" s="105" t="s">
        <v>108</v>
      </c>
    </row>
    <row r="7" spans="2:6" ht="19.95" hidden="1" customHeight="1" x14ac:dyDescent="0.3">
      <c r="B7" s="11" t="s">
        <v>0</v>
      </c>
      <c r="C7" s="11" t="s">
        <v>105</v>
      </c>
      <c r="D7" s="11" t="s">
        <v>106</v>
      </c>
      <c r="E7" s="11" t="s">
        <v>107</v>
      </c>
      <c r="F7" s="11" t="s">
        <v>108</v>
      </c>
    </row>
    <row r="8" spans="2:6" ht="18" customHeight="1" x14ac:dyDescent="0.3">
      <c r="B8" s="3">
        <v>1</v>
      </c>
      <c r="C8" s="10" t="s">
        <v>109</v>
      </c>
      <c r="D8" s="10" t="s">
        <v>110</v>
      </c>
      <c r="E8" s="10" t="s">
        <v>111</v>
      </c>
      <c r="F8" s="10"/>
    </row>
    <row r="9" spans="2:6" ht="18" customHeight="1" x14ac:dyDescent="0.3">
      <c r="B9" s="3">
        <v>2</v>
      </c>
      <c r="C9" s="10" t="s">
        <v>11</v>
      </c>
      <c r="D9" s="10" t="s">
        <v>112</v>
      </c>
      <c r="E9" s="10" t="s">
        <v>113</v>
      </c>
      <c r="F9" s="10"/>
    </row>
    <row r="10" spans="2:6" ht="18" customHeight="1" x14ac:dyDescent="0.3">
      <c r="B10" s="3">
        <v>3</v>
      </c>
      <c r="C10" s="10" t="s">
        <v>24</v>
      </c>
      <c r="D10" s="10" t="s">
        <v>114</v>
      </c>
      <c r="E10" s="10" t="s">
        <v>115</v>
      </c>
      <c r="F10" s="10"/>
    </row>
    <row r="11" spans="2:6" ht="18" customHeight="1" x14ac:dyDescent="0.3">
      <c r="B11" s="3">
        <v>4</v>
      </c>
      <c r="C11" s="10" t="s">
        <v>116</v>
      </c>
      <c r="D11" s="10" t="s">
        <v>117</v>
      </c>
      <c r="E11" s="10" t="s">
        <v>118</v>
      </c>
      <c r="F11" s="10"/>
    </row>
    <row r="12" spans="2:6" ht="18" customHeight="1" x14ac:dyDescent="0.3">
      <c r="B12" s="3">
        <v>5</v>
      </c>
      <c r="C12" s="10" t="s">
        <v>14</v>
      </c>
      <c r="D12" s="10" t="s">
        <v>119</v>
      </c>
      <c r="E12" s="10" t="s">
        <v>120</v>
      </c>
      <c r="F12" s="10"/>
    </row>
    <row r="13" spans="2:6" ht="18" customHeight="1" x14ac:dyDescent="0.3">
      <c r="B13" s="3">
        <v>6</v>
      </c>
      <c r="C13" s="10" t="s">
        <v>25</v>
      </c>
      <c r="D13" s="10" t="s">
        <v>121</v>
      </c>
      <c r="E13" s="10" t="s">
        <v>122</v>
      </c>
      <c r="F13" s="10"/>
    </row>
    <row r="14" spans="2:6" ht="18" customHeight="1" x14ac:dyDescent="0.3">
      <c r="B14" s="3">
        <v>7</v>
      </c>
      <c r="C14" s="10" t="s">
        <v>13</v>
      </c>
      <c r="D14" s="10" t="s">
        <v>123</v>
      </c>
      <c r="E14" s="10" t="s">
        <v>124</v>
      </c>
      <c r="F14" s="10"/>
    </row>
    <row r="15" spans="2:6" ht="18" customHeight="1" x14ac:dyDescent="0.3">
      <c r="B15" s="3">
        <v>8</v>
      </c>
      <c r="C15" s="10" t="s">
        <v>16</v>
      </c>
      <c r="D15" s="10" t="s">
        <v>125</v>
      </c>
      <c r="E15" s="10" t="s">
        <v>126</v>
      </c>
      <c r="F15" s="10"/>
    </row>
    <row r="16" spans="2:6" ht="18" customHeight="1" x14ac:dyDescent="0.3">
      <c r="B16" s="3">
        <v>9</v>
      </c>
      <c r="C16" s="10" t="s">
        <v>12</v>
      </c>
      <c r="D16" s="10" t="s">
        <v>127</v>
      </c>
      <c r="E16" s="10" t="s">
        <v>128</v>
      </c>
      <c r="F16" s="10"/>
    </row>
    <row r="17" spans="2:6" ht="18" customHeight="1" x14ac:dyDescent="0.3">
      <c r="B17" s="3">
        <v>10</v>
      </c>
      <c r="C17" s="10" t="s">
        <v>26</v>
      </c>
      <c r="D17" s="10" t="s">
        <v>129</v>
      </c>
      <c r="E17" s="10" t="s">
        <v>130</v>
      </c>
      <c r="F17" s="10"/>
    </row>
    <row r="18" spans="2:6" ht="18" customHeight="1" x14ac:dyDescent="0.3">
      <c r="B18" s="3">
        <v>11</v>
      </c>
      <c r="C18" s="10" t="s">
        <v>22</v>
      </c>
      <c r="D18" s="10" t="s">
        <v>131</v>
      </c>
      <c r="E18" s="10" t="s">
        <v>132</v>
      </c>
      <c r="F18" s="10"/>
    </row>
    <row r="19" spans="2:6" ht="18" customHeight="1" x14ac:dyDescent="0.3">
      <c r="B19" s="3">
        <v>12</v>
      </c>
      <c r="C19" s="10" t="s">
        <v>15</v>
      </c>
      <c r="D19" s="10" t="s">
        <v>133</v>
      </c>
      <c r="E19" s="10" t="s">
        <v>134</v>
      </c>
      <c r="F19" s="10"/>
    </row>
    <row r="20" spans="2:6" ht="18" customHeight="1" x14ac:dyDescent="0.3">
      <c r="B20" s="3">
        <v>13</v>
      </c>
      <c r="C20" s="10" t="s">
        <v>135</v>
      </c>
      <c r="D20" s="10" t="s">
        <v>133</v>
      </c>
      <c r="E20" s="10" t="s">
        <v>136</v>
      </c>
      <c r="F20" s="10"/>
    </row>
    <row r="21" spans="2:6" ht="18" customHeight="1" x14ac:dyDescent="0.3">
      <c r="B21" s="3">
        <v>14</v>
      </c>
      <c r="C21" s="10" t="s">
        <v>21</v>
      </c>
      <c r="D21" s="10" t="s">
        <v>137</v>
      </c>
      <c r="E21" s="10" t="s">
        <v>138</v>
      </c>
      <c r="F21" s="10"/>
    </row>
    <row r="22" spans="2:6" ht="18" customHeight="1" x14ac:dyDescent="0.3">
      <c r="B22" s="3">
        <v>15</v>
      </c>
      <c r="C22" s="10" t="s">
        <v>23</v>
      </c>
      <c r="D22" s="10" t="s">
        <v>137</v>
      </c>
      <c r="E22" s="10" t="s">
        <v>139</v>
      </c>
      <c r="F22" s="10"/>
    </row>
    <row r="23" spans="2:6" ht="18" customHeight="1" x14ac:dyDescent="0.3">
      <c r="B23" s="3">
        <v>16</v>
      </c>
      <c r="C23" s="10" t="s">
        <v>20</v>
      </c>
      <c r="D23" s="10" t="s">
        <v>140</v>
      </c>
      <c r="E23" s="10" t="s">
        <v>141</v>
      </c>
      <c r="F23" s="10"/>
    </row>
    <row r="24" spans="2:6" ht="18" customHeight="1" x14ac:dyDescent="0.3">
      <c r="B24" s="3">
        <v>17</v>
      </c>
      <c r="C24" s="10" t="s">
        <v>18</v>
      </c>
      <c r="D24" s="10" t="s">
        <v>140</v>
      </c>
      <c r="E24" s="10" t="s">
        <v>142</v>
      </c>
      <c r="F24" s="10"/>
    </row>
    <row r="25" spans="2:6" ht="18" customHeight="1" x14ac:dyDescent="0.3">
      <c r="B25" s="3">
        <v>18</v>
      </c>
      <c r="C25" s="10" t="s">
        <v>143</v>
      </c>
      <c r="D25" s="10" t="s">
        <v>146</v>
      </c>
      <c r="E25" s="10" t="s">
        <v>145</v>
      </c>
      <c r="F25" s="10"/>
    </row>
    <row r="26" spans="2:6" ht="18" customHeight="1" x14ac:dyDescent="0.3">
      <c r="B26" s="3">
        <v>19</v>
      </c>
      <c r="C26" s="10" t="s">
        <v>19</v>
      </c>
      <c r="D26" s="10" t="s">
        <v>146</v>
      </c>
      <c r="E26" s="10" t="s">
        <v>147</v>
      </c>
      <c r="F26" s="10"/>
    </row>
    <row r="27" spans="2:6" ht="18" customHeight="1" x14ac:dyDescent="0.3">
      <c r="B27" s="3">
        <v>20</v>
      </c>
      <c r="C27" s="10" t="s">
        <v>17</v>
      </c>
      <c r="D27" s="10" t="s">
        <v>148</v>
      </c>
      <c r="E27" s="10" t="s">
        <v>149</v>
      </c>
      <c r="F27" s="10"/>
    </row>
    <row r="28" spans="2:6" ht="18" customHeight="1" x14ac:dyDescent="0.3">
      <c r="B28" s="3">
        <v>21</v>
      </c>
      <c r="C28" s="10" t="s">
        <v>150</v>
      </c>
      <c r="D28" s="10" t="s">
        <v>151</v>
      </c>
      <c r="E28" s="10"/>
      <c r="F28" s="10"/>
    </row>
    <row r="29" spans="2:6" ht="18" customHeight="1" x14ac:dyDescent="0.3"/>
    <row r="30" spans="2:6" ht="18" customHeight="1" x14ac:dyDescent="0.3"/>
    <row r="31" spans="2:6" ht="18" customHeight="1" x14ac:dyDescent="0.3"/>
    <row r="32" spans="2:6" ht="18" customHeight="1" x14ac:dyDescent="0.3"/>
    <row r="33" ht="18" customHeight="1" x14ac:dyDescent="0.3"/>
    <row r="34" ht="18" customHeight="1" x14ac:dyDescent="0.3"/>
    <row r="35" ht="18" customHeight="1" x14ac:dyDescent="0.3"/>
    <row r="36" ht="18" customHeight="1" x14ac:dyDescent="0.3"/>
    <row r="37" ht="18" customHeight="1" x14ac:dyDescent="0.3"/>
    <row r="38" ht="18" customHeight="1" x14ac:dyDescent="0.3"/>
    <row r="39" ht="18" customHeight="1" x14ac:dyDescent="0.3"/>
    <row r="40" ht="18" customHeight="1" x14ac:dyDescent="0.3"/>
    <row r="41" ht="18" customHeight="1" x14ac:dyDescent="0.3"/>
    <row r="42" ht="18" customHeight="1" x14ac:dyDescent="0.3"/>
    <row r="43" ht="18" customHeight="1" x14ac:dyDescent="0.3"/>
    <row r="44" ht="18" customHeight="1" x14ac:dyDescent="0.3"/>
    <row r="45" ht="18" customHeight="1" x14ac:dyDescent="0.3"/>
    <row r="46" ht="18" customHeight="1" x14ac:dyDescent="0.3"/>
    <row r="47" ht="18" customHeight="1" x14ac:dyDescent="0.3"/>
    <row r="48" ht="18" customHeight="1" x14ac:dyDescent="0.3"/>
    <row r="49" ht="18" customHeight="1" x14ac:dyDescent="0.3"/>
    <row r="50" ht="18" customHeight="1" x14ac:dyDescent="0.3"/>
    <row r="51" ht="18" customHeight="1" x14ac:dyDescent="0.3"/>
    <row r="52" ht="18" customHeight="1" x14ac:dyDescent="0.3"/>
    <row r="53" ht="18" customHeight="1" x14ac:dyDescent="0.3"/>
    <row r="54" ht="18" customHeight="1" x14ac:dyDescent="0.3"/>
    <row r="55" ht="18" customHeight="1" x14ac:dyDescent="0.3"/>
    <row r="56" ht="18" customHeight="1" x14ac:dyDescent="0.3"/>
    <row r="57" ht="18" customHeight="1" x14ac:dyDescent="0.3"/>
    <row r="58" ht="18" customHeight="1" x14ac:dyDescent="0.3"/>
    <row r="59" ht="18" customHeight="1" x14ac:dyDescent="0.3"/>
    <row r="60" ht="18" customHeight="1" x14ac:dyDescent="0.3"/>
    <row r="61" ht="18" customHeight="1" x14ac:dyDescent="0.3"/>
    <row r="62" ht="18" customHeight="1" x14ac:dyDescent="0.3"/>
    <row r="63" ht="18" customHeight="1" x14ac:dyDescent="0.3"/>
    <row r="64" ht="18" customHeight="1" x14ac:dyDescent="0.3"/>
    <row r="65" ht="18" customHeight="1" x14ac:dyDescent="0.3"/>
    <row r="66" ht="18" customHeight="1" x14ac:dyDescent="0.3"/>
    <row r="67" ht="18" customHeight="1" x14ac:dyDescent="0.3"/>
    <row r="68" ht="18" customHeight="1" x14ac:dyDescent="0.3"/>
    <row r="69" ht="18" customHeight="1" x14ac:dyDescent="0.3"/>
    <row r="70" ht="18" customHeight="1" x14ac:dyDescent="0.3"/>
    <row r="71" ht="18" customHeight="1" x14ac:dyDescent="0.3"/>
    <row r="72" ht="18" customHeight="1" x14ac:dyDescent="0.3"/>
    <row r="73" ht="18" customHeight="1" x14ac:dyDescent="0.3"/>
    <row r="74" ht="18" customHeight="1" x14ac:dyDescent="0.3"/>
    <row r="75" ht="18" customHeight="1" x14ac:dyDescent="0.3"/>
    <row r="76" ht="18" customHeight="1" x14ac:dyDescent="0.3"/>
    <row r="77" ht="18" customHeight="1" x14ac:dyDescent="0.3"/>
    <row r="78" ht="18" customHeight="1" x14ac:dyDescent="0.3"/>
    <row r="79" ht="18" customHeight="1" x14ac:dyDescent="0.3"/>
    <row r="80" ht="18" customHeight="1" x14ac:dyDescent="0.3"/>
    <row r="81" ht="18" customHeight="1" x14ac:dyDescent="0.3"/>
    <row r="82" ht="18" customHeight="1" x14ac:dyDescent="0.3"/>
    <row r="83" ht="18" customHeight="1" x14ac:dyDescent="0.3"/>
    <row r="84" ht="18" customHeight="1" x14ac:dyDescent="0.3"/>
    <row r="85" ht="18" customHeight="1" x14ac:dyDescent="0.3"/>
    <row r="86" ht="18" customHeight="1" x14ac:dyDescent="0.3"/>
    <row r="87" ht="18" customHeight="1" x14ac:dyDescent="0.3"/>
    <row r="88" ht="18" customHeight="1" x14ac:dyDescent="0.3"/>
    <row r="89" ht="18" customHeight="1" x14ac:dyDescent="0.3"/>
    <row r="90" ht="18" customHeight="1" x14ac:dyDescent="0.3"/>
    <row r="91" ht="18" customHeight="1" x14ac:dyDescent="0.3"/>
    <row r="92" ht="18" customHeight="1" x14ac:dyDescent="0.3"/>
    <row r="93" ht="18" customHeight="1" x14ac:dyDescent="0.3"/>
    <row r="94" ht="18" customHeight="1" x14ac:dyDescent="0.3"/>
    <row r="95" ht="18" customHeight="1" x14ac:dyDescent="0.3"/>
    <row r="96" ht="18" customHeight="1" x14ac:dyDescent="0.3"/>
    <row r="97" ht="18" customHeight="1" x14ac:dyDescent="0.3"/>
    <row r="98" ht="18" customHeight="1" x14ac:dyDescent="0.3"/>
  </sheetData>
  <pageMargins left="0.7" right="0.7" top="0.75" bottom="0.75" header="0.3" footer="0.3"/>
  <drawing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F8DBDC-446C-445C-92DB-CD270F969EF7}">
  <sheetPr codeName="ShSettings">
    <tabColor rgb="FF7030A0"/>
  </sheetPr>
  <dimension ref="A1:AP21"/>
  <sheetViews>
    <sheetView showGridLines="0" workbookViewId="0">
      <selection activeCell="N4" sqref="N4"/>
    </sheetView>
  </sheetViews>
  <sheetFormatPr defaultColWidth="0" defaultRowHeight="14.4" x14ac:dyDescent="0.3"/>
  <cols>
    <col min="1" max="1" width="2.6640625" customWidth="1"/>
    <col min="2" max="2" width="17.44140625" customWidth="1"/>
    <col min="3" max="3" width="19.6640625" customWidth="1"/>
    <col min="4" max="4" width="20.33203125" customWidth="1"/>
    <col min="5" max="5" width="7.88671875" customWidth="1"/>
    <col min="6" max="6" width="25.6640625" customWidth="1"/>
    <col min="7" max="7" width="17.88671875" bestFit="1" customWidth="1"/>
    <col min="8" max="8" width="4.6640625" customWidth="1"/>
    <col min="9" max="9" width="7.6640625" customWidth="1"/>
    <col min="10" max="10" width="5.33203125" customWidth="1"/>
    <col min="11" max="11" width="6.109375" customWidth="1"/>
    <col min="12" max="12" width="3.88671875" customWidth="1"/>
    <col min="13" max="13" width="15.33203125" customWidth="1"/>
    <col min="14" max="14" width="26.109375" customWidth="1"/>
    <col min="15" max="15" width="6.6640625" customWidth="1"/>
    <col min="16" max="16" width="12.33203125" hidden="1" customWidth="1"/>
    <col min="17" max="17" width="3.6640625" hidden="1" customWidth="1"/>
    <col min="18" max="18" width="8.88671875" hidden="1" customWidth="1"/>
    <col min="19" max="19" width="15.33203125" hidden="1" customWidth="1"/>
    <col min="20" max="16384" width="8.88671875" hidden="1"/>
  </cols>
  <sheetData>
    <row r="1" spans="1:42" ht="18" customHeight="1" x14ac:dyDescent="0.3">
      <c r="C1" s="1"/>
      <c r="D1" s="1"/>
      <c r="E1" s="1"/>
      <c r="F1" s="1"/>
      <c r="G1" s="1"/>
      <c r="H1" s="1"/>
      <c r="I1" s="1"/>
      <c r="J1" s="1"/>
      <c r="K1" s="1"/>
      <c r="L1" s="1"/>
      <c r="M1" s="13" t="s">
        <v>96</v>
      </c>
      <c r="N1" s="9">
        <v>44893</v>
      </c>
    </row>
    <row r="2" spans="1:42" ht="18" customHeight="1" x14ac:dyDescent="0.3">
      <c r="C2" s="1"/>
      <c r="D2" s="1"/>
      <c r="E2" s="1"/>
      <c r="F2" s="1"/>
      <c r="G2" s="1"/>
      <c r="H2" s="1"/>
      <c r="I2" s="1"/>
      <c r="J2" s="1"/>
      <c r="K2" s="1"/>
      <c r="L2" s="1"/>
      <c r="M2" s="13" t="s">
        <v>97</v>
      </c>
      <c r="N2" s="8"/>
    </row>
    <row r="3" spans="1:42" ht="18" customHeight="1" thickBot="1" x14ac:dyDescent="0.35">
      <c r="C3" s="1"/>
      <c r="D3" s="1"/>
      <c r="E3" s="1"/>
      <c r="F3" s="1"/>
      <c r="G3" s="1"/>
      <c r="H3" s="1"/>
      <c r="I3" s="1"/>
      <c r="J3" s="1"/>
      <c r="K3" s="1"/>
      <c r="L3" s="1"/>
      <c r="M3" s="12" t="s">
        <v>98</v>
      </c>
      <c r="N3" s="8" t="s">
        <v>99</v>
      </c>
      <c r="AO3" t="s">
        <v>83</v>
      </c>
      <c r="AP3" s="4">
        <v>54</v>
      </c>
    </row>
    <row r="4" spans="1:42" ht="28.95" customHeight="1" thickTop="1" thickBot="1" x14ac:dyDescent="0.35">
      <c r="B4" s="7" t="s">
        <v>153</v>
      </c>
      <c r="C4" s="7"/>
      <c r="D4" s="7"/>
      <c r="E4" s="7"/>
      <c r="F4" s="7"/>
      <c r="G4" s="7"/>
      <c r="H4" s="7"/>
      <c r="I4" s="7"/>
      <c r="J4" s="7"/>
      <c r="K4" s="7"/>
      <c r="L4" s="7"/>
      <c r="M4" s="103" t="s">
        <v>288</v>
      </c>
      <c r="N4" s="109">
        <v>2</v>
      </c>
    </row>
    <row r="5" spans="1:42" ht="15" thickTop="1" x14ac:dyDescent="0.3">
      <c r="AH5" s="129" t="s">
        <v>228</v>
      </c>
      <c r="AI5" s="130"/>
      <c r="AJ5" s="131"/>
      <c r="AL5" s="129" t="s">
        <v>224</v>
      </c>
      <c r="AM5" s="130"/>
      <c r="AN5" s="130"/>
      <c r="AO5" s="130"/>
      <c r="AP5" s="131"/>
    </row>
    <row r="6" spans="1:42" ht="16.2" customHeight="1" x14ac:dyDescent="0.3">
      <c r="B6" s="129" t="s">
        <v>297</v>
      </c>
      <c r="C6" s="130"/>
      <c r="D6" s="130"/>
      <c r="F6" s="129" t="s">
        <v>280</v>
      </c>
      <c r="G6" s="131"/>
    </row>
    <row r="7" spans="1:42" ht="9.6" customHeight="1" x14ac:dyDescent="0.3"/>
    <row r="8" spans="1:42" ht="17.399999999999999" customHeight="1" x14ac:dyDescent="0.3">
      <c r="B8" s="106" t="s">
        <v>282</v>
      </c>
      <c r="C8" s="106" t="s">
        <v>283</v>
      </c>
      <c r="D8" s="106" t="s">
        <v>284</v>
      </c>
      <c r="F8" s="106" t="s">
        <v>278</v>
      </c>
      <c r="G8" s="107" t="s">
        <v>279</v>
      </c>
      <c r="AI8" s="15" t="s">
        <v>225</v>
      </c>
      <c r="AL8" s="132" t="s">
        <v>229</v>
      </c>
      <c r="AM8" s="133"/>
      <c r="AN8" s="134"/>
      <c r="AO8" s="53"/>
      <c r="AP8" s="4" t="s">
        <v>227</v>
      </c>
    </row>
    <row r="9" spans="1:42" ht="7.2" hidden="1" customHeight="1" x14ac:dyDescent="0.3">
      <c r="A9" s="77"/>
      <c r="B9" s="108" t="s">
        <v>282</v>
      </c>
      <c r="C9" s="108" t="s">
        <v>283</v>
      </c>
      <c r="D9" s="108" t="s">
        <v>284</v>
      </c>
      <c r="F9" s="106" t="s">
        <v>278</v>
      </c>
      <c r="G9" s="107" t="s">
        <v>279</v>
      </c>
      <c r="AI9" s="4"/>
      <c r="AJ9" s="4"/>
      <c r="AM9" s="52" t="s">
        <v>223</v>
      </c>
      <c r="AP9" s="54">
        <v>2</v>
      </c>
    </row>
    <row r="10" spans="1:42" x14ac:dyDescent="0.3">
      <c r="A10" s="76"/>
      <c r="B10" s="74" t="s">
        <v>417</v>
      </c>
      <c r="C10" s="97"/>
      <c r="D10" s="93"/>
      <c r="F10" s="64" t="s">
        <v>268</v>
      </c>
      <c r="G10" s="65">
        <v>44927</v>
      </c>
      <c r="AK10" s="14"/>
      <c r="AL10" s="14"/>
      <c r="AP10" s="55">
        <v>1</v>
      </c>
    </row>
    <row r="11" spans="1:42" ht="16.95" customHeight="1" x14ac:dyDescent="0.3">
      <c r="A11" s="76"/>
      <c r="B11" s="74" t="s">
        <v>103</v>
      </c>
      <c r="C11" s="98"/>
      <c r="D11" s="94"/>
      <c r="F11" s="64" t="s">
        <v>269</v>
      </c>
      <c r="G11" s="65">
        <v>45026</v>
      </c>
    </row>
    <row r="12" spans="1:42" ht="16.95" customHeight="1" x14ac:dyDescent="0.3">
      <c r="A12" s="76"/>
      <c r="B12" s="74" t="s">
        <v>418</v>
      </c>
      <c r="C12" s="99"/>
      <c r="D12" s="95"/>
      <c r="F12" s="64" t="s">
        <v>270</v>
      </c>
      <c r="G12" s="65">
        <v>45047</v>
      </c>
    </row>
    <row r="13" spans="1:42" ht="16.95" customHeight="1" x14ac:dyDescent="0.3">
      <c r="A13" s="76"/>
      <c r="B13" s="75" t="s">
        <v>419</v>
      </c>
      <c r="C13" s="110"/>
      <c r="D13" s="96"/>
      <c r="F13" s="66">
        <v>16565</v>
      </c>
      <c r="G13" s="65">
        <v>45054</v>
      </c>
    </row>
    <row r="14" spans="1:42" x14ac:dyDescent="0.3">
      <c r="B14" s="67"/>
      <c r="C14" s="67"/>
      <c r="F14" s="64" t="s">
        <v>271</v>
      </c>
      <c r="G14" s="65">
        <v>45064</v>
      </c>
    </row>
    <row r="15" spans="1:42" x14ac:dyDescent="0.3">
      <c r="F15" s="64" t="s">
        <v>272</v>
      </c>
      <c r="G15" s="65">
        <v>45075</v>
      </c>
    </row>
    <row r="16" spans="1:42" x14ac:dyDescent="0.3">
      <c r="F16" s="64" t="s">
        <v>273</v>
      </c>
      <c r="G16" s="65">
        <v>45121</v>
      </c>
    </row>
    <row r="17" spans="6:12" x14ac:dyDescent="0.3">
      <c r="F17" s="64" t="s">
        <v>274</v>
      </c>
      <c r="G17" s="65">
        <v>45153</v>
      </c>
    </row>
    <row r="18" spans="6:12" x14ac:dyDescent="0.3">
      <c r="F18" s="64" t="s">
        <v>275</v>
      </c>
      <c r="G18" s="65">
        <v>45231</v>
      </c>
    </row>
    <row r="19" spans="6:12" x14ac:dyDescent="0.3">
      <c r="F19" s="64" t="s">
        <v>276</v>
      </c>
      <c r="G19" s="65">
        <v>45241</v>
      </c>
      <c r="H19" s="42"/>
      <c r="I19" s="42"/>
      <c r="J19" s="42"/>
    </row>
    <row r="20" spans="6:12" x14ac:dyDescent="0.3">
      <c r="F20" s="64" t="s">
        <v>277</v>
      </c>
      <c r="G20" s="65">
        <v>45285</v>
      </c>
    </row>
    <row r="21" spans="6:12" x14ac:dyDescent="0.3">
      <c r="H21" s="43"/>
      <c r="I21" s="43"/>
      <c r="J21" s="43"/>
      <c r="K21" s="43"/>
      <c r="L21" s="43"/>
    </row>
  </sheetData>
  <mergeCells count="5">
    <mergeCell ref="B6:D6"/>
    <mergeCell ref="AL5:AP5"/>
    <mergeCell ref="AL8:AN8"/>
    <mergeCell ref="AH5:AJ5"/>
    <mergeCell ref="F6:G6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Drop Down 1">
              <controlPr defaultSize="0" autoLine="0" autoPict="0" macro="[0]!change_langue">
                <anchor moveWithCells="1">
                  <from>
                    <xdr:col>13</xdr:col>
                    <xdr:colOff>175260</xdr:colOff>
                    <xdr:row>3</xdr:row>
                    <xdr:rowOff>83820</xdr:rowOff>
                  </from>
                  <to>
                    <xdr:col>13</xdr:col>
                    <xdr:colOff>1744980</xdr:colOff>
                    <xdr:row>3</xdr:row>
                    <xdr:rowOff>297180</xdr:rowOff>
                  </to>
                </anchor>
              </controlPr>
            </control>
          </mc:Choice>
        </mc:AlternateContent>
      </controls>
    </mc:Choice>
  </mc:AlternateContent>
  <tableParts count="3">
    <tablePart r:id="rId4"/>
    <tablePart r:id="rId5"/>
    <tablePart r:id="rId6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D0B42E-F423-4C1A-A757-9AF8846AE48C}">
  <sheetPr codeName="ShLangue"/>
  <dimension ref="A1:F175"/>
  <sheetViews>
    <sheetView showGridLines="0" workbookViewId="0">
      <selection activeCell="A18" sqref="A18"/>
    </sheetView>
  </sheetViews>
  <sheetFormatPr defaultColWidth="9.109375" defaultRowHeight="14.4" x14ac:dyDescent="0.3"/>
  <cols>
    <col min="1" max="1" width="57.33203125" customWidth="1"/>
    <col min="2" max="2" width="57.33203125" bestFit="1" customWidth="1"/>
    <col min="6" max="6" width="15" customWidth="1"/>
  </cols>
  <sheetData>
    <row r="1" spans="1:6" x14ac:dyDescent="0.3">
      <c r="A1" s="1" t="s">
        <v>286</v>
      </c>
      <c r="B1" s="1" t="s">
        <v>287</v>
      </c>
      <c r="F1" t="s">
        <v>288</v>
      </c>
    </row>
    <row r="2" spans="1:6" x14ac:dyDescent="0.3">
      <c r="A2" s="100" t="s">
        <v>96</v>
      </c>
      <c r="B2" s="1" t="s">
        <v>289</v>
      </c>
      <c r="F2" t="s">
        <v>287</v>
      </c>
    </row>
    <row r="3" spans="1:6" x14ac:dyDescent="0.3">
      <c r="A3" s="101" t="s">
        <v>97</v>
      </c>
      <c r="B3" s="1" t="s">
        <v>290</v>
      </c>
      <c r="F3" t="s">
        <v>286</v>
      </c>
    </row>
    <row r="4" spans="1:6" x14ac:dyDescent="0.3">
      <c r="A4" s="100" t="s">
        <v>98</v>
      </c>
      <c r="B4" s="1" t="s">
        <v>291</v>
      </c>
    </row>
    <row r="5" spans="1:6" x14ac:dyDescent="0.3">
      <c r="A5" s="100" t="s">
        <v>154</v>
      </c>
      <c r="B5" s="1" t="s">
        <v>292</v>
      </c>
    </row>
    <row r="6" spans="1:6" x14ac:dyDescent="0.3">
      <c r="A6" s="100" t="s">
        <v>293</v>
      </c>
      <c r="B6" s="1" t="s">
        <v>294</v>
      </c>
    </row>
    <row r="7" spans="1:6" x14ac:dyDescent="0.3">
      <c r="A7" s="100" t="s">
        <v>152</v>
      </c>
      <c r="B7" s="1" t="s">
        <v>295</v>
      </c>
    </row>
    <row r="8" spans="1:6" x14ac:dyDescent="0.3">
      <c r="A8" s="100" t="s">
        <v>153</v>
      </c>
      <c r="B8" s="1" t="s">
        <v>296</v>
      </c>
    </row>
    <row r="9" spans="1:6" x14ac:dyDescent="0.3">
      <c r="A9" s="100" t="s">
        <v>297</v>
      </c>
      <c r="B9" s="1" t="s">
        <v>298</v>
      </c>
    </row>
    <row r="10" spans="1:6" x14ac:dyDescent="0.3">
      <c r="A10" s="100" t="s">
        <v>282</v>
      </c>
      <c r="B10" s="1" t="s">
        <v>299</v>
      </c>
    </row>
    <row r="11" spans="1:6" x14ac:dyDescent="0.3">
      <c r="A11" s="100" t="s">
        <v>283</v>
      </c>
      <c r="B11" s="1" t="s">
        <v>300</v>
      </c>
    </row>
    <row r="12" spans="1:6" x14ac:dyDescent="0.3">
      <c r="A12" s="100" t="s">
        <v>284</v>
      </c>
      <c r="B12" s="1" t="s">
        <v>301</v>
      </c>
    </row>
    <row r="13" spans="1:6" x14ac:dyDescent="0.3">
      <c r="A13" s="100" t="s">
        <v>102</v>
      </c>
      <c r="B13" s="1" t="s">
        <v>102</v>
      </c>
    </row>
    <row r="14" spans="1:6" x14ac:dyDescent="0.3">
      <c r="A14" s="100" t="s">
        <v>103</v>
      </c>
      <c r="B14" s="1" t="s">
        <v>302</v>
      </c>
    </row>
    <row r="15" spans="1:6" x14ac:dyDescent="0.3">
      <c r="A15" s="100" t="s">
        <v>104</v>
      </c>
      <c r="B15" s="1" t="s">
        <v>303</v>
      </c>
    </row>
    <row r="16" spans="1:6" x14ac:dyDescent="0.3">
      <c r="A16" s="100" t="s">
        <v>155</v>
      </c>
      <c r="B16" s="1" t="s">
        <v>304</v>
      </c>
    </row>
    <row r="17" spans="1:2" x14ac:dyDescent="0.3">
      <c r="A17" s="100" t="s">
        <v>280</v>
      </c>
      <c r="B17" s="1" t="s">
        <v>305</v>
      </c>
    </row>
    <row r="18" spans="1:2" x14ac:dyDescent="0.3">
      <c r="A18" s="100" t="s">
        <v>278</v>
      </c>
      <c r="B18" s="1" t="s">
        <v>306</v>
      </c>
    </row>
    <row r="19" spans="1:2" x14ac:dyDescent="0.3">
      <c r="A19" s="100" t="s">
        <v>279</v>
      </c>
      <c r="B19" s="1" t="s">
        <v>279</v>
      </c>
    </row>
    <row r="20" spans="1:2" x14ac:dyDescent="0.3">
      <c r="A20" s="100" t="s">
        <v>268</v>
      </c>
      <c r="B20" s="1" t="s">
        <v>307</v>
      </c>
    </row>
    <row r="21" spans="1:2" x14ac:dyDescent="0.3">
      <c r="A21" s="100" t="s">
        <v>269</v>
      </c>
      <c r="B21" s="1" t="s">
        <v>308</v>
      </c>
    </row>
    <row r="22" spans="1:2" x14ac:dyDescent="0.3">
      <c r="A22" s="100" t="s">
        <v>270</v>
      </c>
      <c r="B22" s="1" t="s">
        <v>309</v>
      </c>
    </row>
    <row r="23" spans="1:2" x14ac:dyDescent="0.3">
      <c r="A23" s="102">
        <v>16565</v>
      </c>
      <c r="B23" s="1" t="s">
        <v>310</v>
      </c>
    </row>
    <row r="24" spans="1:2" x14ac:dyDescent="0.3">
      <c r="A24" s="100" t="s">
        <v>271</v>
      </c>
      <c r="B24" s="1" t="s">
        <v>311</v>
      </c>
    </row>
    <row r="25" spans="1:2" x14ac:dyDescent="0.3">
      <c r="A25" s="100" t="s">
        <v>272</v>
      </c>
      <c r="B25" s="1" t="s">
        <v>312</v>
      </c>
    </row>
    <row r="26" spans="1:2" x14ac:dyDescent="0.3">
      <c r="A26" s="100" t="s">
        <v>273</v>
      </c>
      <c r="B26" s="1" t="s">
        <v>313</v>
      </c>
    </row>
    <row r="27" spans="1:2" x14ac:dyDescent="0.3">
      <c r="A27" s="100" t="s">
        <v>274</v>
      </c>
      <c r="B27" s="1" t="s">
        <v>314</v>
      </c>
    </row>
    <row r="28" spans="1:2" x14ac:dyDescent="0.3">
      <c r="A28" s="100" t="s">
        <v>275</v>
      </c>
      <c r="B28" s="1" t="s">
        <v>315</v>
      </c>
    </row>
    <row r="29" spans="1:2" x14ac:dyDescent="0.3">
      <c r="A29" s="100" t="s">
        <v>276</v>
      </c>
      <c r="B29" s="1" t="s">
        <v>316</v>
      </c>
    </row>
    <row r="30" spans="1:2" x14ac:dyDescent="0.3">
      <c r="A30" s="100" t="s">
        <v>277</v>
      </c>
      <c r="B30" s="1" t="s">
        <v>317</v>
      </c>
    </row>
    <row r="31" spans="1:2" x14ac:dyDescent="0.3">
      <c r="A31" s="100" t="s">
        <v>318</v>
      </c>
      <c r="B31" s="1" t="s">
        <v>318</v>
      </c>
    </row>
    <row r="32" spans="1:2" x14ac:dyDescent="0.3">
      <c r="A32" s="100" t="s">
        <v>319</v>
      </c>
      <c r="B32" s="1" t="s">
        <v>320</v>
      </c>
    </row>
    <row r="33" spans="1:2" x14ac:dyDescent="0.3">
      <c r="A33" s="101" t="s">
        <v>321</v>
      </c>
      <c r="B33" s="1" t="s">
        <v>322</v>
      </c>
    </row>
    <row r="34" spans="1:2" x14ac:dyDescent="0.3">
      <c r="A34" s="100" t="s">
        <v>323</v>
      </c>
      <c r="B34" s="1" t="s">
        <v>324</v>
      </c>
    </row>
    <row r="35" spans="1:2" x14ac:dyDescent="0.3">
      <c r="A35" s="101" t="s">
        <v>325</v>
      </c>
      <c r="B35" s="1" t="s">
        <v>326</v>
      </c>
    </row>
    <row r="36" spans="1:2" x14ac:dyDescent="0.3">
      <c r="A36" s="100" t="s">
        <v>110</v>
      </c>
      <c r="B36" s="1" t="s">
        <v>327</v>
      </c>
    </row>
    <row r="37" spans="1:2" x14ac:dyDescent="0.3">
      <c r="A37" s="100" t="s">
        <v>112</v>
      </c>
      <c r="B37" s="1" t="s">
        <v>112</v>
      </c>
    </row>
    <row r="38" spans="1:2" x14ac:dyDescent="0.3">
      <c r="A38" s="100" t="s">
        <v>114</v>
      </c>
      <c r="B38" s="1" t="s">
        <v>328</v>
      </c>
    </row>
    <row r="39" spans="1:2" x14ac:dyDescent="0.3">
      <c r="A39" s="100" t="s">
        <v>117</v>
      </c>
      <c r="B39" s="1" t="s">
        <v>329</v>
      </c>
    </row>
    <row r="40" spans="1:2" x14ac:dyDescent="0.3">
      <c r="A40" s="100" t="s">
        <v>119</v>
      </c>
      <c r="B40" s="1" t="s">
        <v>330</v>
      </c>
    </row>
    <row r="41" spans="1:2" x14ac:dyDescent="0.3">
      <c r="A41" s="100" t="s">
        <v>121</v>
      </c>
      <c r="B41" s="1" t="s">
        <v>331</v>
      </c>
    </row>
    <row r="42" spans="1:2" x14ac:dyDescent="0.3">
      <c r="A42" s="101" t="s">
        <v>123</v>
      </c>
      <c r="B42" s="1" t="s">
        <v>332</v>
      </c>
    </row>
    <row r="43" spans="1:2" x14ac:dyDescent="0.3">
      <c r="A43" s="100" t="s">
        <v>125</v>
      </c>
      <c r="B43" s="1" t="s">
        <v>333</v>
      </c>
    </row>
    <row r="44" spans="1:2" x14ac:dyDescent="0.3">
      <c r="A44" s="100" t="s">
        <v>127</v>
      </c>
      <c r="B44" s="1" t="s">
        <v>334</v>
      </c>
    </row>
    <row r="45" spans="1:2" x14ac:dyDescent="0.3">
      <c r="A45" s="101" t="s">
        <v>129</v>
      </c>
      <c r="B45" s="1" t="s">
        <v>335</v>
      </c>
    </row>
    <row r="46" spans="1:2" x14ac:dyDescent="0.3">
      <c r="A46" s="100" t="s">
        <v>131</v>
      </c>
      <c r="B46" s="1" t="s">
        <v>336</v>
      </c>
    </row>
    <row r="47" spans="1:2" x14ac:dyDescent="0.3">
      <c r="A47" s="101" t="s">
        <v>133</v>
      </c>
      <c r="B47" s="1" t="s">
        <v>337</v>
      </c>
    </row>
    <row r="48" spans="1:2" x14ac:dyDescent="0.3">
      <c r="A48" s="100" t="s">
        <v>137</v>
      </c>
      <c r="B48" s="1" t="s">
        <v>338</v>
      </c>
    </row>
    <row r="49" spans="1:2" x14ac:dyDescent="0.3">
      <c r="A49" s="100" t="s">
        <v>140</v>
      </c>
      <c r="B49" s="1" t="s">
        <v>339</v>
      </c>
    </row>
    <row r="50" spans="1:2" x14ac:dyDescent="0.3">
      <c r="A50" s="100" t="s">
        <v>144</v>
      </c>
      <c r="B50" s="1" t="s">
        <v>340</v>
      </c>
    </row>
    <row r="51" spans="1:2" x14ac:dyDescent="0.3">
      <c r="A51" s="100" t="s">
        <v>146</v>
      </c>
      <c r="B51" s="1" t="s">
        <v>340</v>
      </c>
    </row>
    <row r="52" spans="1:2" x14ac:dyDescent="0.3">
      <c r="A52" s="101" t="s">
        <v>148</v>
      </c>
      <c r="B52" s="1" t="s">
        <v>341</v>
      </c>
    </row>
    <row r="53" spans="1:2" x14ac:dyDescent="0.3">
      <c r="A53" s="100" t="s">
        <v>151</v>
      </c>
      <c r="B53" s="1" t="s">
        <v>342</v>
      </c>
    </row>
    <row r="54" spans="1:2" x14ac:dyDescent="0.3">
      <c r="A54" s="101" t="s">
        <v>0</v>
      </c>
      <c r="B54" s="1" t="s">
        <v>0</v>
      </c>
    </row>
    <row r="55" spans="1:2" x14ac:dyDescent="0.3">
      <c r="A55" s="100" t="s">
        <v>105</v>
      </c>
      <c r="B55" s="1" t="s">
        <v>343</v>
      </c>
    </row>
    <row r="56" spans="1:2" x14ac:dyDescent="0.3">
      <c r="A56" s="100" t="s">
        <v>106</v>
      </c>
      <c r="B56" s="1" t="s">
        <v>344</v>
      </c>
    </row>
    <row r="57" spans="1:2" x14ac:dyDescent="0.3">
      <c r="A57" s="100" t="s">
        <v>107</v>
      </c>
      <c r="B57" s="1" t="s">
        <v>345</v>
      </c>
    </row>
    <row r="58" spans="1:2" x14ac:dyDescent="0.3">
      <c r="A58" s="100" t="s">
        <v>108</v>
      </c>
      <c r="B58" s="1" t="s">
        <v>346</v>
      </c>
    </row>
    <row r="59" spans="1:2" x14ac:dyDescent="0.3">
      <c r="A59" s="100" t="s">
        <v>288</v>
      </c>
      <c r="B59" s="1" t="s">
        <v>347</v>
      </c>
    </row>
    <row r="60" spans="1:2" x14ac:dyDescent="0.3">
      <c r="A60" s="20" t="s">
        <v>156</v>
      </c>
      <c r="B60" s="1" t="s">
        <v>348</v>
      </c>
    </row>
    <row r="61" spans="1:2" x14ac:dyDescent="0.3">
      <c r="A61" s="20" t="s">
        <v>157</v>
      </c>
      <c r="B61" s="1" t="s">
        <v>349</v>
      </c>
    </row>
    <row r="62" spans="1:2" x14ac:dyDescent="0.3">
      <c r="A62" s="20" t="s">
        <v>158</v>
      </c>
      <c r="B62" s="1" t="s">
        <v>350</v>
      </c>
    </row>
    <row r="63" spans="1:2" x14ac:dyDescent="0.3">
      <c r="A63" s="20" t="s">
        <v>159</v>
      </c>
      <c r="B63" s="1" t="s">
        <v>407</v>
      </c>
    </row>
    <row r="64" spans="1:2" x14ac:dyDescent="0.3">
      <c r="A64" s="20" t="s">
        <v>160</v>
      </c>
      <c r="B64" s="1" t="s">
        <v>351</v>
      </c>
    </row>
    <row r="65" spans="1:2" x14ac:dyDescent="0.3">
      <c r="A65" s="20" t="s">
        <v>161</v>
      </c>
      <c r="B65" s="1" t="s">
        <v>352</v>
      </c>
    </row>
    <row r="66" spans="1:2" x14ac:dyDescent="0.3">
      <c r="A66" s="20" t="s">
        <v>162</v>
      </c>
      <c r="B66" s="1" t="s">
        <v>353</v>
      </c>
    </row>
    <row r="67" spans="1:2" x14ac:dyDescent="0.3">
      <c r="A67" s="20" t="s">
        <v>163</v>
      </c>
      <c r="B67" s="1" t="s">
        <v>408</v>
      </c>
    </row>
    <row r="68" spans="1:2" x14ac:dyDescent="0.3">
      <c r="A68" s="20" t="s">
        <v>164</v>
      </c>
      <c r="B68" s="1" t="s">
        <v>354</v>
      </c>
    </row>
    <row r="69" spans="1:2" x14ac:dyDescent="0.3">
      <c r="A69" s="20" t="s">
        <v>165</v>
      </c>
      <c r="B69" s="1" t="s">
        <v>409</v>
      </c>
    </row>
    <row r="70" spans="1:2" x14ac:dyDescent="0.3">
      <c r="A70" s="20" t="s">
        <v>166</v>
      </c>
      <c r="B70" s="1" t="s">
        <v>410</v>
      </c>
    </row>
    <row r="71" spans="1:2" ht="28.8" x14ac:dyDescent="0.3">
      <c r="A71" s="20" t="s">
        <v>167</v>
      </c>
      <c r="B71" s="1" t="s">
        <v>355</v>
      </c>
    </row>
    <row r="72" spans="1:2" x14ac:dyDescent="0.3">
      <c r="A72" s="20" t="s">
        <v>168</v>
      </c>
      <c r="B72" s="1" t="s">
        <v>356</v>
      </c>
    </row>
    <row r="73" spans="1:2" x14ac:dyDescent="0.3">
      <c r="A73" s="20" t="s">
        <v>169</v>
      </c>
      <c r="B73" s="1" t="s">
        <v>411</v>
      </c>
    </row>
    <row r="74" spans="1:2" x14ac:dyDescent="0.3">
      <c r="A74" s="20" t="s">
        <v>170</v>
      </c>
      <c r="B74" s="1" t="s">
        <v>357</v>
      </c>
    </row>
    <row r="75" spans="1:2" x14ac:dyDescent="0.3">
      <c r="A75" s="20" t="s">
        <v>171</v>
      </c>
      <c r="B75" s="1" t="s">
        <v>358</v>
      </c>
    </row>
    <row r="76" spans="1:2" x14ac:dyDescent="0.3">
      <c r="A76" s="20" t="s">
        <v>172</v>
      </c>
      <c r="B76" s="1" t="s">
        <v>359</v>
      </c>
    </row>
    <row r="77" spans="1:2" x14ac:dyDescent="0.3">
      <c r="A77" s="20" t="s">
        <v>173</v>
      </c>
      <c r="B77" s="1" t="s">
        <v>360</v>
      </c>
    </row>
    <row r="78" spans="1:2" x14ac:dyDescent="0.3">
      <c r="A78" s="20" t="s">
        <v>174</v>
      </c>
      <c r="B78" s="1" t="s">
        <v>361</v>
      </c>
    </row>
    <row r="79" spans="1:2" x14ac:dyDescent="0.3">
      <c r="A79" s="20" t="s">
        <v>175</v>
      </c>
      <c r="B79" s="1" t="s">
        <v>362</v>
      </c>
    </row>
    <row r="80" spans="1:2" x14ac:dyDescent="0.3">
      <c r="A80" s="20" t="s">
        <v>176</v>
      </c>
      <c r="B80" s="1" t="s">
        <v>412</v>
      </c>
    </row>
    <row r="81" spans="1:2" x14ac:dyDescent="0.3">
      <c r="A81" s="23" t="s">
        <v>226</v>
      </c>
      <c r="B81" s="1" t="s">
        <v>363</v>
      </c>
    </row>
    <row r="82" spans="1:2" x14ac:dyDescent="0.3">
      <c r="A82" s="20" t="s">
        <v>177</v>
      </c>
      <c r="B82" s="1" t="s">
        <v>364</v>
      </c>
    </row>
    <row r="83" spans="1:2" x14ac:dyDescent="0.3">
      <c r="A83" s="20" t="s">
        <v>178</v>
      </c>
      <c r="B83" s="1" t="s">
        <v>365</v>
      </c>
    </row>
    <row r="84" spans="1:2" x14ac:dyDescent="0.3">
      <c r="A84" s="20" t="s">
        <v>179</v>
      </c>
      <c r="B84" s="1" t="s">
        <v>366</v>
      </c>
    </row>
    <row r="85" spans="1:2" x14ac:dyDescent="0.3">
      <c r="A85" s="20" t="s">
        <v>180</v>
      </c>
      <c r="B85" s="1" t="s">
        <v>367</v>
      </c>
    </row>
    <row r="86" spans="1:2" x14ac:dyDescent="0.3">
      <c r="A86" s="20" t="s">
        <v>181</v>
      </c>
      <c r="B86" s="1" t="s">
        <v>368</v>
      </c>
    </row>
    <row r="87" spans="1:2" x14ac:dyDescent="0.3">
      <c r="A87" s="20" t="s">
        <v>182</v>
      </c>
      <c r="B87" s="1" t="s">
        <v>369</v>
      </c>
    </row>
    <row r="88" spans="1:2" x14ac:dyDescent="0.3">
      <c r="A88" s="20" t="s">
        <v>183</v>
      </c>
      <c r="B88" s="1" t="s">
        <v>370</v>
      </c>
    </row>
    <row r="89" spans="1:2" x14ac:dyDescent="0.3">
      <c r="A89" s="20" t="s">
        <v>184</v>
      </c>
      <c r="B89" s="1" t="s">
        <v>371</v>
      </c>
    </row>
    <row r="90" spans="1:2" x14ac:dyDescent="0.3">
      <c r="A90" s="20" t="s">
        <v>185</v>
      </c>
      <c r="B90" s="1" t="s">
        <v>372</v>
      </c>
    </row>
    <row r="91" spans="1:2" x14ac:dyDescent="0.3">
      <c r="A91" s="20" t="s">
        <v>186</v>
      </c>
      <c r="B91" s="1" t="s">
        <v>373</v>
      </c>
    </row>
    <row r="92" spans="1:2" x14ac:dyDescent="0.3">
      <c r="A92" s="20" t="s">
        <v>187</v>
      </c>
      <c r="B92" s="1" t="s">
        <v>374</v>
      </c>
    </row>
    <row r="93" spans="1:2" x14ac:dyDescent="0.3">
      <c r="A93" s="20" t="s">
        <v>188</v>
      </c>
      <c r="B93" s="1" t="s">
        <v>413</v>
      </c>
    </row>
    <row r="94" spans="1:2" x14ac:dyDescent="0.3">
      <c r="A94" s="20" t="s">
        <v>189</v>
      </c>
      <c r="B94" s="1" t="s">
        <v>375</v>
      </c>
    </row>
    <row r="95" spans="1:2" x14ac:dyDescent="0.3">
      <c r="A95" s="20" t="s">
        <v>190</v>
      </c>
      <c r="B95" s="1" t="s">
        <v>376</v>
      </c>
    </row>
    <row r="96" spans="1:2" x14ac:dyDescent="0.3">
      <c r="A96" s="20" t="s">
        <v>191</v>
      </c>
      <c r="B96" s="1" t="s">
        <v>414</v>
      </c>
    </row>
    <row r="97" spans="1:2" x14ac:dyDescent="0.3">
      <c r="A97" s="20" t="s">
        <v>192</v>
      </c>
      <c r="B97" s="1" t="s">
        <v>377</v>
      </c>
    </row>
    <row r="98" spans="1:2" x14ac:dyDescent="0.3">
      <c r="A98" s="20" t="s">
        <v>193</v>
      </c>
      <c r="B98" s="1" t="s">
        <v>378</v>
      </c>
    </row>
    <row r="99" spans="1:2" x14ac:dyDescent="0.3">
      <c r="A99" s="20" t="s">
        <v>194</v>
      </c>
      <c r="B99" s="1" t="s">
        <v>379</v>
      </c>
    </row>
    <row r="100" spans="1:2" x14ac:dyDescent="0.3">
      <c r="A100" s="100" t="s">
        <v>400</v>
      </c>
      <c r="B100" s="1" t="s">
        <v>401</v>
      </c>
    </row>
    <row r="101" spans="1:2" x14ac:dyDescent="0.3">
      <c r="A101" s="100" t="s">
        <v>402</v>
      </c>
      <c r="B101" s="1" t="s">
        <v>403</v>
      </c>
    </row>
    <row r="102" spans="1:2" x14ac:dyDescent="0.3">
      <c r="A102" s="100" t="s">
        <v>404</v>
      </c>
      <c r="B102" s="1" t="s">
        <v>405</v>
      </c>
    </row>
    <row r="103" spans="1:2" x14ac:dyDescent="0.3">
      <c r="A103" s="100" t="s">
        <v>406</v>
      </c>
      <c r="B103" s="1" t="s">
        <v>223</v>
      </c>
    </row>
    <row r="104" spans="1:2" x14ac:dyDescent="0.3">
      <c r="A104" s="100" t="s">
        <v>387</v>
      </c>
      <c r="B104" s="1" t="s">
        <v>388</v>
      </c>
    </row>
    <row r="105" spans="1:2" x14ac:dyDescent="0.3">
      <c r="A105" s="100" t="s">
        <v>389</v>
      </c>
      <c r="B105" s="1" t="s">
        <v>390</v>
      </c>
    </row>
    <row r="106" spans="1:2" x14ac:dyDescent="0.3">
      <c r="A106" s="100" t="s">
        <v>391</v>
      </c>
      <c r="B106" s="1" t="s">
        <v>392</v>
      </c>
    </row>
    <row r="107" spans="1:2" x14ac:dyDescent="0.3">
      <c r="A107" s="100" t="s">
        <v>393</v>
      </c>
      <c r="B107" s="1" t="s">
        <v>394</v>
      </c>
    </row>
    <row r="108" spans="1:2" x14ac:dyDescent="0.3">
      <c r="A108" s="100" t="s">
        <v>88</v>
      </c>
      <c r="B108" s="1" t="s">
        <v>395</v>
      </c>
    </row>
    <row r="109" spans="1:2" x14ac:dyDescent="0.3">
      <c r="A109" s="100" t="s">
        <v>89</v>
      </c>
      <c r="B109" s="1" t="s">
        <v>396</v>
      </c>
    </row>
    <row r="110" spans="1:2" x14ac:dyDescent="0.3">
      <c r="A110" s="100" t="s">
        <v>90</v>
      </c>
      <c r="B110" s="1" t="s">
        <v>397</v>
      </c>
    </row>
    <row r="111" spans="1:2" x14ac:dyDescent="0.3">
      <c r="A111" s="100" t="s">
        <v>91</v>
      </c>
      <c r="B111" s="1" t="s">
        <v>398</v>
      </c>
    </row>
    <row r="112" spans="1:2" x14ac:dyDescent="0.3">
      <c r="A112" s="100" t="s">
        <v>285</v>
      </c>
      <c r="B112" s="1" t="s">
        <v>399</v>
      </c>
    </row>
    <row r="113" spans="1:2" x14ac:dyDescent="0.3">
      <c r="A113" s="100" t="s">
        <v>1</v>
      </c>
      <c r="B113" s="1" t="s">
        <v>380</v>
      </c>
    </row>
    <row r="114" spans="1:2" x14ac:dyDescent="0.3">
      <c r="A114" s="100" t="s">
        <v>101</v>
      </c>
      <c r="B114" s="1" t="s">
        <v>381</v>
      </c>
    </row>
    <row r="115" spans="1:2" x14ac:dyDescent="0.3">
      <c r="A115" s="100" t="s">
        <v>220</v>
      </c>
      <c r="B115" s="1" t="s">
        <v>382</v>
      </c>
    </row>
    <row r="116" spans="1:2" x14ac:dyDescent="0.3">
      <c r="A116" s="100" t="s">
        <v>3</v>
      </c>
      <c r="B116" s="1" t="s">
        <v>383</v>
      </c>
    </row>
    <row r="117" spans="1:2" x14ac:dyDescent="0.3">
      <c r="A117" s="100" t="s">
        <v>384</v>
      </c>
      <c r="B117" s="1" t="s">
        <v>385</v>
      </c>
    </row>
    <row r="118" spans="1:2" x14ac:dyDescent="0.3">
      <c r="A118" s="100" t="s">
        <v>4</v>
      </c>
      <c r="B118" s="1" t="s">
        <v>386</v>
      </c>
    </row>
    <row r="119" spans="1:2" x14ac:dyDescent="0.3">
      <c r="A119" s="100" t="s">
        <v>281</v>
      </c>
      <c r="B119" s="1" t="s">
        <v>416</v>
      </c>
    </row>
    <row r="120" spans="1:2" x14ac:dyDescent="0.3">
      <c r="A120" s="100" t="s">
        <v>5</v>
      </c>
      <c r="B120" s="1" t="s">
        <v>5</v>
      </c>
    </row>
    <row r="121" spans="1:2" x14ac:dyDescent="0.3">
      <c r="A121" s="100" t="s">
        <v>6</v>
      </c>
      <c r="B121" s="1" t="s">
        <v>6</v>
      </c>
    </row>
    <row r="122" spans="1:2" x14ac:dyDescent="0.3">
      <c r="A122" s="100" t="s">
        <v>87</v>
      </c>
      <c r="B122" s="1" t="s">
        <v>415</v>
      </c>
    </row>
    <row r="123" spans="1:2" x14ac:dyDescent="0.3">
      <c r="A123" s="100"/>
      <c r="B123" s="1"/>
    </row>
    <row r="124" spans="1:2" x14ac:dyDescent="0.3">
      <c r="A124" s="100"/>
      <c r="B124" s="1"/>
    </row>
    <row r="125" spans="1:2" x14ac:dyDescent="0.3">
      <c r="A125" s="100"/>
      <c r="B125" s="1"/>
    </row>
    <row r="126" spans="1:2" x14ac:dyDescent="0.3">
      <c r="A126" s="100"/>
      <c r="B126" s="1"/>
    </row>
    <row r="127" spans="1:2" x14ac:dyDescent="0.3">
      <c r="A127" s="100"/>
      <c r="B127" s="1"/>
    </row>
    <row r="128" spans="1:2" x14ac:dyDescent="0.3">
      <c r="A128" s="100"/>
      <c r="B128" s="1"/>
    </row>
    <row r="129" spans="1:2" x14ac:dyDescent="0.3">
      <c r="A129" s="100"/>
      <c r="B129" s="1"/>
    </row>
    <row r="130" spans="1:2" x14ac:dyDescent="0.3">
      <c r="A130" s="100"/>
      <c r="B130" s="1"/>
    </row>
    <row r="131" spans="1:2" x14ac:dyDescent="0.3">
      <c r="A131" s="100"/>
      <c r="B131" s="1"/>
    </row>
    <row r="132" spans="1:2" x14ac:dyDescent="0.3">
      <c r="A132" s="100"/>
      <c r="B132" s="1"/>
    </row>
    <row r="133" spans="1:2" x14ac:dyDescent="0.3">
      <c r="A133" s="100"/>
      <c r="B133" s="1"/>
    </row>
    <row r="134" spans="1:2" x14ac:dyDescent="0.3">
      <c r="A134" s="100"/>
      <c r="B134" s="1"/>
    </row>
    <row r="135" spans="1:2" x14ac:dyDescent="0.3">
      <c r="A135" s="100"/>
      <c r="B135" s="1"/>
    </row>
    <row r="136" spans="1:2" x14ac:dyDescent="0.3">
      <c r="A136" s="100"/>
      <c r="B136" s="1"/>
    </row>
    <row r="137" spans="1:2" x14ac:dyDescent="0.3">
      <c r="A137" s="100"/>
      <c r="B137" s="1"/>
    </row>
    <row r="138" spans="1:2" x14ac:dyDescent="0.3">
      <c r="A138" s="100"/>
      <c r="B138" s="1"/>
    </row>
    <row r="139" spans="1:2" x14ac:dyDescent="0.3">
      <c r="A139" s="100"/>
      <c r="B139" s="1"/>
    </row>
    <row r="140" spans="1:2" x14ac:dyDescent="0.3">
      <c r="A140" s="100"/>
      <c r="B140" s="1"/>
    </row>
    <row r="141" spans="1:2" x14ac:dyDescent="0.3">
      <c r="A141" s="100"/>
      <c r="B141" s="1"/>
    </row>
    <row r="142" spans="1:2" x14ac:dyDescent="0.3">
      <c r="A142" s="100"/>
      <c r="B142" s="1"/>
    </row>
    <row r="143" spans="1:2" x14ac:dyDescent="0.3">
      <c r="A143" s="100"/>
      <c r="B143" s="1"/>
    </row>
    <row r="144" spans="1:2" x14ac:dyDescent="0.3">
      <c r="A144" s="100"/>
      <c r="B144" s="1"/>
    </row>
    <row r="145" spans="1:2" x14ac:dyDescent="0.3">
      <c r="A145" s="100"/>
      <c r="B145" s="1"/>
    </row>
    <row r="146" spans="1:2" x14ac:dyDescent="0.3">
      <c r="A146" s="100"/>
      <c r="B146" s="1"/>
    </row>
    <row r="147" spans="1:2" x14ac:dyDescent="0.3">
      <c r="A147" s="100"/>
      <c r="B147" s="1"/>
    </row>
    <row r="148" spans="1:2" x14ac:dyDescent="0.3">
      <c r="A148" s="100"/>
      <c r="B148" s="1"/>
    </row>
    <row r="149" spans="1:2" x14ac:dyDescent="0.3">
      <c r="A149" s="100"/>
      <c r="B149" s="1"/>
    </row>
    <row r="150" spans="1:2" x14ac:dyDescent="0.3">
      <c r="A150" s="100"/>
      <c r="B150" s="1"/>
    </row>
    <row r="151" spans="1:2" x14ac:dyDescent="0.3">
      <c r="A151" s="100"/>
      <c r="B151" s="1"/>
    </row>
    <row r="152" spans="1:2" x14ac:dyDescent="0.3">
      <c r="A152" s="100"/>
      <c r="B152" s="1"/>
    </row>
    <row r="153" spans="1:2" x14ac:dyDescent="0.3">
      <c r="A153" s="100"/>
      <c r="B153" s="1"/>
    </row>
    <row r="154" spans="1:2" x14ac:dyDescent="0.3">
      <c r="A154" s="100"/>
      <c r="B154" s="1"/>
    </row>
    <row r="155" spans="1:2" x14ac:dyDescent="0.3">
      <c r="A155" s="100"/>
      <c r="B155" s="1"/>
    </row>
    <row r="156" spans="1:2" x14ac:dyDescent="0.3">
      <c r="A156" s="100"/>
      <c r="B156" s="1"/>
    </row>
    <row r="157" spans="1:2" x14ac:dyDescent="0.3">
      <c r="A157" s="100"/>
      <c r="B157" s="1"/>
    </row>
    <row r="158" spans="1:2" x14ac:dyDescent="0.3">
      <c r="A158" s="100"/>
      <c r="B158" s="1"/>
    </row>
    <row r="159" spans="1:2" x14ac:dyDescent="0.3">
      <c r="A159" s="100"/>
      <c r="B159" s="1"/>
    </row>
    <row r="160" spans="1:2" x14ac:dyDescent="0.3">
      <c r="A160" s="100"/>
      <c r="B160" s="1"/>
    </row>
    <row r="161" spans="1:2" x14ac:dyDescent="0.3">
      <c r="A161" s="100"/>
      <c r="B161" s="1"/>
    </row>
    <row r="162" spans="1:2" x14ac:dyDescent="0.3">
      <c r="A162" s="100"/>
      <c r="B162" s="1"/>
    </row>
    <row r="163" spans="1:2" x14ac:dyDescent="0.3">
      <c r="A163" s="100"/>
      <c r="B163" s="1"/>
    </row>
    <row r="164" spans="1:2" x14ac:dyDescent="0.3">
      <c r="A164" s="100"/>
      <c r="B164" s="1"/>
    </row>
    <row r="165" spans="1:2" x14ac:dyDescent="0.3">
      <c r="A165" s="100"/>
      <c r="B165" s="1"/>
    </row>
    <row r="166" spans="1:2" x14ac:dyDescent="0.3">
      <c r="A166" s="100"/>
      <c r="B166" s="1"/>
    </row>
    <row r="167" spans="1:2" x14ac:dyDescent="0.3">
      <c r="A167" s="100"/>
      <c r="B167" s="1"/>
    </row>
    <row r="168" spans="1:2" x14ac:dyDescent="0.3">
      <c r="A168" s="100"/>
      <c r="B168" s="1"/>
    </row>
    <row r="169" spans="1:2" x14ac:dyDescent="0.3">
      <c r="A169" s="100"/>
      <c r="B169" s="1"/>
    </row>
    <row r="170" spans="1:2" x14ac:dyDescent="0.3">
      <c r="A170" s="100"/>
      <c r="B170" s="1"/>
    </row>
    <row r="171" spans="1:2" x14ac:dyDescent="0.3">
      <c r="A171" s="100"/>
      <c r="B171" s="1"/>
    </row>
    <row r="172" spans="1:2" x14ac:dyDescent="0.3">
      <c r="A172" s="100"/>
      <c r="B172" s="1"/>
    </row>
    <row r="173" spans="1:2" x14ac:dyDescent="0.3">
      <c r="A173" s="100"/>
      <c r="B173" s="1"/>
    </row>
    <row r="174" spans="1:2" x14ac:dyDescent="0.3">
      <c r="A174" s="100"/>
      <c r="B174" s="1"/>
    </row>
    <row r="175" spans="1:2" x14ac:dyDescent="0.3">
      <c r="A175" s="100"/>
      <c r="B175" s="1"/>
    </row>
  </sheetData>
  <conditionalFormatting sqref="A122:A175">
    <cfRule type="duplicateValues" dxfId="15" priority="11"/>
  </conditionalFormatting>
  <conditionalFormatting sqref="B60:B99 B123:B175">
    <cfRule type="duplicateValues" dxfId="14" priority="12"/>
  </conditionalFormatting>
  <conditionalFormatting sqref="A2:A59">
    <cfRule type="duplicateValues" dxfId="13" priority="28"/>
  </conditionalFormatting>
  <conditionalFormatting sqref="B2:B59">
    <cfRule type="duplicateValues" dxfId="12" priority="30"/>
  </conditionalFormatting>
  <conditionalFormatting sqref="A60:A99">
    <cfRule type="expression" dxfId="11" priority="8" stopIfTrue="1">
      <formula>$C60&lt;&gt;""</formula>
    </cfRule>
  </conditionalFormatting>
  <conditionalFormatting sqref="A100:A103">
    <cfRule type="duplicateValues" dxfId="10" priority="6"/>
  </conditionalFormatting>
  <conditionalFormatting sqref="B100:B103">
    <cfRule type="duplicateValues" dxfId="9" priority="7"/>
  </conditionalFormatting>
  <conditionalFormatting sqref="A104:A112">
    <cfRule type="duplicateValues" dxfId="8" priority="4"/>
  </conditionalFormatting>
  <conditionalFormatting sqref="B104:B112">
    <cfRule type="duplicateValues" dxfId="7" priority="5"/>
  </conditionalFormatting>
  <conditionalFormatting sqref="A113:A121">
    <cfRule type="duplicateValues" dxfId="6" priority="2"/>
  </conditionalFormatting>
  <conditionalFormatting sqref="B113:B121">
    <cfRule type="duplicateValues" dxfId="5" priority="3"/>
  </conditionalFormatting>
  <conditionalFormatting sqref="B122">
    <cfRule type="duplicateValues" dxfId="4" priority="1"/>
  </conditionalFormatting>
  <pageMargins left="0.7" right="0.7" top="0.75" bottom="0.75" header="0.3" footer="0.3"/>
  <tableParts count="2">
    <tablePart r:id="rId1"/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F2A2DA-8C4C-452C-9C71-7B8473D9CF17}">
  <sheetPr codeName="ShBackend"/>
  <dimension ref="A1:C5"/>
  <sheetViews>
    <sheetView showGridLines="0" workbookViewId="0">
      <selection activeCell="C13" sqref="C13"/>
    </sheetView>
  </sheetViews>
  <sheetFormatPr defaultColWidth="8.88671875" defaultRowHeight="14.4" x14ac:dyDescent="0.3"/>
  <cols>
    <col min="1" max="1" width="18.33203125" customWidth="1"/>
    <col min="4" max="4" width="12.33203125" customWidth="1"/>
  </cols>
  <sheetData>
    <row r="1" spans="1:3" x14ac:dyDescent="0.3">
      <c r="A1" s="28" t="s">
        <v>86</v>
      </c>
      <c r="B1" s="1" cm="1">
        <f t="array" ref="B1">_xlfn.IFS(IsDaysGantt,1,IsWeeksGant,7,IsMonthsGantt,30)</f>
        <v>7</v>
      </c>
      <c r="C1" s="1">
        <v>2</v>
      </c>
    </row>
    <row r="2" spans="1:3" x14ac:dyDescent="0.3">
      <c r="A2" s="28" t="s">
        <v>100</v>
      </c>
      <c r="B2" t="b">
        <v>0</v>
      </c>
    </row>
    <row r="3" spans="1:3" x14ac:dyDescent="0.3">
      <c r="A3" s="28" t="s">
        <v>219</v>
      </c>
      <c r="B3" t="b">
        <f>RadioBtnResult=1</f>
        <v>0</v>
      </c>
    </row>
    <row r="4" spans="1:3" x14ac:dyDescent="0.3">
      <c r="A4" s="28" t="s">
        <v>217</v>
      </c>
      <c r="B4" s="4" t="b">
        <f>RadioBtnResult=2</f>
        <v>1</v>
      </c>
    </row>
    <row r="5" spans="1:3" x14ac:dyDescent="0.3">
      <c r="A5" s="28" t="s">
        <v>218</v>
      </c>
      <c r="B5" t="b">
        <f>RadioBtnResult=3</f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25</vt:i4>
      </vt:variant>
    </vt:vector>
  </HeadingPairs>
  <TitlesOfParts>
    <vt:vector size="28" baseType="lpstr">
      <vt:lpstr>Diagramme de Gantt</vt:lpstr>
      <vt:lpstr>Ressources</vt:lpstr>
      <vt:lpstr>Paramétrage</vt:lpstr>
      <vt:lpstr>DaysToIncrement</vt:lpstr>
      <vt:lpstr>FirstMonthTheme</vt:lpstr>
      <vt:lpstr>GanttHeader</vt:lpstr>
      <vt:lpstr>GanttHeaderAll</vt:lpstr>
      <vt:lpstr>GanttHeaderDateWeeks</vt:lpstr>
      <vt:lpstr>GanttHeaderMonthsWeeks</vt:lpstr>
      <vt:lpstr>GanttHeaderYears</vt:lpstr>
      <vt:lpstr>IsDaysGantt</vt:lpstr>
      <vt:lpstr>IsMaximize</vt:lpstr>
      <vt:lpstr>IsMonthsGantt</vt:lpstr>
      <vt:lpstr>IsProject</vt:lpstr>
      <vt:lpstr>IsWeeksGant</vt:lpstr>
      <vt:lpstr>Langue</vt:lpstr>
      <vt:lpstr>LBL_HOLIDAY_LIST</vt:lpstr>
      <vt:lpstr>LBL_STATUS</vt:lpstr>
      <vt:lpstr>LBL_TAB_HOLIDAYS</vt:lpstr>
      <vt:lpstr>LBL_TAB_STATUS</vt:lpstr>
      <vt:lpstr>ProgressionFormat</vt:lpstr>
      <vt:lpstr>ProjectStart</vt:lpstr>
      <vt:lpstr>RadioBtnResult</vt:lpstr>
      <vt:lpstr>ScrollingIncrement</vt:lpstr>
      <vt:lpstr>SecondMonthTheme</vt:lpstr>
      <vt:lpstr>SETT_HEADER</vt:lpstr>
      <vt:lpstr>SETT_SUBHEADER</vt:lpstr>
      <vt:lpstr>TodayFormat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Samir</dc:creator>
  <cp:lastModifiedBy>Samir Samir</cp:lastModifiedBy>
  <cp:lastPrinted>2023-04-05T10:50:05Z</cp:lastPrinted>
  <dcterms:created xsi:type="dcterms:W3CDTF">2023-04-01T16:52:07Z</dcterms:created>
  <dcterms:modified xsi:type="dcterms:W3CDTF">2023-10-27T09:48:33Z</dcterms:modified>
</cp:coreProperties>
</file>