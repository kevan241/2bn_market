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BGDP\TODO\Update Kit 2023\Kit management projet 050923\04-Exécution\"/>
    </mc:Choice>
  </mc:AlternateContent>
  <xr:revisionPtr revIDLastSave="0" documentId="13_ncr:1_{7F3C32B4-E83D-4D57-A6B2-13FC01A3FEE3}" xr6:coauthVersionLast="47" xr6:coauthVersionMax="47" xr10:uidLastSave="{00000000-0000-0000-0000-000000000000}"/>
  <bookViews>
    <workbookView xWindow="-108" yWindow="-108" windowWidth="23256" windowHeight="12576" tabRatio="422" firstSheet="1" activeTab="1" xr2:uid="{2787BEB0-32D5-4D16-A719-07A374E9BAB5}"/>
  </bookViews>
  <sheets>
    <sheet name="Guide d'utilisation" sheetId="7" state="veryHidden" r:id="rId1"/>
    <sheet name="Livrables" sheetId="2" r:id="rId2"/>
    <sheet name="Paramétrages" sheetId="3" r:id="rId3"/>
    <sheet name="Langue" sheetId="8" state="veryHidden" r:id="rId4"/>
  </sheets>
  <functionGroups builtInGroupCount="19"/>
  <definedNames>
    <definedName name="GreenFlag">Paramétrages!$AT$5</definedName>
    <definedName name="HeaderRange">Livrables!$10:$10</definedName>
    <definedName name="LANGUE">Paramétrages!$L$6</definedName>
    <definedName name="RedFlag">Paramétrages!$AT$3</definedName>
    <definedName name="SeuilAvertissement">Paramétrages!$L$9</definedName>
    <definedName name="StatutFilter">Livrables!$E$8</definedName>
    <definedName name="TabEchelle2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3" i="2" l="1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</calcChain>
</file>

<file path=xl/sharedStrings.xml><?xml version="1.0" encoding="utf-8"?>
<sst xmlns="http://schemas.openxmlformats.org/spreadsheetml/2006/main" count="490" uniqueCount="227">
  <si>
    <t>Date de création</t>
  </si>
  <si>
    <t>Date de la version</t>
  </si>
  <si>
    <t>Numéro de version</t>
  </si>
  <si>
    <t>V2.3</t>
  </si>
  <si>
    <t>Nom / Code projet</t>
  </si>
  <si>
    <t>Référence</t>
  </si>
  <si>
    <t>ID</t>
  </si>
  <si>
    <t>Guide d'utilisation</t>
  </si>
  <si>
    <t>Paramétrages</t>
  </si>
  <si>
    <t>SAP30 / CMRL</t>
  </si>
  <si>
    <t>Stratégie2022/CMRL/Portfolio PF02</t>
  </si>
  <si>
    <t>Mme Dupont</t>
  </si>
  <si>
    <t>Chef de projet</t>
  </si>
  <si>
    <t>Service/Organisation</t>
  </si>
  <si>
    <t>Confassis S.A.</t>
  </si>
  <si>
    <t>Responsable</t>
  </si>
  <si>
    <t>Réalisation</t>
  </si>
  <si>
    <t>Etat</t>
  </si>
  <si>
    <t>En cours</t>
  </si>
  <si>
    <t>En attente</t>
  </si>
  <si>
    <t>Annulé</t>
  </si>
  <si>
    <t>Etude d'opportunité</t>
  </si>
  <si>
    <t>Comité de direction</t>
  </si>
  <si>
    <t>Macro planning</t>
  </si>
  <si>
    <t>Support réunion de lancement</t>
  </si>
  <si>
    <t>Expression des besoins</t>
  </si>
  <si>
    <t>Matrice des exigences</t>
  </si>
  <si>
    <t>Cahier des charges</t>
  </si>
  <si>
    <t>Plan de projet</t>
  </si>
  <si>
    <t>Plan de charge</t>
  </si>
  <si>
    <t>Registre des problèmes et risques</t>
  </si>
  <si>
    <t>Registre des parties prenantes</t>
  </si>
  <si>
    <t>Planification</t>
  </si>
  <si>
    <t>Rouge</t>
  </si>
  <si>
    <t>#</t>
  </si>
  <si>
    <t>Livrables du projet</t>
  </si>
  <si>
    <t>Type de livrable</t>
  </si>
  <si>
    <t>Description</t>
  </si>
  <si>
    <t>Date de livraison réelle</t>
  </si>
  <si>
    <t>Version</t>
  </si>
  <si>
    <t>Lien vers le document</t>
  </si>
  <si>
    <t>Valideur(s)</t>
  </si>
  <si>
    <t>Date de validation réelle</t>
  </si>
  <si>
    <t>Version validée</t>
  </si>
  <si>
    <t>Commentaire</t>
  </si>
  <si>
    <t>Date de validation attendue</t>
  </si>
  <si>
    <t>Support décisionnel</t>
  </si>
  <si>
    <t>Chantal / Olivier</t>
  </si>
  <si>
    <t>Justification du projet et sa place dans la stratégie d'entreprise</t>
  </si>
  <si>
    <t>1.3</t>
  </si>
  <si>
    <t>Charte projet</t>
  </si>
  <si>
    <t>Initiation</t>
  </si>
  <si>
    <t>Chantal / Olivier / Coordinateurs</t>
  </si>
  <si>
    <t>Charte de projet détaillée y inclus délais et coûts estimés</t>
  </si>
  <si>
    <t>Livré</t>
  </si>
  <si>
    <t>1.1</t>
  </si>
  <si>
    <t>Dernière lecture et corrections par le sponsor</t>
  </si>
  <si>
    <t>Estimation des phases principales</t>
  </si>
  <si>
    <t>1.2</t>
  </si>
  <si>
    <t>Déjà validé par le sponsor</t>
  </si>
  <si>
    <t>Chantal</t>
  </si>
  <si>
    <t>Présentation du projet destinée à l'équipe dès que la charte sera approuvée</t>
  </si>
  <si>
    <t>Date prévue de la réunion de démarrage le 3/05/2022</t>
  </si>
  <si>
    <t>Résumé des besoins exprimés lors des réunions de découverte</t>
  </si>
  <si>
    <t>1.0</t>
  </si>
  <si>
    <t>Sponsor</t>
  </si>
  <si>
    <t>Enregistrement des différentes exigences des parties prenantes clés</t>
  </si>
  <si>
    <t>Validé</t>
  </si>
  <si>
    <t>Rapport détaillé des attentes du projet</t>
  </si>
  <si>
    <t>Plan détaillé de tous les aspects planification du projet</t>
  </si>
  <si>
    <t>Liste des tâches à effectuer et estimation de la charge sur les ressources</t>
  </si>
  <si>
    <t>Suivi scrupuleux des risques et problèmes</t>
  </si>
  <si>
    <t>Ce registre est la base de la communication réussie</t>
  </si>
  <si>
    <t>Matrice des compétences</t>
  </si>
  <si>
    <t>Avons-nous les compétences nécessaires dans nos équipes?</t>
  </si>
  <si>
    <t>Plan de communication</t>
  </si>
  <si>
    <t>Document essentiel dont l'exécution doit être suivie de près. Ne pas oublier le retour d'information.</t>
  </si>
  <si>
    <t>Suivi des actions</t>
  </si>
  <si>
    <t>Visualiser ce qu'il reste à faire</t>
  </si>
  <si>
    <t>Suivi des livrables</t>
  </si>
  <si>
    <t>Respectons-nous le périmètre et les délais?</t>
  </si>
  <si>
    <t>Registre des demandes de changement</t>
  </si>
  <si>
    <t>Chantal / Coordinateurs</t>
  </si>
  <si>
    <t>Qu'est-ce qui a changé depuis la charte projet? Tout changement doit être approuvé par le comité de projet et/ou le comité de pilotage.</t>
  </si>
  <si>
    <t>Sponsor / Communication</t>
  </si>
  <si>
    <t>Tableau de bord</t>
  </si>
  <si>
    <t>Rapports</t>
  </si>
  <si>
    <t>Indicateurs d'avancement du projet</t>
  </si>
  <si>
    <t>Rapport de suivi de projet</t>
  </si>
  <si>
    <t>Rapport détaillé régulier sur l'état d'avancement du projet</t>
  </si>
  <si>
    <t>Rapport Flash</t>
  </si>
  <si>
    <t>Indicateurs résumés sur une seule page</t>
  </si>
  <si>
    <t>Minutes comité technique</t>
  </si>
  <si>
    <t>Membre tournant de l'équipe projet</t>
  </si>
  <si>
    <t>Chaque réunion doit être documentée: qui était présent et quelles décisions ont été prises?</t>
  </si>
  <si>
    <t>Minutes comité projet</t>
  </si>
  <si>
    <t>Minutes comité de pilotage</t>
  </si>
  <si>
    <t>Infrastructure informatique</t>
  </si>
  <si>
    <t>Informatique</t>
  </si>
  <si>
    <t>Daniel</t>
  </si>
  <si>
    <t>Le réseau informatique et les serveurs doivent pouvoir supporter la charge d'utilisateurs et de données supplémentaires.</t>
  </si>
  <si>
    <t>Equipe projet / Intégrateur / Sponsor</t>
  </si>
  <si>
    <t>Preuve de concept Finances</t>
  </si>
  <si>
    <t>PoC</t>
  </si>
  <si>
    <t>Monique</t>
  </si>
  <si>
    <t>Une solution très réduite pour prouver que tout va fonctionner tel que prévu.</t>
  </si>
  <si>
    <t>Intégrateur</t>
  </si>
  <si>
    <t>Preuve de concept  Ventes</t>
  </si>
  <si>
    <t>Denise</t>
  </si>
  <si>
    <t>Preuve de concept  Achats</t>
  </si>
  <si>
    <t>Jean</t>
  </si>
  <si>
    <t>Preuve de concept  Logistique</t>
  </si>
  <si>
    <t>Eric</t>
  </si>
  <si>
    <t>Preuve de concept  Production</t>
  </si>
  <si>
    <t>Georges</t>
  </si>
  <si>
    <t>Preuve de concept Master Data</t>
  </si>
  <si>
    <t>Juliette</t>
  </si>
  <si>
    <t>Configuration et test unitaires Finances</t>
  </si>
  <si>
    <t>Finances</t>
  </si>
  <si>
    <t>Mise en place: le cœur de notre projet</t>
  </si>
  <si>
    <t>Utilisateurs-clés</t>
  </si>
  <si>
    <t>Configuration et test unitaires Ventes</t>
  </si>
  <si>
    <t>Ventes</t>
  </si>
  <si>
    <t>Configuration et test unitaires Achats</t>
  </si>
  <si>
    <t>Achats</t>
  </si>
  <si>
    <t>Configuration et test unitaires Logistique</t>
  </si>
  <si>
    <t>Logistique</t>
  </si>
  <si>
    <t>Configuration et test unitaires Production</t>
  </si>
  <si>
    <t>Production</t>
  </si>
  <si>
    <t>Tests et corrections d'intégration et de consolidation Finances</t>
  </si>
  <si>
    <t>Ici, les solutions sont testées et validées par nos utilisateurs-clés.</t>
  </si>
  <si>
    <t>Tests et corrections d'intégration et de consolidation Ventes</t>
  </si>
  <si>
    <t>Tests et corrections d'intégration et de consolidation Achats</t>
  </si>
  <si>
    <t>Tests et corrections d'intégration et de consolidation Logistique</t>
  </si>
  <si>
    <t>Tests et corrections d'intégration et de consolidation Production</t>
  </si>
  <si>
    <t>Tests et corrections d'intégration et de consolidation Master Data</t>
  </si>
  <si>
    <t>Master Data</t>
  </si>
  <si>
    <t>Environnement productif Finances</t>
  </si>
  <si>
    <t>On déploie les solutions validées</t>
  </si>
  <si>
    <t>Environnement productif Ventes</t>
  </si>
  <si>
    <t>Environnement productif Achats</t>
  </si>
  <si>
    <t>Environnement productif Logistique</t>
  </si>
  <si>
    <t>Environnement productif Production</t>
  </si>
  <si>
    <t>Migration des données</t>
  </si>
  <si>
    <t>Les données nettoyées et corrigées sont injectées dans le nouveau système</t>
  </si>
  <si>
    <t>Formation Finances</t>
  </si>
  <si>
    <t>On déploie les documentations par thèmes et on forme TOUS les utilisateurs</t>
  </si>
  <si>
    <t>Changement</t>
  </si>
  <si>
    <t>Formation Ventes</t>
  </si>
  <si>
    <t>Formation Achats</t>
  </si>
  <si>
    <t>Formation Logistique</t>
  </si>
  <si>
    <t>Formation Production</t>
  </si>
  <si>
    <t>Réception des livrables</t>
  </si>
  <si>
    <t>Recette</t>
  </si>
  <si>
    <t>Tous les livrables font l'objet d'une recette officielle</t>
  </si>
  <si>
    <t>28-11-211</t>
  </si>
  <si>
    <t>Intégrateur / Sponsor</t>
  </si>
  <si>
    <t>Basculement</t>
  </si>
  <si>
    <t>Démarrage</t>
  </si>
  <si>
    <t>Equipe projet et tous les utilisateurs</t>
  </si>
  <si>
    <t>Dernière validation avant démarrage opérationnel. Comité de pilotage exceptionnel.</t>
  </si>
  <si>
    <t>Démarrage du nouveau système</t>
  </si>
  <si>
    <t>Equipe projet et utilisateurs clés</t>
  </si>
  <si>
    <t>Démarrage et observation/support des utilisateurs</t>
  </si>
  <si>
    <t>Comité de pilotage</t>
  </si>
  <si>
    <t>Cahier de recette</t>
  </si>
  <si>
    <t xml:space="preserve">Chantal / Olivier / Jacques </t>
  </si>
  <si>
    <t>L'ensemble du projet est approuvé après une période de traitements réels</t>
  </si>
  <si>
    <t>Réunion de clôture</t>
  </si>
  <si>
    <t>Clôture</t>
  </si>
  <si>
    <t>TOUS</t>
  </si>
  <si>
    <t>La réunion de clôture se passe en deux étapes: une réunion de tous pour documenter ce qui reste à faire et quelles sont les leçons apprises - et une partie beaucoup moins formelle pour fêter la réussite du projet et déclarer celui-ci terminé.</t>
  </si>
  <si>
    <t>Bilan de projet</t>
  </si>
  <si>
    <t>Bilan</t>
  </si>
  <si>
    <t>Chantal / Olivier / Jacques / Coordinateurs</t>
  </si>
  <si>
    <t>On documente ici les leçons apprise et on refait un dernier point. Ce document sera archivé pour référence ultérieure.</t>
  </si>
  <si>
    <t>Décommissionnement ancien systèmes</t>
  </si>
  <si>
    <t>Un des but ultimes du projet était de remplacer définitivement les anciens systèmes. Le décommissionnement confirme que ce but est atteint</t>
  </si>
  <si>
    <t>Directeur Financier</t>
  </si>
  <si>
    <t>Non commencé</t>
  </si>
  <si>
    <t>Date de livraison attendue</t>
  </si>
  <si>
    <t>Red flag</t>
  </si>
  <si>
    <t>Green Flag</t>
  </si>
  <si>
    <t>Langue</t>
  </si>
  <si>
    <t>Français</t>
  </si>
  <si>
    <t>Anglais</t>
  </si>
  <si>
    <t>Livrables</t>
  </si>
  <si>
    <t>Ajouter une colonne</t>
  </si>
  <si>
    <t>Supprimer une colonne</t>
  </si>
  <si>
    <t>validée</t>
  </si>
  <si>
    <t>Name/Project Code</t>
  </si>
  <si>
    <t>Reference</t>
  </si>
  <si>
    <t>Project Manager</t>
  </si>
  <si>
    <t>Service/Organization</t>
  </si>
  <si>
    <t>Creation Date</t>
  </si>
  <si>
    <t>Version Date</t>
  </si>
  <si>
    <t>Version Number</t>
  </si>
  <si>
    <t>User Guide</t>
  </si>
  <si>
    <t>Delivery Tracking</t>
  </si>
  <si>
    <t>Language</t>
  </si>
  <si>
    <t>Not Started</t>
  </si>
  <si>
    <t>In Progress</t>
  </si>
  <si>
    <t>Delivered</t>
  </si>
  <si>
    <t>Validated</t>
  </si>
  <si>
    <t>Cancelled</t>
  </si>
  <si>
    <t>Pending</t>
  </si>
  <si>
    <t>Deliverables</t>
  </si>
  <si>
    <t>Add a Column</t>
  </si>
  <si>
    <t>Delete a Column</t>
  </si>
  <si>
    <t>Project Deliverables</t>
  </si>
  <si>
    <t>Deliverable Type</t>
  </si>
  <si>
    <t>Responsible</t>
  </si>
  <si>
    <t>Expected Delivery Date</t>
  </si>
  <si>
    <t>Actual Delivery Date</t>
  </si>
  <si>
    <t>Link to Document</t>
  </si>
  <si>
    <t>Expected Validation Date</t>
  </si>
  <si>
    <t>Actual Validation Date</t>
  </si>
  <si>
    <t>Approved</t>
  </si>
  <si>
    <t>Comment</t>
  </si>
  <si>
    <t>Settings</t>
  </si>
  <si>
    <t>Approved version</t>
  </si>
  <si>
    <t>State</t>
  </si>
  <si>
    <t>Validators</t>
  </si>
  <si>
    <t>Add a deliverable</t>
  </si>
  <si>
    <t>delete a deliverable</t>
  </si>
  <si>
    <t>Ajouter un livrable</t>
  </si>
  <si>
    <t>Supprimer un livrable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</si>
</sst>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theme="1"/>
      <name val="Candara"/>
      <family val="2"/>
    </font>
    <font>
      <sz val="10"/>
      <color theme="6" tint="-0.249977111117893"/>
      <name val="Calibri"/>
      <family val="2"/>
      <scheme val="minor"/>
    </font>
    <font>
      <b/>
      <sz val="16"/>
      <color theme="0"/>
      <name val="Calibri"/>
      <family val="2"/>
    </font>
    <font>
      <b/>
      <sz val="14"/>
      <color theme="0"/>
      <name val="Calibri"/>
      <family val="2"/>
    </font>
    <font>
      <sz val="11"/>
      <color rgb="FF005677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b/>
      <sz val="11"/>
      <color theme="6" tint="-0.249977111117893"/>
      <name val="Calibri"/>
      <family val="2"/>
      <scheme val="minor"/>
    </font>
    <font>
      <b/>
      <sz val="11"/>
      <color rgb="FF2C6646"/>
      <name val="Calibri"/>
      <family val="2"/>
      <scheme val="minor"/>
    </font>
    <font>
      <sz val="11"/>
      <color theme="1" tint="0.1499984740745262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7" tint="-0.499984740745262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rgb="FFB0AC14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10"/>
      <name val="Arial"/>
      <family val="2"/>
    </font>
    <font>
      <sz val="11"/>
      <color rgb="FFC00000"/>
      <name val="Calibri"/>
      <family val="2"/>
      <scheme val="minor"/>
    </font>
    <font>
      <strike/>
      <sz val="11"/>
      <color theme="2" tint="-0.749992370372631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  <font>
      <sz val="11"/>
      <color rgb="FF009242"/>
      <name val="Calibri"/>
      <family val="2"/>
      <scheme val="minor"/>
    </font>
    <font>
      <sz val="11"/>
      <color rgb="FFB85410"/>
      <name val="Calibri"/>
      <family val="2"/>
      <scheme val="minor"/>
    </font>
    <font>
      <sz val="11"/>
      <color theme="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gradientFill degree="270">
        <stop position="0">
          <color rgb="FF62BD8A"/>
        </stop>
        <stop position="1">
          <color rgb="FF98D4B2"/>
        </stop>
      </gradientFill>
    </fill>
    <fill>
      <patternFill patternType="solid">
        <fgColor rgb="FFF3F9FF"/>
        <bgColor indexed="64"/>
      </patternFill>
    </fill>
    <fill>
      <patternFill patternType="solid">
        <fgColor rgb="FFE7F3FF"/>
        <bgColor indexed="64"/>
      </patternFill>
    </fill>
    <fill>
      <patternFill patternType="solid">
        <fgColor rgb="FFB9E1CB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93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D5D5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/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/>
      <top/>
      <bottom style="thin">
        <color rgb="FF91E0FF"/>
      </bottom>
      <diagonal/>
    </border>
    <border>
      <left/>
      <right/>
      <top style="thin">
        <color rgb="FF91E0FF"/>
      </top>
      <bottom/>
      <diagonal/>
    </border>
    <border>
      <left style="thin">
        <color theme="9"/>
      </left>
      <right style="thin">
        <color theme="9"/>
      </right>
      <top style="thin">
        <color theme="9"/>
      </top>
      <bottom/>
      <diagonal/>
    </border>
    <border>
      <left style="thick">
        <color theme="0"/>
      </left>
      <right/>
      <top/>
      <bottom style="thin">
        <color rgb="FF91E0FF"/>
      </bottom>
      <diagonal/>
    </border>
    <border>
      <left style="thick">
        <color theme="0"/>
      </left>
      <right/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4">
    <xf numFmtId="0" fontId="0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</cellStyleXfs>
  <cellXfs count="59">
    <xf numFmtId="0" fontId="0" fillId="0" borderId="0" xfId="0"/>
    <xf numFmtId="0" fontId="1" fillId="2" borderId="1" xfId="0" applyFont="1" applyFill="1" applyBorder="1" applyAlignment="1">
      <alignment vertical="center"/>
    </xf>
    <xf numFmtId="14" fontId="1" fillId="2" borderId="1" xfId="0" applyNumberFormat="1" applyFont="1" applyFill="1" applyBorder="1" applyAlignment="1">
      <alignment horizontal="center" vertical="center"/>
    </xf>
    <xf numFmtId="0" fontId="2" fillId="3" borderId="0" xfId="0" applyFont="1" applyFill="1"/>
    <xf numFmtId="0" fontId="3" fillId="2" borderId="0" xfId="0" applyFont="1" applyFill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vertical="center"/>
    </xf>
    <xf numFmtId="0" fontId="5" fillId="4" borderId="3" xfId="0" applyFont="1" applyFill="1" applyBorder="1" applyAlignment="1">
      <alignment vertical="center"/>
    </xf>
    <xf numFmtId="0" fontId="6" fillId="5" borderId="4" xfId="0" applyFont="1" applyFill="1" applyBorder="1" applyAlignment="1">
      <alignment vertical="center"/>
    </xf>
    <xf numFmtId="0" fontId="7" fillId="5" borderId="4" xfId="0" applyFont="1" applyFill="1" applyBorder="1" applyAlignment="1">
      <alignment vertical="center"/>
    </xf>
    <xf numFmtId="0" fontId="8" fillId="6" borderId="0" xfId="0" applyFont="1" applyFill="1" applyAlignment="1">
      <alignment horizontal="center" vertical="center"/>
    </xf>
    <xf numFmtId="0" fontId="8" fillId="6" borderId="5" xfId="0" applyFont="1" applyFill="1" applyBorder="1" applyAlignment="1">
      <alignment vertical="center"/>
    </xf>
    <xf numFmtId="0" fontId="10" fillId="0" borderId="0" xfId="0" applyFont="1" applyAlignment="1">
      <alignment horizontal="left" vertical="center" wrapText="1"/>
    </xf>
    <xf numFmtId="0" fontId="10" fillId="0" borderId="0" xfId="0" applyFont="1" applyAlignment="1">
      <alignment horizontal="center" vertical="center" wrapText="1"/>
    </xf>
    <xf numFmtId="0" fontId="12" fillId="0" borderId="0" xfId="0" applyFont="1"/>
    <xf numFmtId="0" fontId="12" fillId="0" borderId="0" xfId="0" applyFont="1" applyProtection="1">
      <protection locked="0"/>
    </xf>
    <xf numFmtId="0" fontId="18" fillId="0" borderId="0" xfId="0" applyFont="1"/>
    <xf numFmtId="1" fontId="12" fillId="0" borderId="0" xfId="0" applyNumberFormat="1" applyFont="1" applyAlignment="1">
      <alignment horizontal="center" vertical="center"/>
    </xf>
    <xf numFmtId="0" fontId="15" fillId="0" borderId="0" xfId="0" applyFont="1" applyAlignment="1" applyProtection="1">
      <alignment horizontal="center" vertical="center"/>
      <protection locked="0"/>
    </xf>
    <xf numFmtId="1" fontId="12" fillId="0" borderId="0" xfId="0" applyNumberFormat="1" applyFont="1" applyAlignment="1" applyProtection="1">
      <alignment horizontal="center" vertical="center"/>
      <protection locked="0"/>
    </xf>
    <xf numFmtId="0" fontId="14" fillId="0" borderId="0" xfId="1" applyFont="1" applyAlignment="1">
      <alignment horizontal="center" vertical="center"/>
    </xf>
    <xf numFmtId="0" fontId="16" fillId="0" borderId="0" xfId="1" applyFont="1" applyAlignment="1">
      <alignment horizontal="left" vertical="center"/>
    </xf>
    <xf numFmtId="0" fontId="16" fillId="0" borderId="0" xfId="0" applyFont="1"/>
    <xf numFmtId="0" fontId="17" fillId="0" borderId="0" xfId="0" applyFont="1"/>
    <xf numFmtId="0" fontId="19" fillId="0" borderId="0" xfId="0" applyFont="1" applyAlignment="1">
      <alignment horizontal="center" vertical="center"/>
    </xf>
    <xf numFmtId="0" fontId="18" fillId="0" borderId="0" xfId="0" applyFont="1" applyAlignment="1" applyProtection="1">
      <alignment horizontal="left" vertical="center"/>
      <protection locked="0"/>
    </xf>
    <xf numFmtId="0" fontId="8" fillId="6" borderId="5" xfId="0" applyFont="1" applyFill="1" applyBorder="1" applyAlignment="1">
      <alignment horizontal="left" vertical="center"/>
    </xf>
    <xf numFmtId="0" fontId="6" fillId="5" borderId="7" xfId="0" applyFont="1" applyFill="1" applyBorder="1" applyAlignment="1">
      <alignment vertical="center"/>
    </xf>
    <xf numFmtId="0" fontId="8" fillId="6" borderId="8" xfId="0" applyFont="1" applyFill="1" applyBorder="1" applyAlignment="1">
      <alignment horizontal="center" vertical="center"/>
    </xf>
    <xf numFmtId="0" fontId="11" fillId="8" borderId="6" xfId="0" applyFont="1" applyFill="1" applyBorder="1" applyAlignment="1">
      <alignment horizontal="left" vertical="center" wrapText="1"/>
    </xf>
    <xf numFmtId="0" fontId="11" fillId="0" borderId="0" xfId="0" applyFont="1" applyAlignment="1">
      <alignment horizontal="center" vertical="center"/>
    </xf>
    <xf numFmtId="0" fontId="18" fillId="0" borderId="0" xfId="0" applyFont="1" applyAlignment="1">
      <alignment horizontal="right" vertical="center"/>
    </xf>
    <xf numFmtId="0" fontId="9" fillId="7" borderId="9" xfId="0" applyFont="1" applyFill="1" applyBorder="1" applyAlignment="1">
      <alignment horizontal="center" vertical="center" wrapText="1"/>
    </xf>
    <xf numFmtId="0" fontId="9" fillId="7" borderId="0" xfId="0" applyFont="1" applyFill="1" applyAlignment="1">
      <alignment horizontal="center" vertical="center" wrapText="1"/>
    </xf>
    <xf numFmtId="9" fontId="18" fillId="0" borderId="0" xfId="3" applyFont="1" applyAlignment="1">
      <alignment horizontal="center"/>
    </xf>
    <xf numFmtId="0" fontId="18" fillId="0" borderId="0" xfId="0" applyFont="1" applyAlignment="1">
      <alignment horizontal="center" vertical="center"/>
    </xf>
    <xf numFmtId="14" fontId="10" fillId="0" borderId="0" xfId="0" applyNumberFormat="1" applyFont="1" applyAlignment="1">
      <alignment horizontal="center" vertical="center" wrapText="1"/>
    </xf>
    <xf numFmtId="9" fontId="10" fillId="0" borderId="0" xfId="3" applyFont="1" applyAlignment="1">
      <alignment horizontal="center" vertical="center" wrapText="1"/>
    </xf>
    <xf numFmtId="9" fontId="10" fillId="0" borderId="0" xfId="3" applyFont="1" applyFill="1" applyAlignment="1">
      <alignment horizontal="center" vertical="center" wrapText="1"/>
    </xf>
    <xf numFmtId="0" fontId="20" fillId="11" borderId="0" xfId="0" applyFont="1" applyFill="1" applyAlignment="1">
      <alignment horizontal="center"/>
    </xf>
    <xf numFmtId="0" fontId="21" fillId="10" borderId="0" xfId="0" applyFont="1" applyFill="1" applyAlignment="1" applyProtection="1">
      <alignment horizontal="left" vertical="center"/>
      <protection locked="0"/>
    </xf>
    <xf numFmtId="0" fontId="21" fillId="0" borderId="0" xfId="0" applyFont="1" applyAlignment="1" applyProtection="1">
      <alignment horizontal="left" vertical="center"/>
      <protection locked="0"/>
    </xf>
    <xf numFmtId="14" fontId="10" fillId="0" borderId="0" xfId="0" applyNumberFormat="1" applyFont="1" applyAlignment="1">
      <alignment horizontal="left" vertical="center" wrapText="1"/>
    </xf>
    <xf numFmtId="0" fontId="22" fillId="13" borderId="0" xfId="0" applyFont="1" applyFill="1" applyAlignment="1" applyProtection="1">
      <alignment horizontal="left" vertical="center"/>
      <protection locked="0"/>
    </xf>
    <xf numFmtId="0" fontId="20" fillId="14" borderId="0" xfId="0" applyFont="1" applyFill="1" applyAlignment="1" applyProtection="1">
      <alignment horizontal="left" vertical="center"/>
      <protection locked="0"/>
    </xf>
    <xf numFmtId="0" fontId="14" fillId="10" borderId="0" xfId="0" applyFont="1" applyFill="1" applyAlignment="1" applyProtection="1">
      <alignment horizontal="left" vertical="center"/>
      <protection locked="0"/>
    </xf>
    <xf numFmtId="0" fontId="23" fillId="0" borderId="0" xfId="0" applyFont="1" applyAlignment="1" applyProtection="1">
      <alignment horizontal="left" vertical="center"/>
      <protection locked="0"/>
    </xf>
    <xf numFmtId="0" fontId="24" fillId="9" borderId="0" xfId="0" applyFont="1" applyFill="1" applyAlignment="1">
      <alignment horizontal="center"/>
    </xf>
    <xf numFmtId="0" fontId="25" fillId="12" borderId="0" xfId="0" applyFont="1" applyFill="1" applyAlignment="1" applyProtection="1">
      <alignment horizontal="left" vertical="center"/>
      <protection locked="0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26" fillId="0" borderId="0" xfId="0" applyFont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0" fontId="7" fillId="5" borderId="4" xfId="0" applyFont="1" applyFill="1" applyBorder="1" applyAlignment="1">
      <alignment horizontal="left" vertical="center"/>
    </xf>
    <xf numFmtId="0" fontId="7" fillId="5" borderId="4" xfId="0" applyFont="1" applyFill="1" applyBorder="1" applyAlignment="1">
      <alignment horizontal="center" vertical="center"/>
    </xf>
    <xf numFmtId="0" fontId="11" fillId="8" borderId="10" xfId="0" applyFont="1" applyFill="1" applyBorder="1" applyAlignment="1">
      <alignment horizontal="left"/>
    </xf>
    <xf numFmtId="0" fontId="11" fillId="8" borderId="11" xfId="0" applyFont="1" applyFill="1" applyBorder="1" applyAlignment="1">
      <alignment horizontal="left"/>
    </xf>
    <xf numFmtId="0" fontId="11" fillId="8" borderId="12" xfId="0" applyFont="1" applyFill="1" applyBorder="1" applyAlignment="1">
      <alignment horizontal="left"/>
    </xf>
  </cellXfs>
  <cellStyles count="4">
    <cellStyle name="Normal" xfId="0" builtinId="0"/>
    <cellStyle name="Normal 2" xfId="2" xr:uid="{17BFE027-EBD2-4894-A4B7-22EB55DFFE95}"/>
    <cellStyle name="Normal 3" xfId="1" xr:uid="{37384669-6CFC-4267-B564-B372DB213ADD}"/>
    <cellStyle name="Percent" xfId="3" builtinId="5"/>
  </cellStyles>
  <dxfs count="48">
    <dxf>
      <font>
        <b val="0"/>
        <i val="0"/>
        <color rgb="FF009242"/>
      </font>
      <fill>
        <patternFill patternType="solid">
          <fgColor indexed="64"/>
          <bgColor theme="9" tint="0.79998168889431442"/>
        </patternFill>
      </fill>
    </dxf>
    <dxf>
      <font>
        <b val="0"/>
        <i val="0"/>
        <color rgb="FFC00000"/>
      </font>
      <fill>
        <patternFill>
          <fgColor indexed="64"/>
          <bgColor rgb="FFFF9393"/>
        </patternFill>
      </fill>
    </dxf>
    <dxf>
      <font>
        <b val="0"/>
        <i val="0"/>
        <color rgb="FF009242"/>
      </font>
      <fill>
        <patternFill patternType="solid">
          <fgColor indexed="64"/>
          <bgColor theme="9" tint="0.79998168889431442"/>
        </patternFill>
      </fill>
    </dxf>
    <dxf>
      <font>
        <b val="0"/>
        <i val="0"/>
        <color rgb="FFC00000"/>
      </font>
      <fill>
        <patternFill>
          <fgColor indexed="64"/>
          <bgColor rgb="FFFF9393"/>
        </patternFill>
      </fill>
    </dxf>
    <dxf>
      <font>
        <b/>
        <i val="0"/>
        <strike val="0"/>
        <color theme="2" tint="-0.749992370372631"/>
      </font>
      <fill>
        <patternFill patternType="solid">
          <fgColor indexed="64"/>
          <bgColor rgb="FFFFFFFF"/>
        </patternFill>
      </fill>
    </dxf>
    <dxf>
      <font>
        <b val="0"/>
        <i val="0"/>
        <strike val="0"/>
        <color rgb="FFFF0000"/>
      </font>
      <fill>
        <patternFill patternType="solid">
          <fgColor indexed="64"/>
          <bgColor theme="2" tint="-9.9978637043366805E-2"/>
        </patternFill>
      </fill>
    </dxf>
    <dxf>
      <font>
        <b val="0"/>
        <i val="0"/>
        <strike val="0"/>
        <color rgb="FFB85410"/>
      </font>
      <fill>
        <patternFill patternType="solid">
          <fgColor indexed="64"/>
          <bgColor theme="5" tint="0.79998168889431442"/>
        </patternFill>
      </fill>
    </dxf>
    <dxf>
      <font>
        <b val="0"/>
        <i val="0"/>
        <strike val="0"/>
        <color theme="4"/>
      </font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lor rgb="FFC00000"/>
      </font>
      <fill>
        <patternFill>
          <fgColor indexed="64"/>
          <bgColor rgb="FFFFD5D5"/>
        </patternFill>
      </fill>
    </dxf>
    <dxf>
      <font>
        <b val="0"/>
        <i val="0"/>
        <strike/>
        <color theme="2" tint="-0.749992370372631"/>
      </font>
      <fill>
        <patternFill patternType="solid">
          <fgColor indexed="64"/>
          <bgColor theme="2" tint="-9.9978637043366805E-2"/>
        </patternFill>
      </fill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alignment horizontal="left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2" tint="-0.749992370372631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theme="9"/>
        </left>
        <right style="thin">
          <color theme="9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numFmt numFmtId="164" formatCode="m/d/yy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numFmt numFmtId="164" formatCode="m/d/yyyy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C6646"/>
        <name val="Calibri"/>
        <family val="2"/>
        <scheme val="minor"/>
      </font>
      <fill>
        <patternFill patternType="solid">
          <fgColor indexed="64"/>
          <bgColor rgb="FFB9E1CB"/>
        </patternFill>
      </fill>
      <alignment horizontal="center" vertical="center" textRotation="0" wrapText="1" indent="0" justifyLastLine="0" shrinkToFit="0" readingOrder="0"/>
    </dxf>
    <dxf>
      <font>
        <b val="0"/>
        <i val="0"/>
        <color rgb="FF009242"/>
      </font>
      <fill>
        <patternFill patternType="solid">
          <fgColor indexed="64"/>
          <bgColor theme="9" tint="0.79998168889431442"/>
        </patternFill>
      </fill>
    </dxf>
    <dxf>
      <font>
        <b val="0"/>
        <i val="0"/>
        <color rgb="FFC00000"/>
      </font>
      <fill>
        <patternFill>
          <fgColor indexed="64"/>
          <bgColor rgb="FFFF9393"/>
        </patternFill>
      </fill>
    </dxf>
    <dxf>
      <font>
        <b val="0"/>
        <i val="0"/>
        <color rgb="FF009242"/>
      </font>
      <fill>
        <patternFill patternType="solid">
          <fgColor indexed="64"/>
          <bgColor theme="9" tint="0.79998168889431442"/>
        </patternFill>
      </fill>
    </dxf>
    <dxf>
      <font>
        <b val="0"/>
        <i val="0"/>
        <color rgb="FFC00000"/>
      </font>
      <fill>
        <patternFill>
          <fgColor indexed="64"/>
          <bgColor rgb="FFFF9393"/>
        </patternFill>
      </fill>
    </dxf>
    <dxf>
      <font>
        <b val="0"/>
        <i val="0"/>
        <strike/>
        <color theme="2" tint="-0.749992370372631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lor theme="2" tint="-0.749992370372631"/>
      </font>
      <fill>
        <patternFill patternType="solid">
          <fgColor indexed="64"/>
          <bgColor rgb="FFFFFFFF"/>
        </patternFill>
      </fill>
    </dxf>
    <dxf>
      <font>
        <b val="0"/>
        <i val="0"/>
        <strike val="0"/>
        <color rgb="FFFF0000"/>
      </font>
      <fill>
        <patternFill patternType="solid">
          <fgColor indexed="64"/>
          <bgColor theme="2" tint="-9.9978637043366805E-2"/>
        </patternFill>
      </fill>
    </dxf>
    <dxf>
      <font>
        <b val="0"/>
        <i val="0"/>
        <strike val="0"/>
        <color rgb="FFB85410"/>
      </font>
      <fill>
        <patternFill patternType="solid">
          <fgColor indexed="64"/>
          <bgColor theme="5" tint="0.79998168889431442"/>
        </patternFill>
      </fill>
    </dxf>
    <dxf>
      <font>
        <b val="0"/>
        <i val="0"/>
        <strike val="0"/>
        <color theme="4"/>
      </font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lor rgb="FFC00000"/>
      </font>
      <fill>
        <patternFill>
          <fgColor indexed="64"/>
          <bgColor rgb="FFFFD5D5"/>
        </patternFill>
      </fill>
    </dxf>
  </dxfs>
  <tableStyles count="0" defaultTableStyle="TableStyleMedium2" defaultPivotStyle="PivotStyleLight16"/>
  <colors>
    <mruColors>
      <color rgb="FFB85410"/>
      <color rgb="FF009242"/>
      <color rgb="FF00863D"/>
      <color rgb="FFFFD5D5"/>
      <color rgb="FFFF9393"/>
      <color rgb="FFEFF6EA"/>
      <color rgb="FFF5F5F5"/>
      <color rgb="FFEFF6FB"/>
      <color rgb="FFF2F8EE"/>
      <color rgb="FF92D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2" dropStyle="combo" dx="26" fmlaLink="$L$6" fmlaRange="Langue!$F$2:$F$3" noThreeD="1" sel="2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https://blog-gestion-de-projet.com/docs/kit-management-projet/execution/suivi-des-livrables/" TargetMode="Externa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hyperlink" Target="https://blog-gestion-de-projet.com/docs/kit-management-projet/execution/suivi-des-livrables/" TargetMode="External"/><Relationship Id="rId5" Type="http://schemas.openxmlformats.org/officeDocument/2006/relationships/image" Target="../media/image5.sv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152400</xdr:rowOff>
    </xdr:from>
    <xdr:to>
      <xdr:col>3</xdr:col>
      <xdr:colOff>1446706</xdr:colOff>
      <xdr:row>4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3360" y="152400"/>
          <a:ext cx="2719246" cy="4267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3</xdr:col>
      <xdr:colOff>1752600</xdr:colOff>
      <xdr:row>5</xdr:row>
      <xdr:rowOff>60960</xdr:rowOff>
    </xdr:from>
    <xdr:to>
      <xdr:col>4</xdr:col>
      <xdr:colOff>1159825</xdr:colOff>
      <xdr:row>5</xdr:row>
      <xdr:rowOff>301981</xdr:rowOff>
    </xdr:to>
    <xdr:sp macro="[0]!NavBar" textlink="">
      <xdr:nvSpPr>
        <xdr:cNvPr id="12" name="BtnGuide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3238500" y="815340"/>
          <a:ext cx="1540825" cy="241021"/>
        </a:xfrm>
        <a:prstGeom prst="roundRect">
          <a:avLst/>
        </a:prstGeom>
        <a:solidFill>
          <a:schemeClr val="accent1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Guide d'utilisation</a:t>
          </a:r>
        </a:p>
      </xdr:txBody>
    </xdr:sp>
    <xdr:clientData/>
  </xdr:twoCellAnchor>
  <xdr:twoCellAnchor editAs="absolute">
    <xdr:from>
      <xdr:col>4</xdr:col>
      <xdr:colOff>1253805</xdr:colOff>
      <xdr:row>5</xdr:row>
      <xdr:rowOff>63998</xdr:rowOff>
    </xdr:from>
    <xdr:to>
      <xdr:col>6</xdr:col>
      <xdr:colOff>432028</xdr:colOff>
      <xdr:row>5</xdr:row>
      <xdr:rowOff>305019</xdr:rowOff>
    </xdr:to>
    <xdr:sp macro="[0]!NavBar" textlink="">
      <xdr:nvSpPr>
        <xdr:cNvPr id="13" name="BtnActions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4873305" y="818378"/>
          <a:ext cx="1769023" cy="241021"/>
        </a:xfrm>
        <a:prstGeom prst="roundRect">
          <a:avLst/>
        </a:prstGeom>
        <a:solidFill>
          <a:schemeClr val="accent2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Suivi des livrables</a:t>
          </a:r>
          <a:endParaRPr lang="en-US" sz="1050">
            <a:effectLst/>
          </a:endParaRPr>
        </a:p>
      </xdr:txBody>
    </xdr:sp>
    <xdr:clientData/>
  </xdr:twoCellAnchor>
  <xdr:twoCellAnchor editAs="absolute">
    <xdr:from>
      <xdr:col>6</xdr:col>
      <xdr:colOff>539151</xdr:colOff>
      <xdr:row>5</xdr:row>
      <xdr:rowOff>62293</xdr:rowOff>
    </xdr:from>
    <xdr:to>
      <xdr:col>8</xdr:col>
      <xdr:colOff>784860</xdr:colOff>
      <xdr:row>5</xdr:row>
      <xdr:rowOff>303314</xdr:rowOff>
    </xdr:to>
    <xdr:sp macro="[0]!NavBar" textlink="">
      <xdr:nvSpPr>
        <xdr:cNvPr id="14" name="BtnSettings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6749451" y="816673"/>
          <a:ext cx="1609689" cy="241021"/>
        </a:xfrm>
        <a:prstGeom prst="roundRect">
          <a:avLst/>
        </a:prstGeom>
        <a:solidFill>
          <a:srgbClr val="7030A0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Paramétrages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152400</xdr:rowOff>
    </xdr:from>
    <xdr:to>
      <xdr:col>2</xdr:col>
      <xdr:colOff>2330626</xdr:colOff>
      <xdr:row>4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3360" y="152400"/>
          <a:ext cx="2719246" cy="4267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7620</xdr:colOff>
      <xdr:row>8</xdr:row>
      <xdr:rowOff>91440</xdr:rowOff>
    </xdr:from>
    <xdr:to>
      <xdr:col>2</xdr:col>
      <xdr:colOff>1196340</xdr:colOff>
      <xdr:row>8</xdr:row>
      <xdr:rowOff>396240</xdr:rowOff>
    </xdr:to>
    <xdr:sp macro="[0]!AddRow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220980" y="1333500"/>
          <a:ext cx="1577340" cy="3048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50"/>
            <a:t>Ajouter un livrable</a:t>
          </a:r>
        </a:p>
      </xdr:txBody>
    </xdr:sp>
    <xdr:clientData/>
  </xdr:twoCellAnchor>
  <xdr:twoCellAnchor editAs="absolute">
    <xdr:from>
      <xdr:col>2</xdr:col>
      <xdr:colOff>1318260</xdr:colOff>
      <xdr:row>8</xdr:row>
      <xdr:rowOff>91440</xdr:rowOff>
    </xdr:from>
    <xdr:to>
      <xdr:col>3</xdr:col>
      <xdr:colOff>373380</xdr:colOff>
      <xdr:row>8</xdr:row>
      <xdr:rowOff>396240</xdr:rowOff>
    </xdr:to>
    <xdr:sp macro="[0]!DeleteRow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920240" y="1333500"/>
          <a:ext cx="1798320" cy="3048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50"/>
            <a:t>Supprimer un livrable</a:t>
          </a:r>
        </a:p>
      </xdr:txBody>
    </xdr:sp>
    <xdr:clientData/>
  </xdr:twoCellAnchor>
  <xdr:twoCellAnchor editAs="absolute">
    <xdr:from>
      <xdr:col>2</xdr:col>
      <xdr:colOff>2636520</xdr:colOff>
      <xdr:row>5</xdr:row>
      <xdr:rowOff>60740</xdr:rowOff>
    </xdr:from>
    <xdr:to>
      <xdr:col>4</xdr:col>
      <xdr:colOff>146365</xdr:colOff>
      <xdr:row>5</xdr:row>
      <xdr:rowOff>301761</xdr:rowOff>
    </xdr:to>
    <xdr:sp macro="" textlink="">
      <xdr:nvSpPr>
        <xdr:cNvPr id="8" name="BtnGuid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3238500" y="815120"/>
          <a:ext cx="1540825" cy="241021"/>
        </a:xfrm>
        <a:prstGeom prst="roundRect">
          <a:avLst/>
        </a:prstGeom>
        <a:solidFill>
          <a:schemeClr val="accent1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Guide d'utilisation</a:t>
          </a:r>
        </a:p>
      </xdr:txBody>
    </xdr:sp>
    <xdr:clientData/>
  </xdr:twoCellAnchor>
  <xdr:twoCellAnchor editAs="absolute">
    <xdr:from>
      <xdr:col>4</xdr:col>
      <xdr:colOff>240345</xdr:colOff>
      <xdr:row>5</xdr:row>
      <xdr:rowOff>63778</xdr:rowOff>
    </xdr:from>
    <xdr:to>
      <xdr:col>5</xdr:col>
      <xdr:colOff>508228</xdr:colOff>
      <xdr:row>5</xdr:row>
      <xdr:rowOff>304799</xdr:rowOff>
    </xdr:to>
    <xdr:sp macro="[0]!NavBar" textlink="">
      <xdr:nvSpPr>
        <xdr:cNvPr id="9" name="BtnActions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4873305" y="818158"/>
          <a:ext cx="1769023" cy="241021"/>
        </a:xfrm>
        <a:prstGeom prst="roundRect">
          <a:avLst/>
        </a:prstGeom>
        <a:solidFill>
          <a:schemeClr val="accent2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Suivi des livrables</a:t>
          </a:r>
          <a:endParaRPr lang="en-US" sz="1050">
            <a:effectLst/>
          </a:endParaRPr>
        </a:p>
      </xdr:txBody>
    </xdr:sp>
    <xdr:clientData/>
  </xdr:twoCellAnchor>
  <xdr:twoCellAnchor editAs="absolute">
    <xdr:from>
      <xdr:col>5</xdr:col>
      <xdr:colOff>615351</xdr:colOff>
      <xdr:row>5</xdr:row>
      <xdr:rowOff>62073</xdr:rowOff>
    </xdr:from>
    <xdr:to>
      <xdr:col>5</xdr:col>
      <xdr:colOff>2225040</xdr:colOff>
      <xdr:row>5</xdr:row>
      <xdr:rowOff>303094</xdr:rowOff>
    </xdr:to>
    <xdr:sp macro="[0]!NavBar" textlink="">
      <xdr:nvSpPr>
        <xdr:cNvPr id="11" name="BtnSettings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6749451" y="816453"/>
          <a:ext cx="1609689" cy="241021"/>
        </a:xfrm>
        <a:prstGeom prst="roundRect">
          <a:avLst/>
        </a:prstGeom>
        <a:solidFill>
          <a:srgbClr val="7030A0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Paramétrages</a:t>
          </a:r>
        </a:p>
      </xdr:txBody>
    </xdr:sp>
    <xdr:clientData/>
  </xdr:twoCellAnchor>
  <xdr:twoCellAnchor editAs="absolute">
    <xdr:from>
      <xdr:col>4</xdr:col>
      <xdr:colOff>769620</xdr:colOff>
      <xdr:row>8</xdr:row>
      <xdr:rowOff>91440</xdr:rowOff>
    </xdr:from>
    <xdr:to>
      <xdr:col>5</xdr:col>
      <xdr:colOff>845820</xdr:colOff>
      <xdr:row>8</xdr:row>
      <xdr:rowOff>396240</xdr:rowOff>
    </xdr:to>
    <xdr:sp macro="[0]!AddColum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402580" y="1333500"/>
          <a:ext cx="1577340" cy="30480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50"/>
            <a:t>Ajouter une colonne</a:t>
          </a:r>
        </a:p>
      </xdr:txBody>
    </xdr:sp>
    <xdr:clientData/>
  </xdr:twoCellAnchor>
  <xdr:twoCellAnchor editAs="absolute">
    <xdr:from>
      <xdr:col>5</xdr:col>
      <xdr:colOff>967740</xdr:colOff>
      <xdr:row>8</xdr:row>
      <xdr:rowOff>91440</xdr:rowOff>
    </xdr:from>
    <xdr:to>
      <xdr:col>5</xdr:col>
      <xdr:colOff>2766060</xdr:colOff>
      <xdr:row>8</xdr:row>
      <xdr:rowOff>396240</xdr:rowOff>
    </xdr:to>
    <xdr:sp macro="[0]!DeleteColumn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7101840" y="1333500"/>
          <a:ext cx="1798320" cy="3048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50"/>
            <a:t>Supprimer une colonne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175260</xdr:colOff>
      <xdr:row>0</xdr:row>
      <xdr:rowOff>152400</xdr:rowOff>
    </xdr:from>
    <xdr:to>
      <xdr:col>3</xdr:col>
      <xdr:colOff>547546</xdr:colOff>
      <xdr:row>4</xdr:row>
      <xdr:rowOff>76200</xdr:rowOff>
    </xdr:to>
    <xdr:pic>
      <xdr:nvPicPr>
        <xdr:cNvPr id="31" name="logo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5260" y="152400"/>
          <a:ext cx="2719246" cy="4267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1112186</xdr:colOff>
      <xdr:row>8</xdr:row>
      <xdr:rowOff>30900</xdr:rowOff>
    </xdr:from>
    <xdr:to>
      <xdr:col>2</xdr:col>
      <xdr:colOff>1238186</xdr:colOff>
      <xdr:row>8</xdr:row>
      <xdr:rowOff>156900</xdr:rowOff>
    </xdr:to>
    <xdr:pic macro="[0]!AddRow">
      <xdr:nvPicPr>
        <xdr:cNvPr id="36" name="BtnAddStatut" descr="Add with solid fill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920569" y="1521770"/>
          <a:ext cx="126000" cy="126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1347986</xdr:colOff>
      <xdr:row>8</xdr:row>
      <xdr:rowOff>30480</xdr:rowOff>
    </xdr:from>
    <xdr:to>
      <xdr:col>2</xdr:col>
      <xdr:colOff>1473986</xdr:colOff>
      <xdr:row>8</xdr:row>
      <xdr:rowOff>156480</xdr:rowOff>
    </xdr:to>
    <xdr:pic macro="[0]!DeleteRow">
      <xdr:nvPicPr>
        <xdr:cNvPr id="37" name="BtnDeleteStatut" descr="Close with solid fill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2156369" y="1521350"/>
          <a:ext cx="126000" cy="126000"/>
        </a:xfrm>
        <a:prstGeom prst="rect">
          <a:avLst/>
        </a:prstGeom>
      </xdr:spPr>
    </xdr:pic>
    <xdr:clientData/>
  </xdr:twoCellAnchor>
  <xdr:twoCellAnchor editAs="absolute">
    <xdr:from>
      <xdr:col>3</xdr:col>
      <xdr:colOff>891540</xdr:colOff>
      <xdr:row>5</xdr:row>
      <xdr:rowOff>60960</xdr:rowOff>
    </xdr:from>
    <xdr:to>
      <xdr:col>5</xdr:col>
      <xdr:colOff>1585</xdr:colOff>
      <xdr:row>5</xdr:row>
      <xdr:rowOff>301981</xdr:rowOff>
    </xdr:to>
    <xdr:sp macro="" textlink="">
      <xdr:nvSpPr>
        <xdr:cNvPr id="41" name="BtnGuide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/>
      </xdr:nvSpPr>
      <xdr:spPr>
        <a:xfrm>
          <a:off x="3238500" y="815340"/>
          <a:ext cx="1540825" cy="241021"/>
        </a:xfrm>
        <a:prstGeom prst="roundRect">
          <a:avLst/>
        </a:prstGeom>
        <a:solidFill>
          <a:schemeClr val="accent1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Guide d'utilisation</a:t>
          </a:r>
          <a:endParaRPr lang="en-US" sz="1050">
            <a:effectLst/>
          </a:endParaRPr>
        </a:p>
      </xdr:txBody>
    </xdr:sp>
    <xdr:clientData/>
  </xdr:twoCellAnchor>
  <xdr:twoCellAnchor editAs="absolute">
    <xdr:from>
      <xdr:col>5</xdr:col>
      <xdr:colOff>95565</xdr:colOff>
      <xdr:row>5</xdr:row>
      <xdr:rowOff>63998</xdr:rowOff>
    </xdr:from>
    <xdr:to>
      <xdr:col>6</xdr:col>
      <xdr:colOff>835888</xdr:colOff>
      <xdr:row>5</xdr:row>
      <xdr:rowOff>305019</xdr:rowOff>
    </xdr:to>
    <xdr:sp macro="[0]!NavBar" textlink="">
      <xdr:nvSpPr>
        <xdr:cNvPr id="42" name="BtnActions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/>
      </xdr:nvSpPr>
      <xdr:spPr>
        <a:xfrm>
          <a:off x="4873305" y="818378"/>
          <a:ext cx="1769023" cy="241021"/>
        </a:xfrm>
        <a:prstGeom prst="roundRect">
          <a:avLst/>
        </a:prstGeom>
        <a:solidFill>
          <a:schemeClr val="accent2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Suivi des livrables</a:t>
          </a:r>
          <a:endParaRPr lang="en-US">
            <a:effectLst/>
          </a:endParaRPr>
        </a:p>
      </xdr:txBody>
    </xdr:sp>
    <xdr:clientData/>
  </xdr:twoCellAnchor>
  <xdr:twoCellAnchor editAs="absolute">
    <xdr:from>
      <xdr:col>6</xdr:col>
      <xdr:colOff>943011</xdr:colOff>
      <xdr:row>5</xdr:row>
      <xdr:rowOff>62293</xdr:rowOff>
    </xdr:from>
    <xdr:to>
      <xdr:col>8</xdr:col>
      <xdr:colOff>411480</xdr:colOff>
      <xdr:row>5</xdr:row>
      <xdr:rowOff>303314</xdr:rowOff>
    </xdr:to>
    <xdr:sp macro="[0]!NavBar" textlink="">
      <xdr:nvSpPr>
        <xdr:cNvPr id="43" name="BtnSettings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/>
      </xdr:nvSpPr>
      <xdr:spPr>
        <a:xfrm>
          <a:off x="6749451" y="816673"/>
          <a:ext cx="1609689" cy="241021"/>
        </a:xfrm>
        <a:prstGeom prst="roundRect">
          <a:avLst/>
        </a:prstGeom>
        <a:solidFill>
          <a:srgbClr val="7030A0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Paramétrages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152400</xdr:colOff>
          <xdr:row>5</xdr:row>
          <xdr:rowOff>83820</xdr:rowOff>
        </xdr:from>
        <xdr:to>
          <xdr:col>12</xdr:col>
          <xdr:colOff>106680</xdr:colOff>
          <xdr:row>5</xdr:row>
          <xdr:rowOff>297180</xdr:rowOff>
        </xdr:to>
        <xdr:sp macro="" textlink="">
          <xdr:nvSpPr>
            <xdr:cNvPr id="3081" name="Drop Dow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6762953-8AF9-4D1F-B711-8A3DA5A4E1BD}" name="TabLivrables" displayName="TabLivrables" ref="B11:Q69" totalsRowShown="0" headerRowDxfId="37" dataDxfId="36">
  <autoFilter ref="B11:Q69" xr:uid="{C6762953-8AF9-4D1F-B711-8A3DA5A4E1BD}"/>
  <tableColumns count="16">
    <tableColumn id="1" xr3:uid="{C6AFDC86-425B-4C98-AEA5-154D37D11AA7}" name="ID" dataDxfId="35">
      <calculatedColumnFormula>ROW()-ROW(TabLivrables[[#Headers],[ID]])</calculatedColumnFormula>
    </tableColumn>
    <tableColumn id="3" xr3:uid="{09984EE0-6E70-49FB-B6A2-4CD5E3CFD8E9}" name="Livrables du projet" dataDxfId="34"/>
    <tableColumn id="4" xr3:uid="{EFA05E07-C59A-4232-922F-F08CD26486E5}" name="Type de livrable" dataDxfId="33"/>
    <tableColumn id="12" xr3:uid="{C0376BB8-0A87-43D5-B4B2-BD45FBA4AF7D}" name="Responsable" dataDxfId="32"/>
    <tableColumn id="5" xr3:uid="{6588FBC4-FB2B-4FAF-BB78-D3B8C250D067}" name="Description" dataDxfId="31"/>
    <tableColumn id="13" xr3:uid="{9E00B21C-9A6D-42AE-95C1-D593E8BC318A}" name="Etat" dataDxfId="30"/>
    <tableColumn id="6" xr3:uid="{6163C790-864C-442C-AEF6-3CB9E38FF10A}" name="Date de livraison attendue" dataDxfId="29"/>
    <tableColumn id="7" xr3:uid="{2F79E7AB-AC0B-4289-8E0C-7C79FEBE4A7B}" name="Date de livraison réelle" dataDxfId="28"/>
    <tableColumn id="2" xr3:uid="{5B3C7E24-0096-460C-A9B4-405AB08185AE}" name="Référence" dataDxfId="27"/>
    <tableColumn id="8" xr3:uid="{AE0D409C-4406-4D26-9092-790A264AFFDE}" name="Version" dataDxfId="26"/>
    <tableColumn id="9" xr3:uid="{76B0FBC0-6DB3-427A-9517-092176C86809}" name="Lien vers le document" dataDxfId="25"/>
    <tableColumn id="10" xr3:uid="{6B9AF552-4F8E-4EC2-A45C-94A5EC9B0279}" name="Valideur(s)" dataDxfId="24"/>
    <tableColumn id="11" xr3:uid="{72D9D204-5AF4-446E-B8F8-3D1F32B43FA9}" name="Date de validation attendue" dataDxfId="23"/>
    <tableColumn id="14" xr3:uid="{F2BB0600-FCF8-40E9-9838-A928B4E4E716}" name="Date de validation réelle" dataDxfId="22"/>
    <tableColumn id="15" xr3:uid="{5B45C25B-6A4C-4B0F-ABB9-71A98866086D}" name="Version validée" dataDxfId="21"/>
    <tableColumn id="16" xr3:uid="{4D8D5FEB-E75A-49E2-85C8-D0E550528A6F}" name="Commentaire" dataDxfId="20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D609DC7-55ED-4B66-A7D2-FEF690D15FA7}" name="TabEtat" displayName="TabEtat" ref="C10:C15" headerRowCount="0" totalsRowShown="0" headerRowDxfId="19" dataDxfId="18">
  <tableColumns count="1">
    <tableColumn id="1" xr3:uid="{7C2A4505-14BD-4EF4-9881-49A036808C06}" name="Etat" headerRowDxfId="17" dataDxfId="16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0E0F9ED-4A7D-4701-8E98-0A4FABF2EF1E}" name="TabLangue" displayName="TabLangue" ref="A1:B38" totalsRowShown="0" headerRowDxfId="13" dataDxfId="12">
  <autoFilter ref="A1:B38" xr:uid="{D0E0F9ED-4A7D-4701-8E98-0A4FABF2EF1E}"/>
  <tableColumns count="2">
    <tableColumn id="1" xr3:uid="{3C5EACB2-8C88-47ED-8E3E-00C9D1F87F32}" name="Français" dataDxfId="11"/>
    <tableColumn id="2" xr3:uid="{36A2A7CF-831A-450C-98B9-B3444E7DC632}" name="Anglais" dataDxfId="1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26FD67B-56ED-464A-A6B5-D7720FDA8786}" name="TabLang" displayName="TabLang" ref="F1:F3" totalsRowShown="0">
  <autoFilter ref="F1:F3" xr:uid="{326FD67B-56ED-464A-A6B5-D7720FDA8786}"/>
  <tableColumns count="1">
    <tableColumn id="1" xr3:uid="{7A747639-3F5E-4B12-A953-F7CA07E44693}" name="Langu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D3FCC-62AB-448E-9317-F7CFF6A451BE}">
  <sheetPr codeName="ShGuide">
    <tabColor theme="4"/>
  </sheetPr>
  <dimension ref="A1:Q20"/>
  <sheetViews>
    <sheetView showGridLines="0" workbookViewId="0">
      <selection activeCell="G12" sqref="G12"/>
    </sheetView>
  </sheetViews>
  <sheetFormatPr defaultColWidth="0" defaultRowHeight="14.4" x14ac:dyDescent="0.3"/>
  <cols>
    <col min="1" max="1" width="3.109375" customWidth="1"/>
    <col min="2" max="2" width="5.6640625" customWidth="1"/>
    <col min="3" max="3" width="12.88671875" customWidth="1"/>
    <col min="4" max="4" width="31.109375" customWidth="1"/>
    <col min="5" max="5" width="18.6640625" customWidth="1"/>
    <col min="6" max="6" width="19.109375" customWidth="1"/>
    <col min="7" max="7" width="15.44140625" customWidth="1"/>
    <col min="8" max="8" width="4.44140625" customWidth="1"/>
    <col min="9" max="9" width="18.109375" bestFit="1" customWidth="1"/>
    <col min="10" max="10" width="21.6640625" customWidth="1"/>
    <col min="11" max="11" width="6" customWidth="1"/>
    <col min="12" max="12" width="23.5546875" customWidth="1"/>
    <col min="13" max="13" width="17" customWidth="1"/>
    <col min="14" max="16" width="8.88671875" customWidth="1"/>
    <col min="17" max="17" width="0" hidden="1" customWidth="1"/>
    <col min="18" max="16384" width="8.88671875" hidden="1"/>
  </cols>
  <sheetData>
    <row r="1" spans="2:13" ht="19.95" customHeight="1" x14ac:dyDescent="0.3">
      <c r="E1" s="9" t="s">
        <v>4</v>
      </c>
      <c r="F1" s="54" t="s">
        <v>9</v>
      </c>
      <c r="G1" s="54"/>
      <c r="I1" s="9" t="s">
        <v>12</v>
      </c>
      <c r="J1" s="10" t="s">
        <v>11</v>
      </c>
      <c r="L1" s="1" t="s">
        <v>0</v>
      </c>
      <c r="M1" s="2">
        <v>44893</v>
      </c>
    </row>
    <row r="2" spans="2:13" ht="14.4" hidden="1" customHeight="1" x14ac:dyDescent="0.3">
      <c r="E2" s="11"/>
      <c r="F2" s="27"/>
      <c r="G2" s="27"/>
      <c r="I2" s="11"/>
      <c r="J2" s="12"/>
      <c r="L2" s="3"/>
      <c r="M2" s="4"/>
    </row>
    <row r="3" spans="2:13" ht="19.95" customHeight="1" x14ac:dyDescent="0.3">
      <c r="E3" s="9" t="s">
        <v>5</v>
      </c>
      <c r="F3" s="54" t="s">
        <v>10</v>
      </c>
      <c r="G3" s="54"/>
      <c r="I3" s="9" t="s">
        <v>13</v>
      </c>
      <c r="J3" s="10" t="s">
        <v>14</v>
      </c>
      <c r="L3" s="1" t="s">
        <v>1</v>
      </c>
      <c r="M3" s="2"/>
    </row>
    <row r="4" spans="2:13" ht="14.4" hidden="1" customHeight="1" x14ac:dyDescent="0.3">
      <c r="L4" s="3"/>
      <c r="M4" s="4"/>
    </row>
    <row r="5" spans="2:13" ht="19.95" customHeight="1" thickBot="1" x14ac:dyDescent="0.35">
      <c r="L5" s="5" t="s">
        <v>2</v>
      </c>
      <c r="M5" s="6" t="s">
        <v>3</v>
      </c>
    </row>
    <row r="6" spans="2:13" ht="28.2" customHeight="1" thickTop="1" thickBot="1" x14ac:dyDescent="0.35">
      <c r="B6" s="7"/>
      <c r="C6" s="8" t="s">
        <v>7</v>
      </c>
      <c r="D6" s="7"/>
      <c r="E6" s="7"/>
      <c r="F6" s="7"/>
      <c r="G6" s="7"/>
      <c r="H6" s="7"/>
      <c r="I6" s="7"/>
      <c r="J6" s="7"/>
      <c r="K6" s="7"/>
      <c r="L6" s="7"/>
      <c r="M6" s="7"/>
    </row>
    <row r="7" spans="2:13" ht="10.199999999999999" customHeight="1" thickTop="1" x14ac:dyDescent="0.3"/>
    <row r="11" spans="2:13" ht="21" customHeight="1" x14ac:dyDescent="0.3"/>
    <row r="12" spans="2:13" ht="21" customHeight="1" x14ac:dyDescent="0.3"/>
    <row r="13" spans="2:13" ht="21" customHeight="1" x14ac:dyDescent="0.3"/>
    <row r="14" spans="2:13" ht="21" customHeight="1" x14ac:dyDescent="0.3"/>
    <row r="15" spans="2:13" ht="21" customHeight="1" x14ac:dyDescent="0.3"/>
    <row r="16" spans="2:13" ht="21" customHeight="1" x14ac:dyDescent="0.3"/>
    <row r="17" ht="21" customHeight="1" x14ac:dyDescent="0.3"/>
    <row r="18" ht="21" customHeight="1" x14ac:dyDescent="0.3"/>
    <row r="19" ht="21" customHeight="1" x14ac:dyDescent="0.3"/>
    <row r="20" ht="21" customHeight="1" x14ac:dyDescent="0.3"/>
  </sheetData>
  <mergeCells count="2">
    <mergeCell ref="F1:G1"/>
    <mergeCell ref="F3:G3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0A947-56B9-402E-A5E0-3D721A741B85}">
  <sheetPr codeName="ShLivrables">
    <tabColor rgb="FFFFC000"/>
  </sheetPr>
  <dimension ref="B1:Q90"/>
  <sheetViews>
    <sheetView showGridLines="0" tabSelected="1" workbookViewId="0">
      <selection activeCell="G13" sqref="G13"/>
    </sheetView>
  </sheetViews>
  <sheetFormatPr defaultColWidth="8.88671875" defaultRowHeight="14.4" x14ac:dyDescent="0.3"/>
  <cols>
    <col min="1" max="1" width="3.109375" customWidth="1"/>
    <col min="2" max="2" width="5.6640625" customWidth="1"/>
    <col min="3" max="3" width="40" customWidth="1"/>
    <col min="4" max="4" width="18.6640625" customWidth="1"/>
    <col min="5" max="5" width="21.88671875" customWidth="1"/>
    <col min="6" max="6" width="51" customWidth="1"/>
    <col min="7" max="7" width="16.5546875" customWidth="1"/>
    <col min="8" max="8" width="18.109375" bestFit="1" customWidth="1"/>
    <col min="9" max="9" width="20.109375" bestFit="1" customWidth="1"/>
    <col min="10" max="10" width="18.109375" customWidth="1"/>
    <col min="11" max="11" width="16.6640625" customWidth="1"/>
    <col min="12" max="12" width="19.5546875" bestFit="1" customWidth="1"/>
    <col min="13" max="13" width="18.33203125" customWidth="1"/>
    <col min="14" max="14" width="17.33203125" customWidth="1"/>
    <col min="15" max="15" width="15.6640625" customWidth="1"/>
    <col min="16" max="16" width="12.6640625" customWidth="1"/>
    <col min="17" max="17" width="39.33203125" customWidth="1"/>
  </cols>
  <sheetData>
    <row r="1" spans="2:17" ht="19.95" customHeight="1" x14ac:dyDescent="0.3">
      <c r="E1" s="9" t="s">
        <v>4</v>
      </c>
      <c r="F1" s="10" t="s">
        <v>9</v>
      </c>
      <c r="H1" s="28" t="s">
        <v>12</v>
      </c>
      <c r="I1" s="10" t="s">
        <v>11</v>
      </c>
      <c r="O1" s="1" t="s">
        <v>0</v>
      </c>
      <c r="P1" s="1"/>
      <c r="Q1" s="2">
        <v>44893</v>
      </c>
    </row>
    <row r="2" spans="2:17" ht="14.4" hidden="1" customHeight="1" x14ac:dyDescent="0.3">
      <c r="E2" s="11"/>
      <c r="F2" s="27"/>
      <c r="H2" s="29"/>
      <c r="I2" s="12"/>
      <c r="O2" s="3"/>
      <c r="Q2" s="4"/>
    </row>
    <row r="3" spans="2:17" ht="19.95" customHeight="1" x14ac:dyDescent="0.3">
      <c r="E3" s="9" t="s">
        <v>5</v>
      </c>
      <c r="F3" s="10" t="s">
        <v>10</v>
      </c>
      <c r="H3" s="28" t="s">
        <v>13</v>
      </c>
      <c r="I3" s="10" t="s">
        <v>14</v>
      </c>
      <c r="O3" s="1" t="s">
        <v>1</v>
      </c>
      <c r="P3" s="1"/>
      <c r="Q3" s="2"/>
    </row>
    <row r="4" spans="2:17" ht="14.4" hidden="1" customHeight="1" x14ac:dyDescent="0.3">
      <c r="O4" s="3"/>
      <c r="Q4" s="4"/>
    </row>
    <row r="5" spans="2:17" ht="19.95" customHeight="1" thickBot="1" x14ac:dyDescent="0.35">
      <c r="O5" s="5" t="s">
        <v>2</v>
      </c>
      <c r="P5" s="5"/>
      <c r="Q5" s="6" t="s">
        <v>3</v>
      </c>
    </row>
    <row r="6" spans="2:17" ht="28.2" customHeight="1" thickTop="1" thickBot="1" x14ac:dyDescent="0.35">
      <c r="B6" s="7"/>
      <c r="C6" s="8" t="s">
        <v>79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</row>
    <row r="7" spans="2:17" ht="10.199999999999999" customHeight="1" thickTop="1" x14ac:dyDescent="0.3"/>
    <row r="8" spans="2:17" ht="20.399999999999999" hidden="1" customHeight="1" thickTop="1" x14ac:dyDescent="0.3">
      <c r="D8" s="32"/>
      <c r="E8" s="31"/>
    </row>
    <row r="9" spans="2:17" ht="37.200000000000003" customHeight="1" x14ac:dyDescent="0.3"/>
    <row r="10" spans="2:17" ht="37.950000000000003" customHeight="1" x14ac:dyDescent="0.3">
      <c r="B10" s="33" t="s">
        <v>34</v>
      </c>
      <c r="C10" s="33" t="s">
        <v>35</v>
      </c>
      <c r="D10" s="33" t="s">
        <v>36</v>
      </c>
      <c r="E10" s="33" t="s">
        <v>15</v>
      </c>
      <c r="F10" s="33" t="s">
        <v>37</v>
      </c>
      <c r="G10" s="33" t="s">
        <v>17</v>
      </c>
      <c r="H10" s="33" t="s">
        <v>180</v>
      </c>
      <c r="I10" s="33" t="s">
        <v>38</v>
      </c>
      <c r="J10" s="33" t="s">
        <v>5</v>
      </c>
      <c r="K10" s="33" t="s">
        <v>39</v>
      </c>
      <c r="L10" s="33" t="s">
        <v>40</v>
      </c>
      <c r="M10" s="33" t="s">
        <v>41</v>
      </c>
      <c r="N10" s="33" t="s">
        <v>45</v>
      </c>
      <c r="O10" s="33" t="s">
        <v>42</v>
      </c>
      <c r="P10" s="33" t="s">
        <v>43</v>
      </c>
      <c r="Q10" s="33" t="s">
        <v>44</v>
      </c>
    </row>
    <row r="11" spans="2:17" ht="28.8" hidden="1" x14ac:dyDescent="0.3">
      <c r="B11" s="34" t="s">
        <v>6</v>
      </c>
      <c r="C11" s="34" t="s">
        <v>35</v>
      </c>
      <c r="D11" s="34" t="s">
        <v>36</v>
      </c>
      <c r="E11" s="34" t="s">
        <v>15</v>
      </c>
      <c r="F11" s="34" t="s">
        <v>37</v>
      </c>
      <c r="G11" s="34" t="s">
        <v>17</v>
      </c>
      <c r="H11" s="34" t="s">
        <v>180</v>
      </c>
      <c r="I11" s="34" t="s">
        <v>38</v>
      </c>
      <c r="J11" s="34" t="s">
        <v>5</v>
      </c>
      <c r="K11" s="34" t="s">
        <v>39</v>
      </c>
      <c r="L11" s="34" t="s">
        <v>40</v>
      </c>
      <c r="M11" s="34" t="s">
        <v>41</v>
      </c>
      <c r="N11" s="34" t="s">
        <v>45</v>
      </c>
      <c r="O11" s="34" t="s">
        <v>42</v>
      </c>
      <c r="P11" s="34" t="s">
        <v>43</v>
      </c>
      <c r="Q11" s="34" t="s">
        <v>44</v>
      </c>
    </row>
    <row r="12" spans="2:17" ht="32.4" customHeight="1" x14ac:dyDescent="0.3">
      <c r="B12" s="14">
        <f>ROW()-ROW(TabLivrables[[#Headers],[ID]])</f>
        <v>1</v>
      </c>
      <c r="C12" s="13" t="s">
        <v>21</v>
      </c>
      <c r="D12" s="13" t="s">
        <v>46</v>
      </c>
      <c r="E12" s="14" t="s">
        <v>47</v>
      </c>
      <c r="F12" s="43" t="s">
        <v>48</v>
      </c>
      <c r="G12" s="38" t="s">
        <v>19</v>
      </c>
      <c r="H12" s="37">
        <v>44660</v>
      </c>
      <c r="I12" s="37">
        <v>44661</v>
      </c>
      <c r="J12" s="37"/>
      <c r="K12" s="13" t="s">
        <v>49</v>
      </c>
      <c r="L12" s="13"/>
      <c r="M12" s="13" t="s">
        <v>22</v>
      </c>
      <c r="N12" s="37">
        <v>44660</v>
      </c>
      <c r="O12" s="37">
        <v>44630</v>
      </c>
      <c r="P12" s="14" t="s">
        <v>49</v>
      </c>
      <c r="Q12" s="13"/>
    </row>
    <row r="13" spans="2:17" ht="32.4" customHeight="1" x14ac:dyDescent="0.3">
      <c r="B13" s="14">
        <f>ROW()-ROW(TabLivrables[[#Headers],[ID]])</f>
        <v>2</v>
      </c>
      <c r="C13" s="13" t="s">
        <v>50</v>
      </c>
      <c r="D13" s="13" t="s">
        <v>51</v>
      </c>
      <c r="E13" s="14" t="s">
        <v>52</v>
      </c>
      <c r="F13" s="43" t="s">
        <v>53</v>
      </c>
      <c r="G13" s="38" t="s">
        <v>54</v>
      </c>
      <c r="H13" s="37">
        <v>44680</v>
      </c>
      <c r="I13" s="37">
        <v>44679</v>
      </c>
      <c r="J13" s="37"/>
      <c r="K13" s="13" t="s">
        <v>55</v>
      </c>
      <c r="L13" s="13"/>
      <c r="M13" s="13" t="s">
        <v>22</v>
      </c>
      <c r="N13" s="37">
        <v>44681</v>
      </c>
      <c r="O13" s="37">
        <v>44682</v>
      </c>
      <c r="P13" s="14"/>
      <c r="Q13" s="13" t="s">
        <v>56</v>
      </c>
    </row>
    <row r="14" spans="2:17" ht="32.4" customHeight="1" x14ac:dyDescent="0.3">
      <c r="B14" s="14">
        <f>ROW()-ROW(TabLivrables[[#Headers],[ID]])</f>
        <v>3</v>
      </c>
      <c r="C14" s="13" t="s">
        <v>23</v>
      </c>
      <c r="D14" s="13" t="s">
        <v>51</v>
      </c>
      <c r="E14" s="14" t="s">
        <v>52</v>
      </c>
      <c r="F14" s="43" t="s">
        <v>57</v>
      </c>
      <c r="G14" s="38" t="s">
        <v>179</v>
      </c>
      <c r="H14" s="37">
        <v>44680</v>
      </c>
      <c r="I14" s="37">
        <v>44679</v>
      </c>
      <c r="J14" s="37"/>
      <c r="K14" s="13" t="s">
        <v>58</v>
      </c>
      <c r="L14" s="13"/>
      <c r="M14" s="13" t="s">
        <v>22</v>
      </c>
      <c r="N14" s="37">
        <v>44681</v>
      </c>
      <c r="O14" s="37"/>
      <c r="P14" s="14" t="s">
        <v>58</v>
      </c>
      <c r="Q14" s="13" t="s">
        <v>59</v>
      </c>
    </row>
    <row r="15" spans="2:17" ht="32.4" customHeight="1" x14ac:dyDescent="0.3">
      <c r="B15" s="14">
        <f>ROW()-ROW(TabLivrables[[#Headers],[ID]])</f>
        <v>4</v>
      </c>
      <c r="C15" s="13" t="s">
        <v>24</v>
      </c>
      <c r="D15" s="13" t="s">
        <v>32</v>
      </c>
      <c r="E15" s="14" t="s">
        <v>60</v>
      </c>
      <c r="F15" s="43" t="s">
        <v>61</v>
      </c>
      <c r="G15" s="38" t="s">
        <v>54</v>
      </c>
      <c r="H15" s="37">
        <v>44680</v>
      </c>
      <c r="I15" s="37">
        <v>44680</v>
      </c>
      <c r="J15" s="37"/>
      <c r="K15" s="13" t="s">
        <v>58</v>
      </c>
      <c r="L15" s="13"/>
      <c r="M15" s="13" t="s">
        <v>22</v>
      </c>
      <c r="N15" s="37">
        <v>44681</v>
      </c>
      <c r="O15" s="37"/>
      <c r="P15" s="14"/>
      <c r="Q15" s="13" t="s">
        <v>62</v>
      </c>
    </row>
    <row r="16" spans="2:17" ht="32.4" customHeight="1" x14ac:dyDescent="0.3">
      <c r="B16" s="14">
        <f>ROW()-ROW(TabLivrables[[#Headers],[ID]])</f>
        <v>5</v>
      </c>
      <c r="C16" s="13" t="s">
        <v>25</v>
      </c>
      <c r="D16" s="13" t="s">
        <v>32</v>
      </c>
      <c r="E16" s="14" t="s">
        <v>52</v>
      </c>
      <c r="F16" s="43" t="s">
        <v>63</v>
      </c>
      <c r="G16" s="38" t="s">
        <v>18</v>
      </c>
      <c r="H16" s="37">
        <v>44741</v>
      </c>
      <c r="I16" s="37">
        <v>44742</v>
      </c>
      <c r="J16" s="37"/>
      <c r="K16" s="13" t="s">
        <v>64</v>
      </c>
      <c r="L16" s="13"/>
      <c r="M16" s="13" t="s">
        <v>65</v>
      </c>
      <c r="N16" s="37">
        <v>44742</v>
      </c>
      <c r="O16" s="37"/>
      <c r="P16" s="14"/>
      <c r="Q16" s="13"/>
    </row>
    <row r="17" spans="2:17" ht="32.4" customHeight="1" x14ac:dyDescent="0.3">
      <c r="B17" s="14">
        <f>ROW()-ROW(TabLivrables[[#Headers],[ID]])</f>
        <v>6</v>
      </c>
      <c r="C17" s="13" t="s">
        <v>26</v>
      </c>
      <c r="D17" s="13" t="s">
        <v>32</v>
      </c>
      <c r="E17" s="14" t="s">
        <v>52</v>
      </c>
      <c r="F17" s="43" t="s">
        <v>66</v>
      </c>
      <c r="G17" s="38" t="s">
        <v>67</v>
      </c>
      <c r="H17" s="37">
        <v>44741</v>
      </c>
      <c r="I17" s="37">
        <v>45265</v>
      </c>
      <c r="J17" s="37"/>
      <c r="K17" s="13" t="s">
        <v>64</v>
      </c>
      <c r="L17" s="13"/>
      <c r="M17" s="13" t="s">
        <v>65</v>
      </c>
      <c r="N17" s="37">
        <v>44742</v>
      </c>
      <c r="O17" s="37"/>
      <c r="P17" s="14"/>
      <c r="Q17" s="13"/>
    </row>
    <row r="18" spans="2:17" ht="32.4" customHeight="1" x14ac:dyDescent="0.3">
      <c r="B18" s="14">
        <f>ROW()-ROW(TabLivrables[[#Headers],[ID]])</f>
        <v>7</v>
      </c>
      <c r="C18" s="13" t="s">
        <v>27</v>
      </c>
      <c r="D18" s="13" t="s">
        <v>32</v>
      </c>
      <c r="E18" s="14" t="s">
        <v>52</v>
      </c>
      <c r="F18" s="43" t="s">
        <v>68</v>
      </c>
      <c r="G18" s="38" t="s">
        <v>18</v>
      </c>
      <c r="H18" s="37">
        <v>44741</v>
      </c>
      <c r="I18" s="37">
        <v>45265</v>
      </c>
      <c r="J18" s="37"/>
      <c r="K18" s="13" t="s">
        <v>64</v>
      </c>
      <c r="L18" s="13"/>
      <c r="M18" s="13" t="s">
        <v>22</v>
      </c>
      <c r="N18" s="37">
        <v>44742</v>
      </c>
      <c r="O18" s="37"/>
      <c r="P18" s="14"/>
      <c r="Q18" s="13"/>
    </row>
    <row r="19" spans="2:17" ht="32.4" customHeight="1" x14ac:dyDescent="0.3">
      <c r="B19" s="14">
        <f>ROW()-ROW(TabLivrables[[#Headers],[ID]])</f>
        <v>8</v>
      </c>
      <c r="C19" s="13" t="s">
        <v>28</v>
      </c>
      <c r="D19" s="13" t="s">
        <v>32</v>
      </c>
      <c r="E19" s="14" t="s">
        <v>52</v>
      </c>
      <c r="F19" s="43" t="s">
        <v>69</v>
      </c>
      <c r="G19" s="38" t="s">
        <v>20</v>
      </c>
      <c r="H19" s="37">
        <v>44741</v>
      </c>
      <c r="I19" s="37"/>
      <c r="J19" s="37"/>
      <c r="K19" s="13" t="s">
        <v>64</v>
      </c>
      <c r="L19" s="13"/>
      <c r="M19" s="13" t="s">
        <v>22</v>
      </c>
      <c r="N19" s="37">
        <v>44742</v>
      </c>
      <c r="O19" s="37"/>
      <c r="P19" s="14"/>
      <c r="Q19" s="13"/>
    </row>
    <row r="20" spans="2:17" ht="32.4" customHeight="1" x14ac:dyDescent="0.3">
      <c r="B20" s="14">
        <f>ROW()-ROW(TabLivrables[[#Headers],[ID]])</f>
        <v>9</v>
      </c>
      <c r="C20" s="13" t="s">
        <v>29</v>
      </c>
      <c r="D20" s="13" t="s">
        <v>32</v>
      </c>
      <c r="E20" s="14" t="s">
        <v>52</v>
      </c>
      <c r="F20" s="43" t="s">
        <v>70</v>
      </c>
      <c r="G20" s="38" t="s">
        <v>179</v>
      </c>
      <c r="H20" s="37">
        <v>44741</v>
      </c>
      <c r="I20" s="37"/>
      <c r="J20" s="37"/>
      <c r="K20" s="13" t="s">
        <v>64</v>
      </c>
      <c r="L20" s="13"/>
      <c r="M20" s="13" t="s">
        <v>22</v>
      </c>
      <c r="N20" s="37">
        <v>44742</v>
      </c>
      <c r="O20" s="37"/>
      <c r="P20" s="14"/>
      <c r="Q20" s="13"/>
    </row>
    <row r="21" spans="2:17" ht="32.4" customHeight="1" x14ac:dyDescent="0.3">
      <c r="B21" s="14">
        <f>ROW()-ROW(TabLivrables[[#Headers],[ID]])</f>
        <v>10</v>
      </c>
      <c r="C21" s="13" t="s">
        <v>30</v>
      </c>
      <c r="D21" s="13" t="s">
        <v>32</v>
      </c>
      <c r="E21" s="14" t="s">
        <v>52</v>
      </c>
      <c r="F21" s="43" t="s">
        <v>71</v>
      </c>
      <c r="G21" s="38" t="s">
        <v>18</v>
      </c>
      <c r="H21" s="37">
        <v>44741</v>
      </c>
      <c r="I21" s="37"/>
      <c r="J21" s="37"/>
      <c r="K21" s="13" t="s">
        <v>64</v>
      </c>
      <c r="L21" s="13"/>
      <c r="M21" s="13" t="s">
        <v>65</v>
      </c>
      <c r="N21" s="37">
        <v>44742</v>
      </c>
      <c r="O21" s="37"/>
      <c r="P21" s="14"/>
      <c r="Q21" s="13"/>
    </row>
    <row r="22" spans="2:17" ht="32.4" customHeight="1" x14ac:dyDescent="0.3">
      <c r="B22" s="14">
        <f>ROW()-ROW(TabLivrables[[#Headers],[ID]])</f>
        <v>11</v>
      </c>
      <c r="C22" s="13" t="s">
        <v>31</v>
      </c>
      <c r="D22" s="13" t="s">
        <v>32</v>
      </c>
      <c r="E22" s="14" t="s">
        <v>52</v>
      </c>
      <c r="F22" s="43" t="s">
        <v>72</v>
      </c>
      <c r="G22" s="38" t="s">
        <v>18</v>
      </c>
      <c r="H22" s="37">
        <v>44741</v>
      </c>
      <c r="I22" s="37"/>
      <c r="J22" s="37"/>
      <c r="K22" s="13" t="s">
        <v>64</v>
      </c>
      <c r="L22" s="13"/>
      <c r="M22" s="13" t="s">
        <v>65</v>
      </c>
      <c r="N22" s="37">
        <v>44742</v>
      </c>
      <c r="O22" s="37"/>
      <c r="P22" s="14"/>
      <c r="Q22" s="13"/>
    </row>
    <row r="23" spans="2:17" ht="32.4" customHeight="1" x14ac:dyDescent="0.3">
      <c r="B23" s="14">
        <f>ROW()-ROW(TabLivrables[[#Headers],[ID]])</f>
        <v>12</v>
      </c>
      <c r="C23" s="13" t="s">
        <v>73</v>
      </c>
      <c r="D23" s="13" t="s">
        <v>32</v>
      </c>
      <c r="E23" s="14" t="s">
        <v>52</v>
      </c>
      <c r="F23" s="43" t="s">
        <v>74</v>
      </c>
      <c r="G23" s="38" t="s">
        <v>18</v>
      </c>
      <c r="H23" s="37">
        <v>44741</v>
      </c>
      <c r="I23" s="37"/>
      <c r="J23" s="37"/>
      <c r="K23" s="13" t="s">
        <v>64</v>
      </c>
      <c r="L23" s="13"/>
      <c r="M23" s="13" t="s">
        <v>65</v>
      </c>
      <c r="N23" s="37">
        <v>44742</v>
      </c>
      <c r="O23" s="37"/>
      <c r="P23" s="14"/>
      <c r="Q23" s="13"/>
    </row>
    <row r="24" spans="2:17" ht="32.4" customHeight="1" x14ac:dyDescent="0.3">
      <c r="B24" s="14">
        <f>ROW()-ROW(TabLivrables[[#Headers],[ID]])</f>
        <v>13</v>
      </c>
      <c r="C24" s="13" t="s">
        <v>75</v>
      </c>
      <c r="D24" s="13" t="s">
        <v>32</v>
      </c>
      <c r="E24" s="14" t="s">
        <v>52</v>
      </c>
      <c r="F24" s="43" t="s">
        <v>76</v>
      </c>
      <c r="G24" s="38" t="s">
        <v>18</v>
      </c>
      <c r="H24" s="37">
        <v>44741</v>
      </c>
      <c r="I24" s="37"/>
      <c r="J24" s="37"/>
      <c r="K24" s="13" t="s">
        <v>64</v>
      </c>
      <c r="L24" s="13"/>
      <c r="M24" s="13" t="s">
        <v>22</v>
      </c>
      <c r="N24" s="37">
        <v>44742</v>
      </c>
      <c r="O24" s="37"/>
      <c r="P24" s="14"/>
      <c r="Q24" s="13"/>
    </row>
    <row r="25" spans="2:17" ht="32.4" customHeight="1" x14ac:dyDescent="0.3">
      <c r="B25" s="14">
        <f>ROW()-ROW(TabLivrables[[#Headers],[ID]])</f>
        <v>14</v>
      </c>
      <c r="C25" s="13" t="s">
        <v>77</v>
      </c>
      <c r="D25" s="13" t="s">
        <v>32</v>
      </c>
      <c r="E25" s="14" t="s">
        <v>52</v>
      </c>
      <c r="F25" s="43" t="s">
        <v>78</v>
      </c>
      <c r="G25" s="38" t="s">
        <v>18</v>
      </c>
      <c r="H25" s="37">
        <v>44741</v>
      </c>
      <c r="I25" s="37"/>
      <c r="J25" s="37"/>
      <c r="K25" s="13" t="s">
        <v>64</v>
      </c>
      <c r="L25" s="13"/>
      <c r="M25" s="13" t="s">
        <v>65</v>
      </c>
      <c r="N25" s="37">
        <v>44742</v>
      </c>
      <c r="O25" s="37"/>
      <c r="P25" s="14"/>
      <c r="Q25" s="13"/>
    </row>
    <row r="26" spans="2:17" ht="32.4" customHeight="1" x14ac:dyDescent="0.3">
      <c r="B26" s="14">
        <f>ROW()-ROW(TabLivrables[[#Headers],[ID]])</f>
        <v>15</v>
      </c>
      <c r="C26" s="13" t="s">
        <v>79</v>
      </c>
      <c r="D26" s="13" t="s">
        <v>32</v>
      </c>
      <c r="E26" s="14" t="s">
        <v>52</v>
      </c>
      <c r="F26" s="43" t="s">
        <v>80</v>
      </c>
      <c r="G26" s="38" t="s">
        <v>18</v>
      </c>
      <c r="H26" s="37">
        <v>44741</v>
      </c>
      <c r="I26" s="37"/>
      <c r="J26" s="37"/>
      <c r="K26" s="13" t="s">
        <v>64</v>
      </c>
      <c r="L26" s="13"/>
      <c r="M26" s="13" t="s">
        <v>65</v>
      </c>
      <c r="N26" s="37">
        <v>44742</v>
      </c>
      <c r="O26" s="37"/>
      <c r="P26" s="14"/>
      <c r="Q26" s="13"/>
    </row>
    <row r="27" spans="2:17" ht="32.4" customHeight="1" x14ac:dyDescent="0.3">
      <c r="B27" s="14">
        <f>ROW()-ROW(TabLivrables[[#Headers],[ID]])</f>
        <v>16</v>
      </c>
      <c r="C27" s="13" t="s">
        <v>81</v>
      </c>
      <c r="D27" s="13" t="s">
        <v>16</v>
      </c>
      <c r="E27" s="14" t="s">
        <v>82</v>
      </c>
      <c r="F27" s="43" t="s">
        <v>83</v>
      </c>
      <c r="G27" s="38"/>
      <c r="H27" s="37">
        <v>44757</v>
      </c>
      <c r="I27" s="37"/>
      <c r="J27" s="37"/>
      <c r="K27" s="13"/>
      <c r="L27" s="13"/>
      <c r="M27" s="13" t="s">
        <v>84</v>
      </c>
      <c r="N27" s="37">
        <v>44757</v>
      </c>
      <c r="O27" s="37"/>
      <c r="P27" s="14"/>
      <c r="Q27" s="13"/>
    </row>
    <row r="28" spans="2:17" ht="32.4" customHeight="1" x14ac:dyDescent="0.3">
      <c r="B28" s="14">
        <f>ROW()-ROW(TabLivrables[[#Headers],[ID]])</f>
        <v>17</v>
      </c>
      <c r="C28" s="13" t="s">
        <v>85</v>
      </c>
      <c r="D28" s="13" t="s">
        <v>86</v>
      </c>
      <c r="E28" s="14" t="s">
        <v>60</v>
      </c>
      <c r="F28" s="43" t="s">
        <v>87</v>
      </c>
      <c r="G28" s="38"/>
      <c r="H28" s="37">
        <v>44757</v>
      </c>
      <c r="I28" s="37"/>
      <c r="J28" s="37"/>
      <c r="K28" s="13"/>
      <c r="L28" s="13"/>
      <c r="M28" s="13" t="s">
        <v>84</v>
      </c>
      <c r="N28" s="37">
        <v>44757</v>
      </c>
      <c r="O28" s="37"/>
      <c r="P28" s="14"/>
      <c r="Q28" s="13"/>
    </row>
    <row r="29" spans="2:17" ht="32.4" customHeight="1" x14ac:dyDescent="0.3">
      <c r="B29" s="14">
        <f>ROW()-ROW(TabLivrables[[#Headers],[ID]])</f>
        <v>18</v>
      </c>
      <c r="C29" s="13" t="s">
        <v>88</v>
      </c>
      <c r="D29" s="13" t="s">
        <v>86</v>
      </c>
      <c r="E29" s="14" t="s">
        <v>60</v>
      </c>
      <c r="F29" s="43" t="s">
        <v>89</v>
      </c>
      <c r="G29" s="38"/>
      <c r="H29" s="37">
        <v>44757</v>
      </c>
      <c r="I29" s="37"/>
      <c r="J29" s="37"/>
      <c r="K29" s="13"/>
      <c r="L29" s="13"/>
      <c r="M29" s="13" t="s">
        <v>84</v>
      </c>
      <c r="N29" s="37">
        <v>44757</v>
      </c>
      <c r="O29" s="37"/>
      <c r="P29" s="14"/>
      <c r="Q29" s="13"/>
    </row>
    <row r="30" spans="2:17" ht="32.4" customHeight="1" x14ac:dyDescent="0.3">
      <c r="B30" s="14">
        <f>ROW()-ROW(TabLivrables[[#Headers],[ID]])</f>
        <v>19</v>
      </c>
      <c r="C30" s="13" t="s">
        <v>90</v>
      </c>
      <c r="D30" s="13" t="s">
        <v>86</v>
      </c>
      <c r="E30" s="14" t="s">
        <v>60</v>
      </c>
      <c r="F30" s="43" t="s">
        <v>91</v>
      </c>
      <c r="G30" s="38"/>
      <c r="H30" s="37">
        <v>44757</v>
      </c>
      <c r="I30" s="37"/>
      <c r="J30" s="37"/>
      <c r="K30" s="13"/>
      <c r="L30" s="13"/>
      <c r="M30" s="13" t="s">
        <v>84</v>
      </c>
      <c r="N30" s="37">
        <v>44757</v>
      </c>
      <c r="O30" s="37"/>
      <c r="P30" s="14"/>
      <c r="Q30" s="13"/>
    </row>
    <row r="31" spans="2:17" ht="32.4" customHeight="1" x14ac:dyDescent="0.3">
      <c r="B31" s="14">
        <f>ROW()-ROW(TabLivrables[[#Headers],[ID]])</f>
        <v>20</v>
      </c>
      <c r="C31" s="13" t="s">
        <v>92</v>
      </c>
      <c r="D31" s="13" t="s">
        <v>86</v>
      </c>
      <c r="E31" s="14" t="s">
        <v>93</v>
      </c>
      <c r="F31" s="43" t="s">
        <v>94</v>
      </c>
      <c r="G31" s="39"/>
      <c r="H31" s="37">
        <v>44744</v>
      </c>
      <c r="I31" s="37"/>
      <c r="J31" s="37"/>
      <c r="K31" s="13"/>
      <c r="L31" s="13"/>
      <c r="M31" s="13" t="s">
        <v>84</v>
      </c>
      <c r="N31" s="37">
        <v>44757</v>
      </c>
      <c r="O31" s="37"/>
      <c r="P31" s="14"/>
      <c r="Q31" s="13"/>
    </row>
    <row r="32" spans="2:17" ht="32.4" customHeight="1" x14ac:dyDescent="0.3">
      <c r="B32" s="14">
        <f>ROW()-ROW(TabLivrables[[#Headers],[ID]])</f>
        <v>21</v>
      </c>
      <c r="C32" s="13" t="s">
        <v>95</v>
      </c>
      <c r="D32" s="13" t="s">
        <v>86</v>
      </c>
      <c r="E32" s="14" t="s">
        <v>93</v>
      </c>
      <c r="F32" s="43" t="s">
        <v>94</v>
      </c>
      <c r="G32" s="39"/>
      <c r="H32" s="37">
        <v>44744</v>
      </c>
      <c r="I32" s="37"/>
      <c r="J32" s="37"/>
      <c r="K32" s="13"/>
      <c r="L32" s="13"/>
      <c r="M32" s="13" t="s">
        <v>84</v>
      </c>
      <c r="N32" s="37">
        <v>44757</v>
      </c>
      <c r="O32" s="37"/>
      <c r="P32" s="14"/>
      <c r="Q32" s="13"/>
    </row>
    <row r="33" spans="2:17" ht="32.4" customHeight="1" x14ac:dyDescent="0.3">
      <c r="B33" s="14">
        <f>ROW()-ROW(TabLivrables[[#Headers],[ID]])</f>
        <v>22</v>
      </c>
      <c r="C33" s="13" t="s">
        <v>96</v>
      </c>
      <c r="D33" s="13" t="s">
        <v>86</v>
      </c>
      <c r="E33" s="14" t="s">
        <v>60</v>
      </c>
      <c r="F33" s="43" t="s">
        <v>94</v>
      </c>
      <c r="G33" s="39"/>
      <c r="H33" s="37">
        <v>44744</v>
      </c>
      <c r="I33" s="37"/>
      <c r="J33" s="37"/>
      <c r="K33" s="13"/>
      <c r="L33" s="13"/>
      <c r="M33" s="13" t="s">
        <v>84</v>
      </c>
      <c r="N33" s="37">
        <v>44757</v>
      </c>
      <c r="O33" s="37"/>
      <c r="P33" s="14"/>
      <c r="Q33" s="13"/>
    </row>
    <row r="34" spans="2:17" ht="43.2" x14ac:dyDescent="0.3">
      <c r="B34" s="14">
        <f>ROW()-ROW(TabLivrables[[#Headers],[ID]])</f>
        <v>23</v>
      </c>
      <c r="C34" s="13" t="s">
        <v>97</v>
      </c>
      <c r="D34" s="13" t="s">
        <v>98</v>
      </c>
      <c r="E34" s="14" t="s">
        <v>99</v>
      </c>
      <c r="F34" s="43" t="s">
        <v>100</v>
      </c>
      <c r="G34" s="39" t="s">
        <v>18</v>
      </c>
      <c r="H34" s="37">
        <v>44741</v>
      </c>
      <c r="I34" s="37"/>
      <c r="J34" s="37"/>
      <c r="K34" s="13"/>
      <c r="L34" s="13"/>
      <c r="M34" s="13" t="s">
        <v>101</v>
      </c>
      <c r="N34" s="37">
        <v>44743</v>
      </c>
      <c r="O34" s="37"/>
      <c r="P34" s="14"/>
      <c r="Q34" s="13"/>
    </row>
    <row r="35" spans="2:17" ht="32.4" customHeight="1" x14ac:dyDescent="0.3">
      <c r="B35" s="14">
        <f>ROW()-ROW(TabLivrables[[#Headers],[ID]])</f>
        <v>24</v>
      </c>
      <c r="C35" s="13" t="s">
        <v>102</v>
      </c>
      <c r="D35" s="13" t="s">
        <v>103</v>
      </c>
      <c r="E35" s="14" t="s">
        <v>104</v>
      </c>
      <c r="F35" s="43" t="s">
        <v>105</v>
      </c>
      <c r="G35" s="39"/>
      <c r="H35" s="37">
        <v>44757</v>
      </c>
      <c r="I35" s="37"/>
      <c r="J35" s="37"/>
      <c r="K35" s="13"/>
      <c r="L35" s="13"/>
      <c r="M35" s="13" t="s">
        <v>106</v>
      </c>
      <c r="N35" s="37">
        <v>44757</v>
      </c>
      <c r="O35" s="37"/>
      <c r="P35" s="14"/>
      <c r="Q35" s="13"/>
    </row>
    <row r="36" spans="2:17" ht="32.4" customHeight="1" x14ac:dyDescent="0.3">
      <c r="B36" s="14">
        <f>ROW()-ROW(TabLivrables[[#Headers],[ID]])</f>
        <v>25</v>
      </c>
      <c r="C36" s="13" t="s">
        <v>107</v>
      </c>
      <c r="D36" s="13" t="s">
        <v>103</v>
      </c>
      <c r="E36" s="14" t="s">
        <v>108</v>
      </c>
      <c r="F36" s="43" t="s">
        <v>105</v>
      </c>
      <c r="G36" s="39"/>
      <c r="H36" s="37">
        <v>44757</v>
      </c>
      <c r="I36" s="37"/>
      <c r="J36" s="37"/>
      <c r="K36" s="13"/>
      <c r="L36" s="13"/>
      <c r="M36" s="13" t="s">
        <v>106</v>
      </c>
      <c r="N36" s="37">
        <v>44757</v>
      </c>
      <c r="O36" s="37"/>
      <c r="P36" s="14"/>
      <c r="Q36" s="13"/>
    </row>
    <row r="37" spans="2:17" ht="32.4" customHeight="1" x14ac:dyDescent="0.3">
      <c r="B37" s="14">
        <f>ROW()-ROW(TabLivrables[[#Headers],[ID]])</f>
        <v>26</v>
      </c>
      <c r="C37" s="13" t="s">
        <v>109</v>
      </c>
      <c r="D37" s="13" t="s">
        <v>103</v>
      </c>
      <c r="E37" s="14" t="s">
        <v>110</v>
      </c>
      <c r="F37" s="43" t="s">
        <v>105</v>
      </c>
      <c r="G37" s="39"/>
      <c r="H37" s="37">
        <v>44757</v>
      </c>
      <c r="I37" s="37"/>
      <c r="J37" s="37"/>
      <c r="K37" s="13"/>
      <c r="L37" s="13"/>
      <c r="M37" s="13" t="s">
        <v>106</v>
      </c>
      <c r="N37" s="37">
        <v>44757</v>
      </c>
      <c r="O37" s="37"/>
      <c r="P37" s="14"/>
      <c r="Q37" s="13"/>
    </row>
    <row r="38" spans="2:17" ht="32.4" customHeight="1" x14ac:dyDescent="0.3">
      <c r="B38" s="14">
        <f>ROW()-ROW(TabLivrables[[#Headers],[ID]])</f>
        <v>27</v>
      </c>
      <c r="C38" s="13" t="s">
        <v>111</v>
      </c>
      <c r="D38" s="13" t="s">
        <v>103</v>
      </c>
      <c r="E38" s="14" t="s">
        <v>112</v>
      </c>
      <c r="F38" s="43" t="s">
        <v>105</v>
      </c>
      <c r="G38" s="39"/>
      <c r="H38" s="37">
        <v>44757</v>
      </c>
      <c r="I38" s="37"/>
      <c r="J38" s="37"/>
      <c r="K38" s="13"/>
      <c r="L38" s="13"/>
      <c r="M38" s="13" t="s">
        <v>106</v>
      </c>
      <c r="N38" s="37">
        <v>44757</v>
      </c>
      <c r="O38" s="37"/>
      <c r="P38" s="14"/>
      <c r="Q38" s="13"/>
    </row>
    <row r="39" spans="2:17" ht="32.4" customHeight="1" x14ac:dyDescent="0.3">
      <c r="B39" s="14">
        <f>ROW()-ROW(TabLivrables[[#Headers],[ID]])</f>
        <v>28</v>
      </c>
      <c r="C39" s="13" t="s">
        <v>113</v>
      </c>
      <c r="D39" s="13" t="s">
        <v>103</v>
      </c>
      <c r="E39" s="14" t="s">
        <v>114</v>
      </c>
      <c r="F39" s="43" t="s">
        <v>105</v>
      </c>
      <c r="G39" s="39"/>
      <c r="H39" s="37">
        <v>44757</v>
      </c>
      <c r="I39" s="37"/>
      <c r="J39" s="37"/>
      <c r="K39" s="13"/>
      <c r="L39" s="13"/>
      <c r="M39" s="13" t="s">
        <v>106</v>
      </c>
      <c r="N39" s="37">
        <v>44757</v>
      </c>
      <c r="O39" s="37"/>
      <c r="P39" s="14"/>
      <c r="Q39" s="13"/>
    </row>
    <row r="40" spans="2:17" ht="32.4" customHeight="1" x14ac:dyDescent="0.3">
      <c r="B40" s="14">
        <f>ROW()-ROW(TabLivrables[[#Headers],[ID]])</f>
        <v>29</v>
      </c>
      <c r="C40" s="13" t="s">
        <v>115</v>
      </c>
      <c r="D40" s="13" t="s">
        <v>103</v>
      </c>
      <c r="E40" s="14" t="s">
        <v>116</v>
      </c>
      <c r="F40" s="43" t="s">
        <v>105</v>
      </c>
      <c r="G40" s="39"/>
      <c r="H40" s="37">
        <v>44757</v>
      </c>
      <c r="I40" s="37"/>
      <c r="J40" s="37"/>
      <c r="K40" s="13"/>
      <c r="L40" s="13"/>
      <c r="M40" s="13" t="s">
        <v>106</v>
      </c>
      <c r="N40" s="37">
        <v>44757</v>
      </c>
      <c r="O40" s="37"/>
      <c r="P40" s="14"/>
      <c r="Q40" s="13"/>
    </row>
    <row r="41" spans="2:17" ht="32.4" customHeight="1" x14ac:dyDescent="0.3">
      <c r="B41" s="14">
        <f>ROW()-ROW(TabLivrables[[#Headers],[ID]])</f>
        <v>30</v>
      </c>
      <c r="C41" s="13" t="s">
        <v>117</v>
      </c>
      <c r="D41" s="13" t="s">
        <v>118</v>
      </c>
      <c r="E41" s="14" t="s">
        <v>104</v>
      </c>
      <c r="F41" s="43" t="s">
        <v>119</v>
      </c>
      <c r="G41" s="39"/>
      <c r="H41" s="37">
        <v>44833</v>
      </c>
      <c r="I41" s="37"/>
      <c r="J41" s="37"/>
      <c r="K41" s="13"/>
      <c r="L41" s="13"/>
      <c r="M41" s="13" t="s">
        <v>120</v>
      </c>
      <c r="N41" s="37">
        <v>44833</v>
      </c>
      <c r="O41" s="37"/>
      <c r="P41" s="14"/>
      <c r="Q41" s="13"/>
    </row>
    <row r="42" spans="2:17" ht="32.4" customHeight="1" x14ac:dyDescent="0.3">
      <c r="B42" s="14">
        <f>ROW()-ROW(TabLivrables[[#Headers],[ID]])</f>
        <v>31</v>
      </c>
      <c r="C42" s="13" t="s">
        <v>121</v>
      </c>
      <c r="D42" s="13" t="s">
        <v>122</v>
      </c>
      <c r="E42" s="14" t="s">
        <v>108</v>
      </c>
      <c r="F42" s="43" t="s">
        <v>119</v>
      </c>
      <c r="G42" s="39"/>
      <c r="H42" s="37">
        <v>44833</v>
      </c>
      <c r="I42" s="37"/>
      <c r="J42" s="37"/>
      <c r="K42" s="13"/>
      <c r="L42" s="13"/>
      <c r="M42" s="13" t="s">
        <v>120</v>
      </c>
      <c r="N42" s="37">
        <v>44833</v>
      </c>
      <c r="O42" s="37"/>
      <c r="P42" s="14"/>
      <c r="Q42" s="13"/>
    </row>
    <row r="43" spans="2:17" ht="32.4" customHeight="1" x14ac:dyDescent="0.3">
      <c r="B43" s="14">
        <f>ROW()-ROW(TabLivrables[[#Headers],[ID]])</f>
        <v>32</v>
      </c>
      <c r="C43" s="13" t="s">
        <v>123</v>
      </c>
      <c r="D43" s="13" t="s">
        <v>124</v>
      </c>
      <c r="E43" s="14" t="s">
        <v>110</v>
      </c>
      <c r="F43" s="43" t="s">
        <v>119</v>
      </c>
      <c r="G43" s="39"/>
      <c r="H43" s="37">
        <v>44833</v>
      </c>
      <c r="I43" s="37"/>
      <c r="J43" s="37"/>
      <c r="K43" s="13"/>
      <c r="L43" s="13"/>
      <c r="M43" s="13" t="s">
        <v>120</v>
      </c>
      <c r="N43" s="37">
        <v>44833</v>
      </c>
      <c r="O43" s="37"/>
      <c r="P43" s="14"/>
      <c r="Q43" s="13"/>
    </row>
    <row r="44" spans="2:17" ht="32.4" customHeight="1" x14ac:dyDescent="0.3">
      <c r="B44" s="14">
        <f>ROW()-ROW(TabLivrables[[#Headers],[ID]])</f>
        <v>33</v>
      </c>
      <c r="C44" s="13" t="s">
        <v>125</v>
      </c>
      <c r="D44" s="13" t="s">
        <v>126</v>
      </c>
      <c r="E44" s="14" t="s">
        <v>112</v>
      </c>
      <c r="F44" s="43" t="s">
        <v>119</v>
      </c>
      <c r="G44" s="39"/>
      <c r="H44" s="37">
        <v>44833</v>
      </c>
      <c r="I44" s="37"/>
      <c r="J44" s="37"/>
      <c r="K44" s="13"/>
      <c r="L44" s="13"/>
      <c r="M44" s="13" t="s">
        <v>120</v>
      </c>
      <c r="N44" s="37">
        <v>44833</v>
      </c>
      <c r="O44" s="37"/>
      <c r="P44" s="14"/>
      <c r="Q44" s="13"/>
    </row>
    <row r="45" spans="2:17" ht="32.4" customHeight="1" x14ac:dyDescent="0.3">
      <c r="B45" s="14">
        <f>ROW()-ROW(TabLivrables[[#Headers],[ID]])</f>
        <v>34</v>
      </c>
      <c r="C45" s="13" t="s">
        <v>127</v>
      </c>
      <c r="D45" s="13" t="s">
        <v>128</v>
      </c>
      <c r="E45" s="14" t="s">
        <v>114</v>
      </c>
      <c r="F45" s="43" t="s">
        <v>119</v>
      </c>
      <c r="G45" s="39"/>
      <c r="H45" s="37">
        <v>44833</v>
      </c>
      <c r="I45" s="37"/>
      <c r="J45" s="37"/>
      <c r="K45" s="13"/>
      <c r="L45" s="13"/>
      <c r="M45" s="13" t="s">
        <v>120</v>
      </c>
      <c r="N45" s="37">
        <v>44833</v>
      </c>
      <c r="O45" s="37"/>
      <c r="P45" s="14"/>
      <c r="Q45" s="13"/>
    </row>
    <row r="46" spans="2:17" ht="32.4" customHeight="1" x14ac:dyDescent="0.3">
      <c r="B46" s="14">
        <f>ROW()-ROW(TabLivrables[[#Headers],[ID]])</f>
        <v>35</v>
      </c>
      <c r="C46" s="13" t="s">
        <v>129</v>
      </c>
      <c r="D46" s="13" t="s">
        <v>118</v>
      </c>
      <c r="E46" s="14" t="s">
        <v>104</v>
      </c>
      <c r="F46" s="43" t="s">
        <v>130</v>
      </c>
      <c r="G46" s="39"/>
      <c r="H46" s="37">
        <v>44863</v>
      </c>
      <c r="I46" s="37"/>
      <c r="J46" s="37"/>
      <c r="K46" s="13"/>
      <c r="L46" s="13"/>
      <c r="M46" s="13" t="s">
        <v>120</v>
      </c>
      <c r="N46" s="37">
        <v>44863</v>
      </c>
      <c r="O46" s="37"/>
      <c r="P46" s="14"/>
      <c r="Q46" s="13"/>
    </row>
    <row r="47" spans="2:17" ht="32.4" customHeight="1" x14ac:dyDescent="0.3">
      <c r="B47" s="14">
        <f>ROW()-ROW(TabLivrables[[#Headers],[ID]])</f>
        <v>36</v>
      </c>
      <c r="C47" s="13" t="s">
        <v>131</v>
      </c>
      <c r="D47" s="13" t="s">
        <v>122</v>
      </c>
      <c r="E47" s="14" t="s">
        <v>108</v>
      </c>
      <c r="F47" s="43" t="s">
        <v>130</v>
      </c>
      <c r="G47" s="39"/>
      <c r="H47" s="37">
        <v>44863</v>
      </c>
      <c r="I47" s="37"/>
      <c r="J47" s="37"/>
      <c r="K47" s="13"/>
      <c r="L47" s="13"/>
      <c r="M47" s="13" t="s">
        <v>120</v>
      </c>
      <c r="N47" s="37">
        <v>44863</v>
      </c>
      <c r="O47" s="37"/>
      <c r="P47" s="14"/>
      <c r="Q47" s="13"/>
    </row>
    <row r="48" spans="2:17" ht="32.4" customHeight="1" x14ac:dyDescent="0.3">
      <c r="B48" s="14">
        <f>ROW()-ROW(TabLivrables[[#Headers],[ID]])</f>
        <v>37</v>
      </c>
      <c r="C48" s="13" t="s">
        <v>132</v>
      </c>
      <c r="D48" s="13" t="s">
        <v>124</v>
      </c>
      <c r="E48" s="14" t="s">
        <v>110</v>
      </c>
      <c r="F48" s="43" t="s">
        <v>130</v>
      </c>
      <c r="G48" s="39"/>
      <c r="H48" s="37">
        <v>44863</v>
      </c>
      <c r="I48" s="37"/>
      <c r="J48" s="37"/>
      <c r="K48" s="13"/>
      <c r="L48" s="13"/>
      <c r="M48" s="13" t="s">
        <v>120</v>
      </c>
      <c r="N48" s="37">
        <v>44863</v>
      </c>
      <c r="O48" s="37"/>
      <c r="P48" s="14"/>
      <c r="Q48" s="13"/>
    </row>
    <row r="49" spans="2:17" ht="32.4" customHeight="1" x14ac:dyDescent="0.3">
      <c r="B49" s="14">
        <f>ROW()-ROW(TabLivrables[[#Headers],[ID]])</f>
        <v>38</v>
      </c>
      <c r="C49" s="13" t="s">
        <v>133</v>
      </c>
      <c r="D49" s="13" t="s">
        <v>126</v>
      </c>
      <c r="E49" s="14" t="s">
        <v>112</v>
      </c>
      <c r="F49" s="43" t="s">
        <v>130</v>
      </c>
      <c r="G49" s="39"/>
      <c r="H49" s="37">
        <v>44863</v>
      </c>
      <c r="I49" s="37"/>
      <c r="J49" s="37"/>
      <c r="K49" s="13"/>
      <c r="L49" s="13"/>
      <c r="M49" s="13" t="s">
        <v>120</v>
      </c>
      <c r="N49" s="37">
        <v>44863</v>
      </c>
      <c r="O49" s="37"/>
      <c r="P49" s="14"/>
      <c r="Q49" s="13"/>
    </row>
    <row r="50" spans="2:17" ht="32.4" customHeight="1" x14ac:dyDescent="0.3">
      <c r="B50" s="14">
        <f>ROW()-ROW(TabLivrables[[#Headers],[ID]])</f>
        <v>39</v>
      </c>
      <c r="C50" s="13" t="s">
        <v>134</v>
      </c>
      <c r="D50" s="13" t="s">
        <v>128</v>
      </c>
      <c r="E50" s="14" t="s">
        <v>114</v>
      </c>
      <c r="F50" s="43" t="s">
        <v>130</v>
      </c>
      <c r="G50" s="39"/>
      <c r="H50" s="37">
        <v>44863</v>
      </c>
      <c r="I50" s="37"/>
      <c r="J50" s="37"/>
      <c r="K50" s="13"/>
      <c r="L50" s="13"/>
      <c r="M50" s="13" t="s">
        <v>120</v>
      </c>
      <c r="N50" s="37">
        <v>44863</v>
      </c>
      <c r="O50" s="37"/>
      <c r="P50" s="14"/>
      <c r="Q50" s="13"/>
    </row>
    <row r="51" spans="2:17" ht="32.4" customHeight="1" x14ac:dyDescent="0.3">
      <c r="B51" s="14">
        <f>ROW()-ROW(TabLivrables[[#Headers],[ID]])</f>
        <v>40</v>
      </c>
      <c r="C51" s="13" t="s">
        <v>135</v>
      </c>
      <c r="D51" s="13" t="s">
        <v>136</v>
      </c>
      <c r="E51" s="14" t="s">
        <v>116</v>
      </c>
      <c r="F51" s="43" t="s">
        <v>130</v>
      </c>
      <c r="G51" s="39"/>
      <c r="H51" s="37">
        <v>44863</v>
      </c>
      <c r="I51" s="37"/>
      <c r="J51" s="37"/>
      <c r="K51" s="13"/>
      <c r="L51" s="13"/>
      <c r="M51" s="13" t="s">
        <v>120</v>
      </c>
      <c r="N51" s="37">
        <v>44863</v>
      </c>
      <c r="O51" s="37"/>
      <c r="P51" s="14"/>
      <c r="Q51" s="13"/>
    </row>
    <row r="52" spans="2:17" ht="32.4" customHeight="1" x14ac:dyDescent="0.3">
      <c r="B52" s="14">
        <f>ROW()-ROW(TabLivrables[[#Headers],[ID]])</f>
        <v>41</v>
      </c>
      <c r="C52" s="13" t="s">
        <v>137</v>
      </c>
      <c r="D52" s="13" t="s">
        <v>118</v>
      </c>
      <c r="E52" s="14" t="s">
        <v>104</v>
      </c>
      <c r="F52" s="43" t="s">
        <v>138</v>
      </c>
      <c r="G52" s="39"/>
      <c r="H52" s="37">
        <v>44891</v>
      </c>
      <c r="I52" s="37"/>
      <c r="J52" s="37"/>
      <c r="K52" s="13"/>
      <c r="L52" s="13"/>
      <c r="M52" s="13" t="s">
        <v>120</v>
      </c>
      <c r="N52" s="37">
        <v>44891</v>
      </c>
      <c r="O52" s="37"/>
      <c r="P52" s="14"/>
      <c r="Q52" s="13"/>
    </row>
    <row r="53" spans="2:17" ht="32.4" customHeight="1" x14ac:dyDescent="0.3">
      <c r="B53" s="14">
        <f>ROW()-ROW(TabLivrables[[#Headers],[ID]])</f>
        <v>42</v>
      </c>
      <c r="C53" s="13" t="s">
        <v>139</v>
      </c>
      <c r="D53" s="13" t="s">
        <v>122</v>
      </c>
      <c r="E53" s="14" t="s">
        <v>108</v>
      </c>
      <c r="F53" s="43" t="s">
        <v>138</v>
      </c>
      <c r="G53" s="39"/>
      <c r="H53" s="37">
        <v>44891</v>
      </c>
      <c r="I53" s="37"/>
      <c r="J53" s="37"/>
      <c r="K53" s="13"/>
      <c r="L53" s="13"/>
      <c r="M53" s="13" t="s">
        <v>120</v>
      </c>
      <c r="N53" s="37">
        <v>44891</v>
      </c>
      <c r="O53" s="37"/>
      <c r="P53" s="14"/>
      <c r="Q53" s="13"/>
    </row>
    <row r="54" spans="2:17" ht="32.4" customHeight="1" x14ac:dyDescent="0.3">
      <c r="B54" s="14">
        <f>ROW()-ROW(TabLivrables[[#Headers],[ID]])</f>
        <v>43</v>
      </c>
      <c r="C54" s="13" t="s">
        <v>140</v>
      </c>
      <c r="D54" s="13" t="s">
        <v>124</v>
      </c>
      <c r="E54" s="14" t="s">
        <v>110</v>
      </c>
      <c r="F54" s="43" t="s">
        <v>138</v>
      </c>
      <c r="G54" s="39"/>
      <c r="H54" s="37">
        <v>44891</v>
      </c>
      <c r="I54" s="37"/>
      <c r="J54" s="37"/>
      <c r="K54" s="13"/>
      <c r="L54" s="13"/>
      <c r="M54" s="13" t="s">
        <v>120</v>
      </c>
      <c r="N54" s="37">
        <v>44891</v>
      </c>
      <c r="O54" s="37"/>
      <c r="P54" s="14"/>
      <c r="Q54" s="13"/>
    </row>
    <row r="55" spans="2:17" ht="32.4" customHeight="1" x14ac:dyDescent="0.3">
      <c r="B55" s="14">
        <f>ROW()-ROW(TabLivrables[[#Headers],[ID]])</f>
        <v>44</v>
      </c>
      <c r="C55" s="13" t="s">
        <v>141</v>
      </c>
      <c r="D55" s="13" t="s">
        <v>126</v>
      </c>
      <c r="E55" s="14" t="s">
        <v>112</v>
      </c>
      <c r="F55" s="43" t="s">
        <v>138</v>
      </c>
      <c r="G55" s="39"/>
      <c r="H55" s="37">
        <v>44891</v>
      </c>
      <c r="I55" s="37"/>
      <c r="J55" s="37"/>
      <c r="K55" s="13"/>
      <c r="L55" s="13"/>
      <c r="M55" s="13" t="s">
        <v>120</v>
      </c>
      <c r="N55" s="37">
        <v>44891</v>
      </c>
      <c r="O55" s="37"/>
      <c r="P55" s="14"/>
      <c r="Q55" s="13"/>
    </row>
    <row r="56" spans="2:17" ht="32.4" customHeight="1" x14ac:dyDescent="0.3">
      <c r="B56" s="14">
        <f>ROW()-ROW(TabLivrables[[#Headers],[ID]])</f>
        <v>45</v>
      </c>
      <c r="C56" s="13" t="s">
        <v>142</v>
      </c>
      <c r="D56" s="13" t="s">
        <v>128</v>
      </c>
      <c r="E56" s="14" t="s">
        <v>114</v>
      </c>
      <c r="F56" s="43" t="s">
        <v>138</v>
      </c>
      <c r="G56" s="39"/>
      <c r="H56" s="37">
        <v>44891</v>
      </c>
      <c r="I56" s="37"/>
      <c r="J56" s="37"/>
      <c r="K56" s="13"/>
      <c r="L56" s="13"/>
      <c r="M56" s="13" t="s">
        <v>120</v>
      </c>
      <c r="N56" s="37">
        <v>44891</v>
      </c>
      <c r="O56" s="37"/>
      <c r="P56" s="14"/>
      <c r="Q56" s="13"/>
    </row>
    <row r="57" spans="2:17" ht="32.4" customHeight="1" x14ac:dyDescent="0.3">
      <c r="B57" s="14">
        <f>ROW()-ROW(TabLivrables[[#Headers],[ID]])</f>
        <v>46</v>
      </c>
      <c r="C57" s="13" t="s">
        <v>143</v>
      </c>
      <c r="D57" s="13" t="s">
        <v>136</v>
      </c>
      <c r="E57" s="14" t="s">
        <v>116</v>
      </c>
      <c r="F57" s="43" t="s">
        <v>144</v>
      </c>
      <c r="G57" s="39"/>
      <c r="H57" s="37">
        <v>44892</v>
      </c>
      <c r="I57" s="37"/>
      <c r="J57" s="37"/>
      <c r="K57" s="13"/>
      <c r="L57" s="13"/>
      <c r="M57" s="13" t="s">
        <v>120</v>
      </c>
      <c r="N57" s="37">
        <v>44892</v>
      </c>
      <c r="O57" s="37"/>
      <c r="P57" s="14"/>
      <c r="Q57" s="13"/>
    </row>
    <row r="58" spans="2:17" ht="32.4" customHeight="1" x14ac:dyDescent="0.3">
      <c r="B58" s="14">
        <f>ROW()-ROW(TabLivrables[[#Headers],[ID]])</f>
        <v>47</v>
      </c>
      <c r="C58" s="13" t="s">
        <v>145</v>
      </c>
      <c r="D58" s="13" t="s">
        <v>118</v>
      </c>
      <c r="E58" s="14" t="s">
        <v>104</v>
      </c>
      <c r="F58" s="43" t="s">
        <v>146</v>
      </c>
      <c r="G58" s="39"/>
      <c r="H58" s="37">
        <v>44891</v>
      </c>
      <c r="I58" s="37"/>
      <c r="J58" s="37"/>
      <c r="K58" s="13"/>
      <c r="L58" s="13"/>
      <c r="M58" s="13" t="s">
        <v>147</v>
      </c>
      <c r="N58" s="37">
        <v>44891</v>
      </c>
      <c r="O58" s="37"/>
      <c r="P58" s="14"/>
      <c r="Q58" s="13"/>
    </row>
    <row r="59" spans="2:17" ht="32.4" customHeight="1" x14ac:dyDescent="0.3">
      <c r="B59" s="14">
        <f>ROW()-ROW(TabLivrables[[#Headers],[ID]])</f>
        <v>48</v>
      </c>
      <c r="C59" s="13" t="s">
        <v>148</v>
      </c>
      <c r="D59" s="13" t="s">
        <v>122</v>
      </c>
      <c r="E59" s="14" t="s">
        <v>108</v>
      </c>
      <c r="F59" s="43" t="s">
        <v>146</v>
      </c>
      <c r="G59" s="39"/>
      <c r="H59" s="37">
        <v>44891</v>
      </c>
      <c r="I59" s="37"/>
      <c r="J59" s="37"/>
      <c r="K59" s="13"/>
      <c r="L59" s="13"/>
      <c r="M59" s="13" t="s">
        <v>147</v>
      </c>
      <c r="N59" s="37">
        <v>44891</v>
      </c>
      <c r="O59" s="37"/>
      <c r="P59" s="14"/>
      <c r="Q59" s="13"/>
    </row>
    <row r="60" spans="2:17" ht="32.4" customHeight="1" x14ac:dyDescent="0.3">
      <c r="B60" s="14">
        <f>ROW()-ROW(TabLivrables[[#Headers],[ID]])</f>
        <v>49</v>
      </c>
      <c r="C60" s="13" t="s">
        <v>149</v>
      </c>
      <c r="D60" s="13" t="s">
        <v>124</v>
      </c>
      <c r="E60" s="14" t="s">
        <v>110</v>
      </c>
      <c r="F60" s="43" t="s">
        <v>146</v>
      </c>
      <c r="G60" s="39"/>
      <c r="H60" s="37">
        <v>44891</v>
      </c>
      <c r="I60" s="37"/>
      <c r="J60" s="37"/>
      <c r="K60" s="13"/>
      <c r="L60" s="13"/>
      <c r="M60" s="13" t="s">
        <v>147</v>
      </c>
      <c r="N60" s="37">
        <v>44891</v>
      </c>
      <c r="O60" s="37"/>
      <c r="P60" s="14"/>
      <c r="Q60" s="13"/>
    </row>
    <row r="61" spans="2:17" ht="32.4" customHeight="1" x14ac:dyDescent="0.3">
      <c r="B61" s="14">
        <f>ROW()-ROW(TabLivrables[[#Headers],[ID]])</f>
        <v>50</v>
      </c>
      <c r="C61" s="13" t="s">
        <v>150</v>
      </c>
      <c r="D61" s="13" t="s">
        <v>126</v>
      </c>
      <c r="E61" s="14" t="s">
        <v>112</v>
      </c>
      <c r="F61" s="43" t="s">
        <v>146</v>
      </c>
      <c r="G61" s="39"/>
      <c r="H61" s="37">
        <v>44891</v>
      </c>
      <c r="I61" s="37"/>
      <c r="J61" s="37"/>
      <c r="K61" s="13"/>
      <c r="L61" s="13"/>
      <c r="M61" s="13" t="s">
        <v>147</v>
      </c>
      <c r="N61" s="37">
        <v>44891</v>
      </c>
      <c r="O61" s="37"/>
      <c r="P61" s="14"/>
      <c r="Q61" s="13"/>
    </row>
    <row r="62" spans="2:17" ht="32.4" customHeight="1" x14ac:dyDescent="0.3">
      <c r="B62" s="14">
        <f>ROW()-ROW(TabLivrables[[#Headers],[ID]])</f>
        <v>51</v>
      </c>
      <c r="C62" s="13" t="s">
        <v>151</v>
      </c>
      <c r="D62" s="13" t="s">
        <v>128</v>
      </c>
      <c r="E62" s="14" t="s">
        <v>114</v>
      </c>
      <c r="F62" s="43" t="s">
        <v>146</v>
      </c>
      <c r="G62" s="39"/>
      <c r="H62" s="37">
        <v>44891</v>
      </c>
      <c r="I62" s="37"/>
      <c r="J62" s="37"/>
      <c r="K62" s="13"/>
      <c r="L62" s="13"/>
      <c r="M62" s="13" t="s">
        <v>147</v>
      </c>
      <c r="N62" s="37">
        <v>44891</v>
      </c>
      <c r="O62" s="37"/>
      <c r="P62" s="14"/>
      <c r="Q62" s="13"/>
    </row>
    <row r="63" spans="2:17" ht="32.4" customHeight="1" x14ac:dyDescent="0.3">
      <c r="B63" s="14">
        <f>ROW()-ROW(TabLivrables[[#Headers],[ID]])</f>
        <v>52</v>
      </c>
      <c r="C63" s="13" t="s">
        <v>152</v>
      </c>
      <c r="D63" s="13" t="s">
        <v>153</v>
      </c>
      <c r="E63" s="14" t="s">
        <v>116</v>
      </c>
      <c r="F63" s="43" t="s">
        <v>154</v>
      </c>
      <c r="G63" s="39"/>
      <c r="H63" s="37" t="s">
        <v>155</v>
      </c>
      <c r="I63" s="37"/>
      <c r="J63" s="37"/>
      <c r="K63" s="13"/>
      <c r="L63" s="13"/>
      <c r="M63" s="13" t="s">
        <v>156</v>
      </c>
      <c r="N63" s="37" t="s">
        <v>155</v>
      </c>
      <c r="O63" s="37"/>
      <c r="P63" s="14"/>
      <c r="Q63" s="13"/>
    </row>
    <row r="64" spans="2:17" ht="32.4" customHeight="1" x14ac:dyDescent="0.3">
      <c r="B64" s="14">
        <f>ROW()-ROW(TabLivrables[[#Headers],[ID]])</f>
        <v>53</v>
      </c>
      <c r="C64" s="13" t="s">
        <v>157</v>
      </c>
      <c r="D64" s="13" t="s">
        <v>158</v>
      </c>
      <c r="E64" s="14" t="s">
        <v>159</v>
      </c>
      <c r="F64" s="43" t="s">
        <v>160</v>
      </c>
      <c r="G64" s="39"/>
      <c r="H64" s="37">
        <v>44893</v>
      </c>
      <c r="I64" s="37"/>
      <c r="J64" s="37"/>
      <c r="K64" s="13"/>
      <c r="L64" s="13"/>
      <c r="M64" s="13" t="s">
        <v>156</v>
      </c>
      <c r="N64" s="37">
        <v>44893</v>
      </c>
      <c r="O64" s="37"/>
      <c r="P64" s="14"/>
      <c r="Q64" s="13"/>
    </row>
    <row r="65" spans="2:17" ht="32.4" customHeight="1" x14ac:dyDescent="0.3">
      <c r="B65" s="14">
        <f>ROW()-ROW(TabLivrables[[#Headers],[ID]])</f>
        <v>54</v>
      </c>
      <c r="C65" s="13" t="s">
        <v>161</v>
      </c>
      <c r="D65" s="13" t="s">
        <v>158</v>
      </c>
      <c r="E65" s="14" t="s">
        <v>162</v>
      </c>
      <c r="F65" s="43" t="s">
        <v>163</v>
      </c>
      <c r="G65" s="39"/>
      <c r="H65" s="37">
        <v>44894</v>
      </c>
      <c r="I65" s="37"/>
      <c r="J65" s="37"/>
      <c r="K65" s="13"/>
      <c r="L65" s="13"/>
      <c r="M65" s="13" t="s">
        <v>164</v>
      </c>
      <c r="N65" s="37">
        <v>44894</v>
      </c>
      <c r="O65" s="37"/>
      <c r="P65" s="14"/>
      <c r="Q65" s="13"/>
    </row>
    <row r="66" spans="2:17" ht="32.4" customHeight="1" x14ac:dyDescent="0.3">
      <c r="B66" s="14">
        <f>ROW()-ROW(TabLivrables[[#Headers],[ID]])</f>
        <v>55</v>
      </c>
      <c r="C66" s="13" t="s">
        <v>165</v>
      </c>
      <c r="D66" s="13" t="s">
        <v>153</v>
      </c>
      <c r="E66" s="14" t="s">
        <v>166</v>
      </c>
      <c r="F66" s="43" t="s">
        <v>167</v>
      </c>
      <c r="G66" s="39"/>
      <c r="H66" s="37">
        <v>44895</v>
      </c>
      <c r="I66" s="37"/>
      <c r="J66" s="37"/>
      <c r="K66" s="13"/>
      <c r="L66" s="13"/>
      <c r="M66" s="13" t="s">
        <v>164</v>
      </c>
      <c r="N66" s="37">
        <v>44895</v>
      </c>
      <c r="O66" s="37"/>
      <c r="P66" s="14"/>
      <c r="Q66" s="13"/>
    </row>
    <row r="67" spans="2:17" ht="32.4" customHeight="1" x14ac:dyDescent="0.3">
      <c r="B67" s="14">
        <f>ROW()-ROW(TabLivrables[[#Headers],[ID]])</f>
        <v>56</v>
      </c>
      <c r="C67" s="13" t="s">
        <v>168</v>
      </c>
      <c r="D67" s="13" t="s">
        <v>169</v>
      </c>
      <c r="E67" s="14" t="s">
        <v>170</v>
      </c>
      <c r="F67" s="43" t="s">
        <v>171</v>
      </c>
      <c r="G67" s="39"/>
      <c r="H67" s="37">
        <v>44590</v>
      </c>
      <c r="I67" s="37"/>
      <c r="J67" s="37"/>
      <c r="K67" s="13"/>
      <c r="L67" s="13"/>
      <c r="M67" s="13" t="s">
        <v>170</v>
      </c>
      <c r="N67" s="37">
        <v>44590</v>
      </c>
      <c r="O67" s="37"/>
      <c r="P67" s="14"/>
      <c r="Q67" s="13"/>
    </row>
    <row r="68" spans="2:17" ht="32.4" customHeight="1" x14ac:dyDescent="0.3">
      <c r="B68" s="14">
        <f>ROW()-ROW(TabLivrables[[#Headers],[ID]])</f>
        <v>57</v>
      </c>
      <c r="C68" s="13" t="s">
        <v>172</v>
      </c>
      <c r="D68" s="13" t="s">
        <v>173</v>
      </c>
      <c r="E68" s="14" t="s">
        <v>174</v>
      </c>
      <c r="F68" s="43" t="s">
        <v>175</v>
      </c>
      <c r="G68" s="39"/>
      <c r="H68" s="37">
        <v>44607</v>
      </c>
      <c r="I68" s="37"/>
      <c r="J68" s="37"/>
      <c r="K68" s="13"/>
      <c r="L68" s="13"/>
      <c r="M68" s="13" t="s">
        <v>164</v>
      </c>
      <c r="N68" s="37">
        <v>44607</v>
      </c>
      <c r="O68" s="37"/>
      <c r="P68" s="14"/>
      <c r="Q68" s="13"/>
    </row>
    <row r="69" spans="2:17" ht="32.4" customHeight="1" x14ac:dyDescent="0.3">
      <c r="B69" s="14">
        <f>ROW()-ROW(TabLivrables[[#Headers],[ID]])</f>
        <v>58</v>
      </c>
      <c r="C69" s="13" t="s">
        <v>176</v>
      </c>
      <c r="D69" s="13" t="s">
        <v>98</v>
      </c>
      <c r="E69" s="14" t="s">
        <v>99</v>
      </c>
      <c r="F69" s="43" t="s">
        <v>177</v>
      </c>
      <c r="G69" s="39"/>
      <c r="H69" s="37">
        <v>44893</v>
      </c>
      <c r="I69" s="37"/>
      <c r="J69" s="37"/>
      <c r="K69" s="13"/>
      <c r="L69" s="13"/>
      <c r="M69" s="13" t="s">
        <v>178</v>
      </c>
      <c r="N69" s="37">
        <v>44893</v>
      </c>
      <c r="O69" s="37"/>
      <c r="P69" s="14"/>
      <c r="Q69" s="13"/>
    </row>
    <row r="70" spans="2:17" ht="32.4" customHeight="1" x14ac:dyDescent="0.3"/>
    <row r="71" spans="2:17" ht="32.4" customHeight="1" x14ac:dyDescent="0.3"/>
    <row r="72" spans="2:17" ht="32.4" customHeight="1" x14ac:dyDescent="0.3"/>
    <row r="73" spans="2:17" ht="32.4" customHeight="1" x14ac:dyDescent="0.3"/>
    <row r="74" spans="2:17" ht="32.4" customHeight="1" x14ac:dyDescent="0.3"/>
    <row r="75" spans="2:17" ht="32.4" customHeight="1" x14ac:dyDescent="0.3"/>
    <row r="76" spans="2:17" ht="32.4" customHeight="1" x14ac:dyDescent="0.3"/>
    <row r="77" spans="2:17" ht="32.4" customHeight="1" x14ac:dyDescent="0.3"/>
    <row r="78" spans="2:17" ht="32.4" customHeight="1" x14ac:dyDescent="0.3"/>
    <row r="79" spans="2:17" ht="32.4" customHeight="1" x14ac:dyDescent="0.3"/>
    <row r="80" spans="2:17" ht="32.4" customHeight="1" x14ac:dyDescent="0.3"/>
    <row r="81" ht="32.4" customHeight="1" x14ac:dyDescent="0.3"/>
    <row r="82" ht="32.4" customHeight="1" x14ac:dyDescent="0.3"/>
    <row r="83" ht="32.4" customHeight="1" x14ac:dyDescent="0.3"/>
    <row r="84" ht="32.4" customHeight="1" x14ac:dyDescent="0.3"/>
    <row r="87" ht="21" customHeight="1" x14ac:dyDescent="0.3"/>
    <row r="88" ht="21" customHeight="1" x14ac:dyDescent="0.3"/>
    <row r="89" ht="21" customHeight="1" x14ac:dyDescent="0.3"/>
    <row r="90" ht="21" customHeight="1" x14ac:dyDescent="0.3"/>
  </sheetData>
  <conditionalFormatting sqref="G12:G69">
    <cfRule type="expression" dxfId="8" priority="10">
      <formula>$G12="Non commencé"</formula>
    </cfRule>
    <cfRule type="expression" dxfId="7" priority="9">
      <formula>$G12="En cours"</formula>
    </cfRule>
    <cfRule type="expression" dxfId="6" priority="8">
      <formula>$G12="Livré"</formula>
    </cfRule>
    <cfRule type="expression" dxfId="5" priority="6">
      <formula>$G12="Annulé"</formula>
    </cfRule>
    <cfRule type="expression" dxfId="4" priority="5">
      <formula>$G12="En attente"</formula>
    </cfRule>
  </conditionalFormatting>
  <conditionalFormatting sqref="B12:Q69">
    <cfRule type="expression" dxfId="9" priority="7">
      <formula>$G12="Validé"</formula>
    </cfRule>
  </conditionalFormatting>
  <conditionalFormatting sqref="H12:I69">
    <cfRule type="expression" dxfId="3" priority="4">
      <formula xml:space="preserve"> $H12 &lt; $I12</formula>
    </cfRule>
    <cfRule type="expression" dxfId="2" priority="3">
      <formula xml:space="preserve"> $H12 &gt;= $I12</formula>
    </cfRule>
  </conditionalFormatting>
  <conditionalFormatting sqref="N12:O69">
    <cfRule type="expression" dxfId="1" priority="2">
      <formula xml:space="preserve"> $N12 &lt; $O12</formula>
    </cfRule>
    <cfRule type="expression" dxfId="0" priority="1">
      <formula xml:space="preserve"> $N12 &gt;= $O12</formula>
    </cfRule>
  </conditionalFormatting>
  <dataValidations count="1">
    <dataValidation type="list" allowBlank="1" showInputMessage="1" showErrorMessage="1" sqref="G12:G69" xr:uid="{A5A889CD-57A6-46D2-9885-A76BD9232021}">
      <formula1>INDIRECT("TabEtat[Etat]")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93683-995A-4A4B-B428-99BB8342CD57}">
  <sheetPr codeName="ShSettings"/>
  <dimension ref="B1:AT32"/>
  <sheetViews>
    <sheetView showGridLines="0" zoomScaleNormal="100" workbookViewId="0">
      <selection activeCell="C28" sqref="C28"/>
    </sheetView>
  </sheetViews>
  <sheetFormatPr defaultColWidth="9.109375" defaultRowHeight="14.4" x14ac:dyDescent="0.3"/>
  <cols>
    <col min="1" max="1" width="2.88671875" customWidth="1"/>
    <col min="3" max="3" width="22.44140625" customWidth="1"/>
    <col min="4" max="4" width="13.44140625" customWidth="1"/>
    <col min="5" max="5" width="22" customWidth="1"/>
    <col min="6" max="6" width="15" customWidth="1"/>
    <col min="7" max="7" width="19.6640625" customWidth="1"/>
    <col min="8" max="8" width="11.5546875" customWidth="1"/>
    <col min="9" max="9" width="20.33203125" customWidth="1"/>
    <col min="10" max="10" width="18.88671875" customWidth="1"/>
    <col min="11" max="11" width="5.6640625" customWidth="1"/>
    <col min="12" max="12" width="18" customWidth="1"/>
    <col min="13" max="13" width="13.44140625" customWidth="1"/>
    <col min="43" max="47" width="0" hidden="1" customWidth="1"/>
  </cols>
  <sheetData>
    <row r="1" spans="2:46" ht="19.95" customHeight="1" x14ac:dyDescent="0.3">
      <c r="E1" s="9" t="s">
        <v>4</v>
      </c>
      <c r="F1" s="55" t="s">
        <v>9</v>
      </c>
      <c r="G1" s="55"/>
      <c r="I1" s="9" t="s">
        <v>12</v>
      </c>
      <c r="J1" s="10" t="s">
        <v>11</v>
      </c>
      <c r="L1" s="1" t="s">
        <v>0</v>
      </c>
      <c r="M1" s="2">
        <v>44893</v>
      </c>
    </row>
    <row r="2" spans="2:46" ht="14.4" hidden="1" customHeight="1" x14ac:dyDescent="0.3">
      <c r="E2" s="11"/>
      <c r="F2" s="12"/>
      <c r="G2" s="12"/>
      <c r="I2" s="11"/>
      <c r="J2" s="12"/>
      <c r="L2" s="3"/>
      <c r="M2" s="4"/>
    </row>
    <row r="3" spans="2:46" ht="19.95" customHeight="1" x14ac:dyDescent="0.3">
      <c r="E3" s="9" t="s">
        <v>5</v>
      </c>
      <c r="F3" s="55" t="s">
        <v>10</v>
      </c>
      <c r="G3" s="55"/>
      <c r="I3" s="9" t="s">
        <v>13</v>
      </c>
      <c r="J3" s="10" t="s">
        <v>14</v>
      </c>
      <c r="L3" s="1" t="s">
        <v>1</v>
      </c>
      <c r="M3" s="2"/>
      <c r="AQ3" s="56" t="s">
        <v>181</v>
      </c>
      <c r="AR3" s="57"/>
      <c r="AS3" s="58"/>
      <c r="AT3" s="40" t="s">
        <v>33</v>
      </c>
    </row>
    <row r="4" spans="2:46" ht="14.4" hidden="1" customHeight="1" x14ac:dyDescent="0.3">
      <c r="L4" s="3"/>
      <c r="M4" s="4"/>
    </row>
    <row r="5" spans="2:46" ht="19.95" customHeight="1" thickBot="1" x14ac:dyDescent="0.35">
      <c r="L5" s="5" t="s">
        <v>2</v>
      </c>
      <c r="M5" s="6" t="s">
        <v>3</v>
      </c>
      <c r="AQ5" s="56" t="s">
        <v>182</v>
      </c>
      <c r="AR5" s="57"/>
      <c r="AS5" s="58"/>
      <c r="AT5" s="48" t="s">
        <v>33</v>
      </c>
    </row>
    <row r="6" spans="2:46" ht="28.2" customHeight="1" thickTop="1" thickBot="1" x14ac:dyDescent="0.35">
      <c r="B6" s="7"/>
      <c r="C6" s="8" t="s">
        <v>8</v>
      </c>
      <c r="D6" s="7"/>
      <c r="E6" s="7"/>
      <c r="F6" s="7"/>
      <c r="G6" s="7"/>
      <c r="H6" s="7"/>
      <c r="I6" s="7"/>
      <c r="J6" s="53" t="s">
        <v>183</v>
      </c>
      <c r="K6" s="7"/>
      <c r="L6" s="7">
        <v>2</v>
      </c>
      <c r="M6" s="7"/>
      <c r="AR6" s="18"/>
      <c r="AS6" s="19"/>
      <c r="AT6" s="20"/>
    </row>
    <row r="7" spans="2:46" ht="15" thickTop="1" x14ac:dyDescent="0.3"/>
    <row r="9" spans="2:46" x14ac:dyDescent="0.3">
      <c r="C9" s="30" t="s">
        <v>17</v>
      </c>
      <c r="E9" s="36"/>
      <c r="F9" s="52">
        <v>1</v>
      </c>
    </row>
    <row r="10" spans="2:46" x14ac:dyDescent="0.3">
      <c r="C10" s="45" t="s">
        <v>179</v>
      </c>
      <c r="E10" s="36"/>
      <c r="G10" s="35"/>
    </row>
    <row r="11" spans="2:46" x14ac:dyDescent="0.3">
      <c r="C11" s="44" t="s">
        <v>18</v>
      </c>
      <c r="E11" s="36"/>
      <c r="G11" s="35"/>
    </row>
    <row r="12" spans="2:46" x14ac:dyDescent="0.3">
      <c r="C12" s="49" t="s">
        <v>54</v>
      </c>
      <c r="E12" s="36"/>
      <c r="G12" s="35"/>
    </row>
    <row r="13" spans="2:46" x14ac:dyDescent="0.3">
      <c r="C13" s="41" t="s">
        <v>67</v>
      </c>
      <c r="E13" s="36"/>
      <c r="G13" s="35"/>
    </row>
    <row r="14" spans="2:46" x14ac:dyDescent="0.3">
      <c r="C14" s="46" t="s">
        <v>20</v>
      </c>
      <c r="G14" s="35"/>
    </row>
    <row r="15" spans="2:46" x14ac:dyDescent="0.3">
      <c r="C15" s="47" t="s">
        <v>19</v>
      </c>
      <c r="J15" s="18"/>
      <c r="K15" s="19"/>
      <c r="L15" s="18"/>
    </row>
    <row r="16" spans="2:46" x14ac:dyDescent="0.3">
      <c r="J16" s="18"/>
      <c r="K16" s="21"/>
      <c r="L16" s="18"/>
    </row>
    <row r="18" spans="2:15" x14ac:dyDescent="0.3">
      <c r="C18" s="42"/>
    </row>
    <row r="19" spans="2:15" x14ac:dyDescent="0.3">
      <c r="C19" s="26"/>
    </row>
    <row r="20" spans="2:15" x14ac:dyDescent="0.3">
      <c r="C20" s="26"/>
    </row>
    <row r="21" spans="2:15" x14ac:dyDescent="0.3">
      <c r="C21" s="26"/>
    </row>
    <row r="22" spans="2:15" x14ac:dyDescent="0.3">
      <c r="F22" s="25"/>
      <c r="H22" s="25"/>
    </row>
    <row r="23" spans="2:15" x14ac:dyDescent="0.3">
      <c r="F23" s="25"/>
      <c r="H23" s="25"/>
    </row>
    <row r="24" spans="2:15" x14ac:dyDescent="0.3">
      <c r="C24" s="22"/>
    </row>
    <row r="25" spans="2:15" x14ac:dyDescent="0.3">
      <c r="B25" s="15"/>
      <c r="C25" s="23"/>
      <c r="J25" s="15"/>
      <c r="N25" s="15"/>
      <c r="O25" s="15"/>
    </row>
    <row r="26" spans="2:15" x14ac:dyDescent="0.3">
      <c r="B26" s="15"/>
      <c r="C26" s="24"/>
      <c r="E26" s="17"/>
      <c r="I26" s="15"/>
      <c r="J26" s="15"/>
      <c r="N26" s="15"/>
      <c r="O26" s="15"/>
    </row>
    <row r="27" spans="2:15" x14ac:dyDescent="0.3">
      <c r="B27" s="15"/>
      <c r="E27" s="17"/>
      <c r="I27" s="15"/>
      <c r="J27" s="15"/>
      <c r="N27" s="15"/>
      <c r="O27" s="15"/>
    </row>
    <row r="28" spans="2:15" x14ac:dyDescent="0.3">
      <c r="B28" s="15"/>
      <c r="C28" s="15"/>
      <c r="E28" s="17"/>
      <c r="I28" s="16"/>
      <c r="J28" s="16"/>
      <c r="K28" s="15"/>
      <c r="L28" s="15"/>
      <c r="M28" s="15"/>
      <c r="N28" s="15"/>
      <c r="O28" s="15"/>
    </row>
    <row r="29" spans="2:15" x14ac:dyDescent="0.3">
      <c r="B29" s="15"/>
      <c r="C29" s="15"/>
      <c r="D29" s="15"/>
      <c r="E29" s="15"/>
      <c r="I29" s="15"/>
      <c r="J29" s="15"/>
      <c r="K29" s="15"/>
      <c r="L29" s="15"/>
      <c r="M29" s="15"/>
      <c r="N29" s="15"/>
      <c r="O29" s="15"/>
    </row>
    <row r="30" spans="2:15" x14ac:dyDescent="0.3">
      <c r="B30" s="15"/>
      <c r="C30" s="15"/>
      <c r="D30" s="15"/>
      <c r="I30" s="15"/>
      <c r="J30" s="15"/>
      <c r="K30" s="15"/>
      <c r="L30" s="15"/>
      <c r="M30" s="15"/>
      <c r="N30" s="15"/>
      <c r="O30" s="15"/>
    </row>
    <row r="31" spans="2:15" x14ac:dyDescent="0.3">
      <c r="B31" s="15"/>
      <c r="C31" s="15"/>
      <c r="D31" s="15"/>
      <c r="I31" s="15"/>
      <c r="J31" s="15"/>
      <c r="N31" s="15"/>
      <c r="O31" s="15"/>
    </row>
    <row r="32" spans="2:15" x14ac:dyDescent="0.3">
      <c r="B32" s="15"/>
      <c r="D32" s="15"/>
      <c r="F32" s="15"/>
      <c r="G32" s="15"/>
      <c r="H32" s="15"/>
      <c r="I32" s="15"/>
      <c r="J32" s="15"/>
      <c r="N32" s="15"/>
      <c r="O32" s="15"/>
    </row>
  </sheetData>
  <mergeCells count="4">
    <mergeCell ref="F3:G3"/>
    <mergeCell ref="F1:G1"/>
    <mergeCell ref="AQ3:AS3"/>
    <mergeCell ref="AQ5:AS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Drop Down 9">
              <controlPr defaultSize="0" autoLine="0" autoPict="0" macro="[0]!change_langue">
                <anchor moveWithCells="1">
                  <from>
                    <xdr:col>10</xdr:col>
                    <xdr:colOff>152400</xdr:colOff>
                    <xdr:row>5</xdr:row>
                    <xdr:rowOff>83820</xdr:rowOff>
                  </from>
                  <to>
                    <xdr:col>12</xdr:col>
                    <xdr:colOff>106680</xdr:colOff>
                    <xdr:row>5</xdr:row>
                    <xdr:rowOff>297180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80204-DB02-405B-9135-B0746733AEAD}">
  <sheetPr codeName="ShLangue"/>
  <dimension ref="A1:F38"/>
  <sheetViews>
    <sheetView showGridLines="0" topLeftCell="A10" workbookViewId="0">
      <selection activeCell="E25" sqref="E25"/>
    </sheetView>
  </sheetViews>
  <sheetFormatPr defaultColWidth="9.109375" defaultRowHeight="14.4" x14ac:dyDescent="0.3"/>
  <cols>
    <col min="1" max="1" width="29.6640625" customWidth="1"/>
    <col min="2" max="2" width="32.6640625" customWidth="1"/>
    <col min="6" max="6" width="15" customWidth="1"/>
  </cols>
  <sheetData>
    <row r="1" spans="1:6" x14ac:dyDescent="0.3">
      <c r="A1" s="50" t="s">
        <v>184</v>
      </c>
      <c r="B1" s="50" t="s">
        <v>185</v>
      </c>
      <c r="F1" t="s">
        <v>183</v>
      </c>
    </row>
    <row r="2" spans="1:6" x14ac:dyDescent="0.3">
      <c r="A2" s="51" t="s">
        <v>4</v>
      </c>
      <c r="B2" s="50" t="s">
        <v>190</v>
      </c>
      <c r="F2" t="s">
        <v>185</v>
      </c>
    </row>
    <row r="3" spans="1:6" x14ac:dyDescent="0.3">
      <c r="A3" s="51" t="s">
        <v>5</v>
      </c>
      <c r="B3" s="50" t="s">
        <v>191</v>
      </c>
      <c r="F3" t="s">
        <v>184</v>
      </c>
    </row>
    <row r="4" spans="1:6" x14ac:dyDescent="0.3">
      <c r="A4" s="51" t="s">
        <v>12</v>
      </c>
      <c r="B4" s="50" t="s">
        <v>192</v>
      </c>
    </row>
    <row r="5" spans="1:6" x14ac:dyDescent="0.3">
      <c r="A5" s="51" t="s">
        <v>13</v>
      </c>
      <c r="B5" s="50" t="s">
        <v>193</v>
      </c>
    </row>
    <row r="6" spans="1:6" x14ac:dyDescent="0.3">
      <c r="A6" s="51" t="s">
        <v>0</v>
      </c>
      <c r="B6" s="50" t="s">
        <v>194</v>
      </c>
    </row>
    <row r="7" spans="1:6" x14ac:dyDescent="0.3">
      <c r="A7" s="51" t="s">
        <v>1</v>
      </c>
      <c r="B7" s="50" t="s">
        <v>195</v>
      </c>
    </row>
    <row r="8" spans="1:6" x14ac:dyDescent="0.3">
      <c r="A8" s="51" t="s">
        <v>2</v>
      </c>
      <c r="B8" s="50" t="s">
        <v>196</v>
      </c>
    </row>
    <row r="9" spans="1:6" x14ac:dyDescent="0.3">
      <c r="A9" s="51" t="s">
        <v>7</v>
      </c>
      <c r="B9" s="50" t="s">
        <v>197</v>
      </c>
    </row>
    <row r="10" spans="1:6" x14ac:dyDescent="0.3">
      <c r="A10" s="51" t="s">
        <v>79</v>
      </c>
      <c r="B10" s="50" t="s">
        <v>198</v>
      </c>
    </row>
    <row r="11" spans="1:6" x14ac:dyDescent="0.3">
      <c r="A11" s="51" t="s">
        <v>183</v>
      </c>
      <c r="B11" s="50" t="s">
        <v>199</v>
      </c>
    </row>
    <row r="12" spans="1:6" x14ac:dyDescent="0.3">
      <c r="A12" s="51" t="s">
        <v>17</v>
      </c>
      <c r="B12" s="50" t="s">
        <v>221</v>
      </c>
    </row>
    <row r="13" spans="1:6" x14ac:dyDescent="0.3">
      <c r="A13" s="51" t="s">
        <v>179</v>
      </c>
      <c r="B13" s="50" t="s">
        <v>200</v>
      </c>
    </row>
    <row r="14" spans="1:6" x14ac:dyDescent="0.3">
      <c r="A14" s="51" t="s">
        <v>18</v>
      </c>
      <c r="B14" s="50" t="s">
        <v>201</v>
      </c>
    </row>
    <row r="15" spans="1:6" x14ac:dyDescent="0.3">
      <c r="A15" s="51" t="s">
        <v>54</v>
      </c>
      <c r="B15" s="50" t="s">
        <v>202</v>
      </c>
    </row>
    <row r="16" spans="1:6" x14ac:dyDescent="0.3">
      <c r="A16" s="51" t="s">
        <v>67</v>
      </c>
      <c r="B16" s="50" t="s">
        <v>203</v>
      </c>
    </row>
    <row r="17" spans="1:2" x14ac:dyDescent="0.3">
      <c r="A17" s="51" t="s">
        <v>20</v>
      </c>
      <c r="B17" s="50" t="s">
        <v>204</v>
      </c>
    </row>
    <row r="18" spans="1:2" x14ac:dyDescent="0.3">
      <c r="A18" s="51" t="s">
        <v>19</v>
      </c>
      <c r="B18" s="50" t="s">
        <v>205</v>
      </c>
    </row>
    <row r="19" spans="1:2" x14ac:dyDescent="0.3">
      <c r="A19" s="51" t="s">
        <v>186</v>
      </c>
      <c r="B19" s="50" t="s">
        <v>206</v>
      </c>
    </row>
    <row r="20" spans="1:2" x14ac:dyDescent="0.3">
      <c r="A20" s="51" t="s">
        <v>225</v>
      </c>
      <c r="B20" s="50" t="s">
        <v>223</v>
      </c>
    </row>
    <row r="21" spans="1:2" x14ac:dyDescent="0.3">
      <c r="A21" s="51" t="s">
        <v>226</v>
      </c>
      <c r="B21" s="50" t="s">
        <v>224</v>
      </c>
    </row>
    <row r="22" spans="1:2" x14ac:dyDescent="0.3">
      <c r="A22" s="51" t="s">
        <v>187</v>
      </c>
      <c r="B22" s="50" t="s">
        <v>207</v>
      </c>
    </row>
    <row r="23" spans="1:2" x14ac:dyDescent="0.3">
      <c r="A23" s="51" t="s">
        <v>188</v>
      </c>
      <c r="B23" s="50" t="s">
        <v>208</v>
      </c>
    </row>
    <row r="24" spans="1:2" x14ac:dyDescent="0.3">
      <c r="A24" s="51" t="s">
        <v>35</v>
      </c>
      <c r="B24" s="50" t="s">
        <v>209</v>
      </c>
    </row>
    <row r="25" spans="1:2" x14ac:dyDescent="0.3">
      <c r="A25" s="51" t="s">
        <v>36</v>
      </c>
      <c r="B25" s="50" t="s">
        <v>210</v>
      </c>
    </row>
    <row r="26" spans="1:2" x14ac:dyDescent="0.3">
      <c r="A26" s="51" t="s">
        <v>15</v>
      </c>
      <c r="B26" s="50" t="s">
        <v>211</v>
      </c>
    </row>
    <row r="27" spans="1:2" x14ac:dyDescent="0.3">
      <c r="A27" s="51" t="s">
        <v>37</v>
      </c>
      <c r="B27" s="50" t="s">
        <v>37</v>
      </c>
    </row>
    <row r="28" spans="1:2" x14ac:dyDescent="0.3">
      <c r="A28" s="51" t="s">
        <v>180</v>
      </c>
      <c r="B28" s="50" t="s">
        <v>212</v>
      </c>
    </row>
    <row r="29" spans="1:2" x14ac:dyDescent="0.3">
      <c r="A29" s="51" t="s">
        <v>38</v>
      </c>
      <c r="B29" s="50" t="s">
        <v>213</v>
      </c>
    </row>
    <row r="30" spans="1:2" x14ac:dyDescent="0.3">
      <c r="A30" s="51" t="s">
        <v>39</v>
      </c>
      <c r="B30" s="50" t="s">
        <v>39</v>
      </c>
    </row>
    <row r="31" spans="1:2" x14ac:dyDescent="0.3">
      <c r="A31" s="51" t="s">
        <v>40</v>
      </c>
      <c r="B31" s="50" t="s">
        <v>214</v>
      </c>
    </row>
    <row r="32" spans="1:2" x14ac:dyDescent="0.3">
      <c r="A32" s="51" t="s">
        <v>41</v>
      </c>
      <c r="B32" s="50" t="s">
        <v>222</v>
      </c>
    </row>
    <row r="33" spans="1:2" x14ac:dyDescent="0.3">
      <c r="A33" s="51" t="s">
        <v>45</v>
      </c>
      <c r="B33" s="50" t="s">
        <v>215</v>
      </c>
    </row>
    <row r="34" spans="1:2" x14ac:dyDescent="0.3">
      <c r="A34" s="51" t="s">
        <v>42</v>
      </c>
      <c r="B34" s="50" t="s">
        <v>216</v>
      </c>
    </row>
    <row r="35" spans="1:2" x14ac:dyDescent="0.3">
      <c r="A35" s="51" t="s">
        <v>189</v>
      </c>
      <c r="B35" s="50" t="s">
        <v>217</v>
      </c>
    </row>
    <row r="36" spans="1:2" x14ac:dyDescent="0.3">
      <c r="A36" s="51" t="s">
        <v>44</v>
      </c>
      <c r="B36" s="50" t="s">
        <v>218</v>
      </c>
    </row>
    <row r="37" spans="1:2" x14ac:dyDescent="0.3">
      <c r="A37" s="51" t="s">
        <v>8</v>
      </c>
      <c r="B37" s="50" t="s">
        <v>219</v>
      </c>
    </row>
    <row r="38" spans="1:2" x14ac:dyDescent="0.3">
      <c r="A38" s="51" t="s">
        <v>43</v>
      </c>
      <c r="B38" s="50" t="s">
        <v>220</v>
      </c>
    </row>
  </sheetData>
  <conditionalFormatting sqref="B2:B38">
    <cfRule type="duplicateValues" dxfId="15" priority="26"/>
  </conditionalFormatting>
  <conditionalFormatting sqref="A2:A38">
    <cfRule type="duplicateValues" dxfId="14" priority="28"/>
  </conditionalFormatting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Livrables</vt:lpstr>
      <vt:lpstr>Paramétrages</vt:lpstr>
      <vt:lpstr>GreenFlag</vt:lpstr>
      <vt:lpstr>HeaderRange</vt:lpstr>
      <vt:lpstr>LANGUE</vt:lpstr>
      <vt:lpstr>RedFlag</vt:lpstr>
      <vt:lpstr>SeuilAvertissement</vt:lpstr>
      <vt:lpstr>StatutFilter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Samir</dc:creator>
  <cp:lastModifiedBy>Sara AIT TALEB</cp:lastModifiedBy>
  <dcterms:created xsi:type="dcterms:W3CDTF">2023-03-25T11:35:34Z</dcterms:created>
  <dcterms:modified xsi:type="dcterms:W3CDTF">2023-09-05T17:53:18Z</dcterms:modified>
</cp:coreProperties>
</file>