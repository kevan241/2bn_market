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GDP\TODO\Update Kit 2023\Kit management projet 050923\04-Exécution\"/>
    </mc:Choice>
  </mc:AlternateContent>
  <xr:revisionPtr revIDLastSave="0" documentId="13_ncr:1_{7CB59F0E-680F-471E-AA4E-7FFAB26BD236}" xr6:coauthVersionLast="47" xr6:coauthVersionMax="47" xr10:uidLastSave="{00000000-0000-0000-0000-000000000000}"/>
  <bookViews>
    <workbookView xWindow="-108" yWindow="-108" windowWidth="23256" windowHeight="12576" tabRatio="504" firstSheet="1" activeTab="1" xr2:uid="{2787BEB0-32D5-4D16-A719-07A374E9BAB5}"/>
  </bookViews>
  <sheets>
    <sheet name="Guide d'utilisation" sheetId="7" state="veryHidden" r:id="rId1"/>
    <sheet name="Demandes de changement" sheetId="2" r:id="rId2"/>
    <sheet name="Paramétrages" sheetId="3" r:id="rId3"/>
    <sheet name="Langue" sheetId="8" state="veryHidden" r:id="rId4"/>
  </sheets>
  <definedNames>
    <definedName name="HeaderRange">'Demandes de changement'!$10:$10</definedName>
    <definedName name="Langue">Paramétrages!$L$6</definedName>
    <definedName name="RedFlag">Paramétrages!$L$12</definedName>
    <definedName name="SeuilAvertissement">Paramétrages!$L$9</definedName>
    <definedName name="StatutFilter">'Demandes de changement'!$E$8</definedName>
    <definedName name="TabEchelle2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/>
  <c r="B13" i="2"/>
  <c r="B14" i="2"/>
  <c r="B15" i="2"/>
  <c r="B16" i="2"/>
  <c r="B17" i="2"/>
  <c r="B18" i="2"/>
</calcChain>
</file>

<file path=xl/sharedStrings.xml><?xml version="1.0" encoding="utf-8"?>
<sst xmlns="http://schemas.openxmlformats.org/spreadsheetml/2006/main" count="343" uniqueCount="186">
  <si>
    <t>Date de création</t>
  </si>
  <si>
    <t>Date de la version</t>
  </si>
  <si>
    <t>Numéro de version</t>
  </si>
  <si>
    <t>V2.3</t>
  </si>
  <si>
    <t>Nom / Code projet</t>
  </si>
  <si>
    <t>Référence</t>
  </si>
  <si>
    <t>ID</t>
  </si>
  <si>
    <t>Priorité</t>
  </si>
  <si>
    <t>Guide d'utilisation</t>
  </si>
  <si>
    <t>Paramétrages</t>
  </si>
  <si>
    <t>SAP30 / CMRL</t>
  </si>
  <si>
    <t>Stratégie2022/CMRL/Portfolio PF02</t>
  </si>
  <si>
    <t>Mme Dupont</t>
  </si>
  <si>
    <t>Chef de projet</t>
  </si>
  <si>
    <t>Service/Organisation</t>
  </si>
  <si>
    <t>Confassis S.A.</t>
  </si>
  <si>
    <t>En attente</t>
  </si>
  <si>
    <t>P1</t>
  </si>
  <si>
    <t>P2</t>
  </si>
  <si>
    <t>P3</t>
  </si>
  <si>
    <t>P4</t>
  </si>
  <si>
    <t>Date</t>
  </si>
  <si>
    <t>Demandeur</t>
  </si>
  <si>
    <t>Description du changement</t>
  </si>
  <si>
    <t>Pourquoi le changement est demandé</t>
  </si>
  <si>
    <t>Bénéfice attendu</t>
  </si>
  <si>
    <t>Impact</t>
  </si>
  <si>
    <t>Status</t>
  </si>
  <si>
    <t>Commentaire/Actions</t>
  </si>
  <si>
    <t>Service clients</t>
  </si>
  <si>
    <t>Inclure un changement du matériel informatique dans le budget</t>
  </si>
  <si>
    <t>Amélioration des postes de travail</t>
  </si>
  <si>
    <t>Efficacité des agents</t>
  </si>
  <si>
    <t>L'amélioration des postes de travail est déjà prévue dans les budgets informatique et le plan à 3 ans</t>
  </si>
  <si>
    <t>Inclure CRM dans le périmètre du projet</t>
  </si>
  <si>
    <t>Efficacité des vendeurs</t>
  </si>
  <si>
    <t>Augmentation des ventes</t>
  </si>
  <si>
    <t>Refusé</t>
  </si>
  <si>
    <t>Inclus dans le périmètre. Toutefois la priorité sera donnée aux systèmes administratifs et la date de démarrage CRM sera confirmée dans une phase ultérieure du projet</t>
  </si>
  <si>
    <t>Production</t>
  </si>
  <si>
    <t>Inclure les chefs d'équipe dans les utilisateurs administratifs</t>
  </si>
  <si>
    <t>Fonctions administratives seront migrées sur SAP</t>
  </si>
  <si>
    <t>Nécessaire aux tâches administratives</t>
  </si>
  <si>
    <t>Budget</t>
  </si>
  <si>
    <t>Besoins confirmés</t>
  </si>
  <si>
    <t>Finances</t>
  </si>
  <si>
    <t>Le nettoyage et la correction des données maître sont essentielles à une réussite de l'initiative</t>
  </si>
  <si>
    <t>Données des anciens systèmes parfois erronées et sources de problèmes</t>
  </si>
  <si>
    <t>Qualité</t>
  </si>
  <si>
    <t>Périmètre</t>
  </si>
  <si>
    <t>Approuvé</t>
  </si>
  <si>
    <t>Besoin déjà identifié. Inclusion dans le périmètre prévue.</t>
  </si>
  <si>
    <t>Chefs de services</t>
  </si>
  <si>
    <t>Inclusion dans le plan de communication</t>
  </si>
  <si>
    <t>Besoin d'être informés car nous serons impactés par ces changements</t>
  </si>
  <si>
    <t>Support de la stratégie</t>
  </si>
  <si>
    <t>Communication</t>
  </si>
  <si>
    <t>Ces demandes seront inclues dans le plan de communication.</t>
  </si>
  <si>
    <t>Syndicats</t>
  </si>
  <si>
    <t>Nous ne pouvons apporter notre support que si nous sommes informés de manière transparente</t>
  </si>
  <si>
    <t>Succès du projet</t>
  </si>
  <si>
    <t>Différé</t>
  </si>
  <si>
    <t>Sponsor</t>
  </si>
  <si>
    <t>Responsable du changement issu du CMRL</t>
  </si>
  <si>
    <t>Il est essentiel à la réussite du projet que le/la responsable du changement soit une responsable du CMRL</t>
  </si>
  <si>
    <t>Communication ciblée</t>
  </si>
  <si>
    <t>Ce besoin est accepté de toutes les parties. En attente de nomination de la personne assignée à ce poste.</t>
  </si>
  <si>
    <t>Statut</t>
  </si>
  <si>
    <t>Niveaux de Priorité</t>
  </si>
  <si>
    <t>Indice</t>
  </si>
  <si>
    <t>Essentielle</t>
  </si>
  <si>
    <t>Utile</t>
  </si>
  <si>
    <t>Appréciable</t>
  </si>
  <si>
    <t>Echéancier</t>
  </si>
  <si>
    <t>Sans objet</t>
  </si>
  <si>
    <t>Ressources</t>
  </si>
  <si>
    <t>Registe des Demandes de Changement</t>
  </si>
  <si>
    <t>Acteurs</t>
  </si>
  <si>
    <t>Français</t>
  </si>
  <si>
    <t>Anglais</t>
  </si>
  <si>
    <t>Langue</t>
  </si>
  <si>
    <t>A faire</t>
  </si>
  <si>
    <t>To Do</t>
  </si>
  <si>
    <t>Action</t>
  </si>
  <si>
    <t>Actions</t>
  </si>
  <si>
    <t>Ajouter une colonne</t>
  </si>
  <si>
    <t>Add a Column</t>
  </si>
  <si>
    <t>Annulé</t>
  </si>
  <si>
    <t>Cancelled</t>
  </si>
  <si>
    <t>Cas date antérieure, projet non réalisé</t>
  </si>
  <si>
    <t>Case of previous date, unrealized project</t>
  </si>
  <si>
    <t>Project Manager</t>
  </si>
  <si>
    <t>Commentaire</t>
  </si>
  <si>
    <t>Comment</t>
  </si>
  <si>
    <t>Commentaires</t>
  </si>
  <si>
    <t>Comments</t>
  </si>
  <si>
    <t>Creation Date</t>
  </si>
  <si>
    <t>Date de fin réelle</t>
  </si>
  <si>
    <t>Actual End Date</t>
  </si>
  <si>
    <t>Version Date</t>
  </si>
  <si>
    <t>Date de livraison attendue</t>
  </si>
  <si>
    <t>Expected Delivery Date</t>
  </si>
  <si>
    <t>Date de livraison réelle</t>
  </si>
  <si>
    <t>Actual Delivery Date</t>
  </si>
  <si>
    <t>Date de validation attendue</t>
  </si>
  <si>
    <t>Expected Validation Date</t>
  </si>
  <si>
    <t>Date de validation réelle</t>
  </si>
  <si>
    <t>Actual Validation Date</t>
  </si>
  <si>
    <t>Description</t>
  </si>
  <si>
    <t>Échéance planifiée</t>
  </si>
  <si>
    <t>Planned Deadline</t>
  </si>
  <si>
    <t>Pending</t>
  </si>
  <si>
    <t>En cours</t>
  </si>
  <si>
    <t>In Progress</t>
  </si>
  <si>
    <t>Etat</t>
  </si>
  <si>
    <t>User Guide</t>
  </si>
  <si>
    <t>Language</t>
  </si>
  <si>
    <t>Lien vers le document</t>
  </si>
  <si>
    <t>Link to Document</t>
  </si>
  <si>
    <t>Livrables</t>
  </si>
  <si>
    <t>Deliverables</t>
  </si>
  <si>
    <t>Livrables du projet</t>
  </si>
  <si>
    <t>Project Deliverables</t>
  </si>
  <si>
    <t>Livré</t>
  </si>
  <si>
    <t>Delivered</t>
  </si>
  <si>
    <t>Name/Project Code</t>
  </si>
  <si>
    <t>Non commencé</t>
  </si>
  <si>
    <t>Not Started</t>
  </si>
  <si>
    <t>Version Number</t>
  </si>
  <si>
    <t>Origine</t>
  </si>
  <si>
    <t>Origin</t>
  </si>
  <si>
    <t>Settings</t>
  </si>
  <si>
    <t>Priority</t>
  </si>
  <si>
    <t>Réalisation</t>
  </si>
  <si>
    <t>Accomplishment</t>
  </si>
  <si>
    <t>Réalisé</t>
  </si>
  <si>
    <t>Completed</t>
  </si>
  <si>
    <t>Reference</t>
  </si>
  <si>
    <t>Responsable</t>
  </si>
  <si>
    <t>Responsible</t>
  </si>
  <si>
    <t>Rouge</t>
  </si>
  <si>
    <t>Red</t>
  </si>
  <si>
    <t>Service/Organization</t>
  </si>
  <si>
    <t>Seuil d'avertissement (en jours)</t>
  </si>
  <si>
    <t>Warning Threshold (in days)</t>
  </si>
  <si>
    <t>Suivi des actions</t>
  </si>
  <si>
    <t>Action Tracking</t>
  </si>
  <si>
    <t>Suivi des livrables</t>
  </si>
  <si>
    <t>Delivery Tracking</t>
  </si>
  <si>
    <t>Supprimer une colonne</t>
  </si>
  <si>
    <t>Delete a Column</t>
  </si>
  <si>
    <t>Type de livrable</t>
  </si>
  <si>
    <t>Deliverable Type</t>
  </si>
  <si>
    <t>Validé</t>
  </si>
  <si>
    <t>Validated</t>
  </si>
  <si>
    <t>validée</t>
  </si>
  <si>
    <t>Approved</t>
  </si>
  <si>
    <t>Valideur(s)</t>
  </si>
  <si>
    <t>Approver(s)</t>
  </si>
  <si>
    <t>Version</t>
  </si>
  <si>
    <t>Rejected</t>
  </si>
  <si>
    <t>Deferred</t>
  </si>
  <si>
    <t>Priority Levels</t>
  </si>
  <si>
    <t>Essential</t>
  </si>
  <si>
    <t>Useful</t>
  </si>
  <si>
    <t>Appreciable</t>
  </si>
  <si>
    <t>Not Applicable (N/A)</t>
  </si>
  <si>
    <t>Scope</t>
  </si>
  <si>
    <t>Schedule</t>
  </si>
  <si>
    <t>Quality</t>
  </si>
  <si>
    <t>Resources</t>
  </si>
  <si>
    <t>Change Requests</t>
  </si>
  <si>
    <t>Demandes de changement</t>
  </si>
  <si>
    <t>Index</t>
  </si>
  <si>
    <t>Change Request Register</t>
  </si>
  <si>
    <t>Communication, Schedule</t>
  </si>
  <si>
    <t>Requester</t>
  </si>
  <si>
    <t>Actors</t>
  </si>
  <si>
    <t>Reason for the Change Request</t>
  </si>
  <si>
    <t>Comment/Actions</t>
  </si>
  <si>
    <t>Change description</t>
  </si>
  <si>
    <t>Expected benefit</t>
  </si>
  <si>
    <t>Ajouter une demande</t>
  </si>
  <si>
    <t>Add a request</t>
  </si>
  <si>
    <t>Supprimer une demande</t>
  </si>
  <si>
    <t>Delete a request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</si>
</sst>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theme="1"/>
      <name val="Candara"/>
      <family val="2"/>
    </font>
    <font>
      <sz val="10"/>
      <color theme="6" tint="-0.249977111117893"/>
      <name val="Calibri"/>
      <family val="2"/>
      <scheme val="minor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sz val="11"/>
      <color rgb="FF005677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b/>
      <sz val="11"/>
      <color rgb="FF2C6646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863D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color theme="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F3F9FF"/>
        <bgColor indexed="64"/>
      </patternFill>
    </fill>
    <fill>
      <patternFill patternType="solid">
        <fgColor rgb="FFE7F3FF"/>
        <bgColor indexed="64"/>
      </patternFill>
    </fill>
    <fill>
      <patternFill patternType="solid">
        <fgColor rgb="FFB9E1CB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n">
        <color rgb="FF91E0FF"/>
      </bottom>
      <diagonal/>
    </border>
    <border>
      <left/>
      <right/>
      <top style="thin">
        <color rgb="FF91E0FF"/>
      </top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ck">
        <color theme="0"/>
      </left>
      <right/>
      <top/>
      <bottom style="thin">
        <color rgb="FF91E0FF"/>
      </bottom>
      <diagonal/>
    </border>
    <border>
      <left style="thick">
        <color theme="0"/>
      </left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</borders>
  <cellStyleXfs count="4">
    <xf numFmtId="0" fontId="0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</cellStyleXfs>
  <cellXfs count="50">
    <xf numFmtId="0" fontId="0" fillId="0" borderId="0" xfId="0"/>
    <xf numFmtId="0" fontId="1" fillId="2" borderId="1" xfId="0" applyFont="1" applyFill="1" applyBorder="1" applyAlignment="1">
      <alignment vertical="center"/>
    </xf>
    <xf numFmtId="14" fontId="1" fillId="2" borderId="1" xfId="0" applyNumberFormat="1" applyFont="1" applyFill="1" applyBorder="1" applyAlignment="1">
      <alignment horizontal="center" vertical="center"/>
    </xf>
    <xf numFmtId="0" fontId="2" fillId="3" borderId="0" xfId="0" applyFont="1" applyFill="1"/>
    <xf numFmtId="0" fontId="3" fillId="2" borderId="0" xfId="0" applyFont="1" applyFill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vertical="center"/>
    </xf>
    <xf numFmtId="0" fontId="5" fillId="4" borderId="3" xfId="0" applyFont="1" applyFill="1" applyBorder="1" applyAlignment="1">
      <alignment vertical="center"/>
    </xf>
    <xf numFmtId="0" fontId="6" fillId="5" borderId="4" xfId="0" applyFont="1" applyFill="1" applyBorder="1" applyAlignment="1">
      <alignment vertical="center"/>
    </xf>
    <xf numFmtId="0" fontId="7" fillId="5" borderId="4" xfId="0" applyFont="1" applyFill="1" applyBorder="1" applyAlignment="1">
      <alignment vertical="center"/>
    </xf>
    <xf numFmtId="0" fontId="8" fillId="6" borderId="0" xfId="0" applyFont="1" applyFill="1" applyAlignment="1">
      <alignment horizontal="center" vertical="center"/>
    </xf>
    <xf numFmtId="0" fontId="8" fillId="6" borderId="5" xfId="0" applyFont="1" applyFill="1" applyBorder="1" applyAlignment="1">
      <alignment vertical="center"/>
    </xf>
    <xf numFmtId="0" fontId="10" fillId="0" borderId="0" xfId="0" applyFont="1" applyAlignment="1">
      <alignment horizontal="left" vertical="center" wrapText="1"/>
    </xf>
    <xf numFmtId="0" fontId="10" fillId="0" borderId="0" xfId="0" applyFont="1" applyAlignment="1">
      <alignment horizontal="center" vertical="center" wrapText="1"/>
    </xf>
    <xf numFmtId="0" fontId="12" fillId="0" borderId="0" xfId="0" applyFont="1"/>
    <xf numFmtId="0" fontId="11" fillId="8" borderId="6" xfId="0" applyFont="1" applyFill="1" applyBorder="1"/>
    <xf numFmtId="1" fontId="12" fillId="0" borderId="0" xfId="0" applyNumberFormat="1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1" fontId="12" fillId="0" borderId="0" xfId="0" applyNumberFormat="1" applyFont="1" applyAlignment="1" applyProtection="1">
      <alignment horizontal="center" vertical="center"/>
      <protection locked="0"/>
    </xf>
    <xf numFmtId="0" fontId="14" fillId="0" borderId="0" xfId="1" applyFont="1" applyAlignment="1">
      <alignment horizontal="center" vertical="center"/>
    </xf>
    <xf numFmtId="0" fontId="8" fillId="6" borderId="5" xfId="0" applyFont="1" applyFill="1" applyBorder="1" applyAlignment="1">
      <alignment horizontal="left" vertical="center"/>
    </xf>
    <xf numFmtId="0" fontId="6" fillId="5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horizontal="center" vertical="center"/>
    </xf>
    <xf numFmtId="0" fontId="11" fillId="8" borderId="7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9" fillId="7" borderId="10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 wrapText="1"/>
    </xf>
    <xf numFmtId="9" fontId="10" fillId="0" borderId="0" xfId="3" applyFont="1" applyAlignment="1">
      <alignment horizontal="center" vertical="center" wrapText="1"/>
    </xf>
    <xf numFmtId="14" fontId="10" fillId="0" borderId="0" xfId="0" applyNumberFormat="1" applyFont="1" applyAlignment="1">
      <alignment horizontal="left" vertical="center" wrapText="1"/>
    </xf>
    <xf numFmtId="0" fontId="0" fillId="3" borderId="0" xfId="0" applyFill="1"/>
    <xf numFmtId="0" fontId="0" fillId="3" borderId="0" xfId="0" applyFill="1" applyProtection="1">
      <protection locked="0"/>
    </xf>
    <xf numFmtId="0" fontId="16" fillId="0" borderId="11" xfId="0" applyFont="1" applyBorder="1" applyAlignment="1">
      <alignment horizontal="center" vertical="center"/>
    </xf>
    <xf numFmtId="0" fontId="11" fillId="0" borderId="0" xfId="0" applyFont="1" applyAlignment="1" applyProtection="1">
      <alignment horizontal="left" vertical="center" wrapText="1"/>
      <protection locked="0"/>
    </xf>
    <xf numFmtId="0" fontId="11" fillId="8" borderId="6" xfId="0" applyFont="1" applyFill="1" applyBorder="1" applyAlignment="1">
      <alignment horizontal="center"/>
    </xf>
    <xf numFmtId="0" fontId="18" fillId="9" borderId="0" xfId="0" applyFont="1" applyFill="1" applyAlignment="1" applyProtection="1">
      <alignment horizontal="left" vertical="center"/>
      <protection locked="0"/>
    </xf>
    <xf numFmtId="0" fontId="19" fillId="11" borderId="0" xfId="0" applyFont="1" applyFill="1" applyAlignment="1" applyProtection="1">
      <alignment horizontal="left" vertical="center"/>
      <protection locked="0"/>
    </xf>
    <xf numFmtId="0" fontId="17" fillId="12" borderId="0" xfId="0" applyFont="1" applyFill="1" applyAlignment="1" applyProtection="1">
      <alignment horizontal="left" vertical="center"/>
      <protection locked="0"/>
    </xf>
    <xf numFmtId="0" fontId="16" fillId="10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20" fillId="4" borderId="3" xfId="0" applyFont="1" applyFill="1" applyBorder="1" applyAlignment="1">
      <alignment horizontal="righ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0" fontId="7" fillId="5" borderId="4" xfId="0" applyFont="1" applyFill="1" applyBorder="1" applyAlignment="1">
      <alignment horizontal="left" vertical="center"/>
    </xf>
    <xf numFmtId="0" fontId="7" fillId="5" borderId="4" xfId="0" applyFont="1" applyFill="1" applyBorder="1" applyAlignment="1">
      <alignment horizontal="center" vertical="center"/>
    </xf>
  </cellXfs>
  <cellStyles count="4">
    <cellStyle name="Normal" xfId="0" builtinId="0"/>
    <cellStyle name="Normal 2" xfId="2" xr:uid="{17BFE027-EBD2-4894-A4B7-22EB55DFFE95}"/>
    <cellStyle name="Normal 3" xfId="1" xr:uid="{37384669-6CFC-4267-B564-B372DB213ADD}"/>
    <cellStyle name="Percent" xfId="3" builtinId="5"/>
  </cellStyles>
  <dxfs count="39">
    <dxf>
      <font>
        <b val="0"/>
        <i val="0"/>
        <strike val="0"/>
        <color theme="2" tint="-0.749992370372631"/>
      </font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lor rgb="FFC00000"/>
      </font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lor rgb="FF00863D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lor rgb="FF0070C0"/>
      </font>
      <fill>
        <patternFill patternType="solid">
          <fgColor indexed="64"/>
          <bgColor theme="8" tint="0.79998168889431442"/>
        </patternFill>
      </fill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9"/>
        </left>
        <right style="thin">
          <color theme="9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  <color theme="2" tint="-0.74999237037263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2" tint="-0.74999237037263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9"/>
        </left>
        <right style="thin">
          <color theme="9"/>
        </right>
        <top/>
        <bottom/>
      </border>
    </dxf>
    <dxf>
      <font>
        <b val="0"/>
        <i val="0"/>
        <strike val="0"/>
        <color theme="2" tint="-0.749992370372631"/>
      </font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lor rgb="FFC00000"/>
      </font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lor rgb="FF00863D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lor rgb="FF0070C0"/>
      </font>
      <fill>
        <patternFill patternType="solid">
          <fgColor indexed="64"/>
          <bgColor theme="8" tint="0.79998168889431442"/>
        </patternFill>
      </fill>
    </dxf>
  </dxfs>
  <tableStyles count="0" defaultTableStyle="TableStyleMedium2" defaultPivotStyle="PivotStyleLight16"/>
  <colors>
    <mruColors>
      <color rgb="FF00863D"/>
      <color rgb="FFFF9393"/>
      <color rgb="FFFFD5D5"/>
      <color rgb="FF009242"/>
      <color rgb="FFEFF6EA"/>
      <color rgb="FFF5F5F5"/>
      <color rgb="FFEFF6FB"/>
      <color rgb="FFF2F8EE"/>
      <color rgb="FF92D05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2" dropStyle="combo" dx="26" fmlaLink="$L$6" fmlaRange="Langue!$F$2:$F$3" noThreeD="1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blog-gestion-de-projet.com/docs/kit-management-projet/execution/registre-des-demandes-de-changement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hyperlink" Target="https://blog-gestion-de-projet.com/docs/kit-management-projet/execution/registre-des-demandes-de-changement/" TargetMode="External"/><Relationship Id="rId5" Type="http://schemas.openxmlformats.org/officeDocument/2006/relationships/image" Target="../media/image1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3</xdr:col>
      <xdr:colOff>1036320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30886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518160</xdr:colOff>
      <xdr:row>5</xdr:row>
      <xdr:rowOff>60960</xdr:rowOff>
    </xdr:from>
    <xdr:to>
      <xdr:col>5</xdr:col>
      <xdr:colOff>778825</xdr:colOff>
      <xdr:row>5</xdr:row>
      <xdr:rowOff>301981</xdr:rowOff>
    </xdr:to>
    <xdr:sp macro="[0]!NavBar" textlink="">
      <xdr:nvSpPr>
        <xdr:cNvPr id="12" name="BtnGuid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137660" y="81534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5</xdr:col>
      <xdr:colOff>872805</xdr:colOff>
      <xdr:row>5</xdr:row>
      <xdr:rowOff>63998</xdr:rowOff>
    </xdr:from>
    <xdr:to>
      <xdr:col>7</xdr:col>
      <xdr:colOff>272008</xdr:colOff>
      <xdr:row>5</xdr:row>
      <xdr:rowOff>305019</xdr:rowOff>
    </xdr:to>
    <xdr:sp macro="[0]!NavBar" textlink="">
      <xdr:nvSpPr>
        <xdr:cNvPr id="13" name="BtnDemandes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72465" y="81837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Demandes de changement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8</xdr:col>
      <xdr:colOff>74331</xdr:colOff>
      <xdr:row>5</xdr:row>
      <xdr:rowOff>62293</xdr:rowOff>
    </xdr:from>
    <xdr:to>
      <xdr:col>9</xdr:col>
      <xdr:colOff>441960</xdr:colOff>
      <xdr:row>5</xdr:row>
      <xdr:rowOff>303314</xdr:rowOff>
    </xdr:to>
    <xdr:sp macro="[0]!NavBar" textlink="">
      <xdr:nvSpPr>
        <xdr:cNvPr id="14" name="BtnSettings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7648611" y="816673"/>
          <a:ext cx="1609689" cy="241021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3</xdr:col>
      <xdr:colOff>998220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34696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7620</xdr:colOff>
      <xdr:row>8</xdr:row>
      <xdr:rowOff>91440</xdr:rowOff>
    </xdr:from>
    <xdr:to>
      <xdr:col>3</xdr:col>
      <xdr:colOff>236220</xdr:colOff>
      <xdr:row>8</xdr:row>
      <xdr:rowOff>396240</xdr:rowOff>
    </xdr:to>
    <xdr:sp macro="[0]!AddRow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20980" y="1333500"/>
          <a:ext cx="1577340" cy="3048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/>
            <a:t>Ajouter une demande</a:t>
          </a:r>
        </a:p>
      </xdr:txBody>
    </xdr:sp>
    <xdr:clientData/>
  </xdr:twoCellAnchor>
  <xdr:twoCellAnchor editAs="absolute">
    <xdr:from>
      <xdr:col>3</xdr:col>
      <xdr:colOff>358140</xdr:colOff>
      <xdr:row>8</xdr:row>
      <xdr:rowOff>91440</xdr:rowOff>
    </xdr:from>
    <xdr:to>
      <xdr:col>4</xdr:col>
      <xdr:colOff>800100</xdr:colOff>
      <xdr:row>8</xdr:row>
      <xdr:rowOff>396240</xdr:rowOff>
    </xdr:to>
    <xdr:sp macro="[0]!DeleteR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920240" y="1333500"/>
          <a:ext cx="1798320" cy="3048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/>
            <a:t>Supprimer une demande</a:t>
          </a:r>
        </a:p>
      </xdr:txBody>
    </xdr:sp>
    <xdr:clientData/>
  </xdr:twoCellAnchor>
  <xdr:twoCellAnchor editAs="absolute">
    <xdr:from>
      <xdr:col>4</xdr:col>
      <xdr:colOff>1219200</xdr:colOff>
      <xdr:row>5</xdr:row>
      <xdr:rowOff>60740</xdr:rowOff>
    </xdr:from>
    <xdr:to>
      <xdr:col>5</xdr:col>
      <xdr:colOff>1335085</xdr:colOff>
      <xdr:row>5</xdr:row>
      <xdr:rowOff>301761</xdr:rowOff>
    </xdr:to>
    <xdr:sp macro="" textlink="">
      <xdr:nvSpPr>
        <xdr:cNvPr id="8" name="BtnGuid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137660" y="81512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5</xdr:col>
      <xdr:colOff>1429065</xdr:colOff>
      <xdr:row>5</xdr:row>
      <xdr:rowOff>63778</xdr:rowOff>
    </xdr:from>
    <xdr:to>
      <xdr:col>6</xdr:col>
      <xdr:colOff>752068</xdr:colOff>
      <xdr:row>5</xdr:row>
      <xdr:rowOff>304799</xdr:rowOff>
    </xdr:to>
    <xdr:sp macro="[0]!NavBar" textlink="">
      <xdr:nvSpPr>
        <xdr:cNvPr id="9" name="BtnDemandes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772465" y="81815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Demandes de changement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6</xdr:col>
      <xdr:colOff>859191</xdr:colOff>
      <xdr:row>5</xdr:row>
      <xdr:rowOff>62073</xdr:rowOff>
    </xdr:from>
    <xdr:to>
      <xdr:col>7</xdr:col>
      <xdr:colOff>518160</xdr:colOff>
      <xdr:row>5</xdr:row>
      <xdr:rowOff>303094</xdr:rowOff>
    </xdr:to>
    <xdr:sp macro="[0]!NavBar" textlink="">
      <xdr:nvSpPr>
        <xdr:cNvPr id="11" name="BtnSettings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648611" y="816453"/>
          <a:ext cx="1609689" cy="241021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Paramétrages</a:t>
          </a:r>
        </a:p>
      </xdr:txBody>
    </xdr:sp>
    <xdr:clientData/>
  </xdr:twoCellAnchor>
  <xdr:twoCellAnchor editAs="absolute">
    <xdr:from>
      <xdr:col>5</xdr:col>
      <xdr:colOff>1059180</xdr:colOff>
      <xdr:row>8</xdr:row>
      <xdr:rowOff>91440</xdr:rowOff>
    </xdr:from>
    <xdr:to>
      <xdr:col>6</xdr:col>
      <xdr:colOff>190500</xdr:colOff>
      <xdr:row>8</xdr:row>
      <xdr:rowOff>396240</xdr:rowOff>
    </xdr:to>
    <xdr:sp macro="[0]!AddColum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02580" y="1333500"/>
          <a:ext cx="1577340" cy="3048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/>
            <a:t>Ajouter une colonne</a:t>
          </a:r>
        </a:p>
      </xdr:txBody>
    </xdr:sp>
    <xdr:clientData/>
  </xdr:twoCellAnchor>
  <xdr:twoCellAnchor editAs="absolute">
    <xdr:from>
      <xdr:col>6</xdr:col>
      <xdr:colOff>312420</xdr:colOff>
      <xdr:row>8</xdr:row>
      <xdr:rowOff>91440</xdr:rowOff>
    </xdr:from>
    <xdr:to>
      <xdr:col>7</xdr:col>
      <xdr:colOff>160020</xdr:colOff>
      <xdr:row>8</xdr:row>
      <xdr:rowOff>396240</xdr:rowOff>
    </xdr:to>
    <xdr:sp macro="[0]!DeleteColum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101840" y="1333500"/>
          <a:ext cx="1798320" cy="3048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/>
            <a:t>Supprimer une colonne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929640</xdr:colOff>
      <xdr:row>8</xdr:row>
      <xdr:rowOff>38520</xdr:rowOff>
    </xdr:from>
    <xdr:to>
      <xdr:col>5</xdr:col>
      <xdr:colOff>1055640</xdr:colOff>
      <xdr:row>8</xdr:row>
      <xdr:rowOff>164520</xdr:rowOff>
    </xdr:to>
    <xdr:pic macro="[0]!AddRow">
      <xdr:nvPicPr>
        <xdr:cNvPr id="11" name="BtnAddPriorite" descr="Add with solid fill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66360" y="1524420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5</xdr:col>
      <xdr:colOff>1127340</xdr:colOff>
      <xdr:row>8</xdr:row>
      <xdr:rowOff>38100</xdr:rowOff>
    </xdr:from>
    <xdr:to>
      <xdr:col>5</xdr:col>
      <xdr:colOff>1253340</xdr:colOff>
      <xdr:row>8</xdr:row>
      <xdr:rowOff>164100</xdr:rowOff>
    </xdr:to>
    <xdr:pic macro="[0]!DeleteRow">
      <xdr:nvPicPr>
        <xdr:cNvPr id="12" name="BtnDeletePriorite" descr="Close with solid fill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364060" y="1524000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7</xdr:col>
      <xdr:colOff>963764</xdr:colOff>
      <xdr:row>8</xdr:row>
      <xdr:rowOff>29906</xdr:rowOff>
    </xdr:from>
    <xdr:to>
      <xdr:col>7</xdr:col>
      <xdr:colOff>1089764</xdr:colOff>
      <xdr:row>8</xdr:row>
      <xdr:rowOff>155906</xdr:rowOff>
    </xdr:to>
    <xdr:pic macro="[0]!AddRow">
      <xdr:nvPicPr>
        <xdr:cNvPr id="17" name="BtnAddRealisation" descr="Add with solid fill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36064" y="1515806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7</xdr:col>
      <xdr:colOff>1176042</xdr:colOff>
      <xdr:row>8</xdr:row>
      <xdr:rowOff>30480</xdr:rowOff>
    </xdr:from>
    <xdr:to>
      <xdr:col>7</xdr:col>
      <xdr:colOff>1305024</xdr:colOff>
      <xdr:row>8</xdr:row>
      <xdr:rowOff>156480</xdr:rowOff>
    </xdr:to>
    <xdr:pic macro="[0]!DeleteRow">
      <xdr:nvPicPr>
        <xdr:cNvPr id="18" name="BtnDeleteRealisation" descr="Close with solid fill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1590" y="1521350"/>
          <a:ext cx="128982" cy="126000"/>
        </a:xfrm>
        <a:prstGeom prst="rect">
          <a:avLst/>
        </a:prstGeom>
      </xdr:spPr>
    </xdr:pic>
    <xdr:clientData/>
  </xdr:twoCellAnchor>
  <xdr:twoCellAnchor editAs="oneCell">
    <xdr:from>
      <xdr:col>0</xdr:col>
      <xdr:colOff>175260</xdr:colOff>
      <xdr:row>0</xdr:row>
      <xdr:rowOff>152400</xdr:rowOff>
    </xdr:from>
    <xdr:to>
      <xdr:col>3</xdr:col>
      <xdr:colOff>510540</xdr:colOff>
      <xdr:row>4</xdr:row>
      <xdr:rowOff>76200</xdr:rowOff>
    </xdr:to>
    <xdr:pic>
      <xdr:nvPicPr>
        <xdr:cNvPr id="31" name="logo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260" y="152400"/>
          <a:ext cx="237744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845486</xdr:colOff>
      <xdr:row>8</xdr:row>
      <xdr:rowOff>30900</xdr:rowOff>
    </xdr:from>
    <xdr:to>
      <xdr:col>2</xdr:col>
      <xdr:colOff>971486</xdr:colOff>
      <xdr:row>8</xdr:row>
      <xdr:rowOff>156900</xdr:rowOff>
    </xdr:to>
    <xdr:pic macro="[0]!AddRow">
      <xdr:nvPicPr>
        <xdr:cNvPr id="36" name="BtnAddStatut" descr="Add with solid fill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53206" y="1516800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1081286</xdr:colOff>
      <xdr:row>8</xdr:row>
      <xdr:rowOff>30480</xdr:rowOff>
    </xdr:from>
    <xdr:to>
      <xdr:col>2</xdr:col>
      <xdr:colOff>1207286</xdr:colOff>
      <xdr:row>8</xdr:row>
      <xdr:rowOff>156480</xdr:rowOff>
    </xdr:to>
    <xdr:pic macro="[0]!DeleteRow">
      <xdr:nvPicPr>
        <xdr:cNvPr id="37" name="BtnDeleteStatut" descr="Close with solid fill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89006" y="151638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4</xdr:col>
      <xdr:colOff>1173480</xdr:colOff>
      <xdr:row>5</xdr:row>
      <xdr:rowOff>60960</xdr:rowOff>
    </xdr:from>
    <xdr:to>
      <xdr:col>6</xdr:col>
      <xdr:colOff>161605</xdr:colOff>
      <xdr:row>5</xdr:row>
      <xdr:rowOff>301981</xdr:rowOff>
    </xdr:to>
    <xdr:sp macro="" textlink="">
      <xdr:nvSpPr>
        <xdr:cNvPr id="41" name="BtnGuide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4137660" y="81534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6</xdr:col>
      <xdr:colOff>255585</xdr:colOff>
      <xdr:row>5</xdr:row>
      <xdr:rowOff>63998</xdr:rowOff>
    </xdr:from>
    <xdr:to>
      <xdr:col>7</xdr:col>
      <xdr:colOff>1201648</xdr:colOff>
      <xdr:row>5</xdr:row>
      <xdr:rowOff>305019</xdr:rowOff>
    </xdr:to>
    <xdr:sp macro="[0]!NavBar" textlink="">
      <xdr:nvSpPr>
        <xdr:cNvPr id="42" name="BtnDemandes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5772465" y="81837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Demandes de changement</a:t>
          </a:r>
          <a:endParaRPr lang="en-US">
            <a:effectLst/>
          </a:endParaRPr>
        </a:p>
      </xdr:txBody>
    </xdr:sp>
    <xdr:clientData/>
  </xdr:twoCellAnchor>
  <xdr:twoCellAnchor editAs="absolute">
    <xdr:from>
      <xdr:col>7</xdr:col>
      <xdr:colOff>1308771</xdr:colOff>
      <xdr:row>5</xdr:row>
      <xdr:rowOff>62293</xdr:rowOff>
    </xdr:from>
    <xdr:to>
      <xdr:col>9</xdr:col>
      <xdr:colOff>220980</xdr:colOff>
      <xdr:row>5</xdr:row>
      <xdr:rowOff>303314</xdr:rowOff>
    </xdr:to>
    <xdr:sp macro="[0]!NavBar" textlink="">
      <xdr:nvSpPr>
        <xdr:cNvPr id="43" name="BtnSettings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7648611" y="816673"/>
          <a:ext cx="1609689" cy="241021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137160</xdr:colOff>
          <xdr:row>5</xdr:row>
          <xdr:rowOff>83820</xdr:rowOff>
        </xdr:from>
        <xdr:to>
          <xdr:col>12</xdr:col>
          <xdr:colOff>99060</xdr:colOff>
          <xdr:row>5</xdr:row>
          <xdr:rowOff>297180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762953-8AF9-4D1F-B711-8A3DA5A4E1BD}" name="TabDemandes" displayName="TabDemandes" ref="B11:L18" totalsRowShown="0" headerRowDxfId="34" dataDxfId="32" headerRowBorderDxfId="33">
  <autoFilter ref="B11:L18" xr:uid="{C6762953-8AF9-4D1F-B711-8A3DA5A4E1BD}"/>
  <tableColumns count="11">
    <tableColumn id="1" xr3:uid="{C6AFDC86-425B-4C98-AEA5-154D37D11AA7}" name="ID" dataDxfId="31">
      <calculatedColumnFormula>ROW()-ROW(TabDemandes[[#Headers],[ID]])</calculatedColumnFormula>
    </tableColumn>
    <tableColumn id="3" xr3:uid="{09984EE0-6E70-49FB-B6A2-4CD5E3CFD8E9}" name="Date" dataDxfId="30"/>
    <tableColumn id="4" xr3:uid="{EFA05E07-C59A-4232-922F-F08CD26486E5}" name="Demandeur" dataDxfId="29"/>
    <tableColumn id="9" xr3:uid="{B8856B89-B506-4740-8C56-82277A9E747D}" name="Acteurs" dataDxfId="28"/>
    <tableColumn id="12" xr3:uid="{C0376BB8-0A87-43D5-B4B2-BD45FBA4AF7D}" name="Description du changement" dataDxfId="27"/>
    <tableColumn id="5" xr3:uid="{6588FBC4-FB2B-4FAF-BB78-D3B8C250D067}" name="Pourquoi le changement est demandé" dataDxfId="26"/>
    <tableColumn id="13" xr3:uid="{9E00B21C-9A6D-42AE-95C1-D593E8BC318A}" name="Bénéfice attendu" dataDxfId="25"/>
    <tableColumn id="6" xr3:uid="{6163C790-864C-442C-AEF6-3CB9E38FF10A}" name="Impact" dataDxfId="24"/>
    <tableColumn id="7" xr3:uid="{2F79E7AB-AC0B-4289-8E0C-7C79FEBE4A7B}" name="Priorité" dataDxfId="23"/>
    <tableColumn id="2" xr3:uid="{5B3C7E24-0096-460C-A9B4-405AB08185AE}" name="Status" dataDxfId="22"/>
    <tableColumn id="8" xr3:uid="{AE0D409C-4406-4D26-9092-790A264AFFDE}" name="Commentaire/Actions" dataDxfId="21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133962-1B2A-426B-9AB4-26C5D3E9480C}" name="TabPriority" displayName="TabPriority" ref="E10:F14" totalsRowShown="0" headerRowDxfId="20" dataDxfId="19">
  <autoFilter ref="E10:F14" xr:uid="{D2133962-1B2A-426B-9AB4-26C5D3E9480C}"/>
  <tableColumns count="2">
    <tableColumn id="2" xr3:uid="{45CAFB2A-4835-445D-85A4-46446AD2ABDF}" name="Niveaux de Priorité" dataDxfId="18"/>
    <tableColumn id="1" xr3:uid="{7DFE387B-3640-49A3-932B-495ED8B5F89F}" name="Indice" dataDxf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08E2366-D736-428D-85B0-A6B12D57CDEA}" name="TabImpact" displayName="TabImpact" ref="H10:H16" totalsRowShown="0" headerRowDxfId="16" dataDxfId="15">
  <autoFilter ref="H10:H16" xr:uid="{C08E2366-D736-428D-85B0-A6B12D57CDEA}"/>
  <tableColumns count="1">
    <tableColumn id="1" xr3:uid="{C1D994C3-90E1-4AA3-BE08-9694F77FB0DE}" name="Impact" dataDxf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609DC7-55ED-4B66-A7D2-FEF690D15FA7}" name="TabStatut" displayName="TabStatut" ref="C10:C14" totalsRowShown="0" headerRowDxfId="13" dataDxfId="12">
  <autoFilter ref="C10:C14" xr:uid="{2D609DC7-55ED-4B66-A7D2-FEF690D15FA7}"/>
  <tableColumns count="1">
    <tableColumn id="1" xr3:uid="{7C2A4505-14BD-4EF4-9881-49A036808C06}" name="Statut" dataDxfId="11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600BBA-397E-4421-BF21-AADCFEAE7FFD}" name="TabLangue" displayName="TabLangue" ref="A1:B78" totalsRowShown="0" headerRowDxfId="7" dataDxfId="6">
  <autoFilter ref="A1:B78" xr:uid="{76600BBA-397E-4421-BF21-AADCFEAE7FFD}"/>
  <sortState xmlns:xlrd2="http://schemas.microsoft.com/office/spreadsheetml/2017/richdata2" ref="A2:B78">
    <sortCondition ref="A1:A78"/>
  </sortState>
  <tableColumns count="2">
    <tableColumn id="1" xr3:uid="{0C93FB73-1E18-436C-9915-847D029813AB}" name="Français" dataDxfId="5"/>
    <tableColumn id="2" xr3:uid="{B7B69063-06FA-419B-B3C8-34B5ECDA946D}" name="Anglais" dataDxfId="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855904D-7526-49D8-9673-AE35C2067CD3}" name="TabLang" displayName="TabLang" ref="F1:F3" totalsRowShown="0">
  <autoFilter ref="F1:F3" xr:uid="{0855904D-7526-49D8-9673-AE35C2067CD3}"/>
  <tableColumns count="1">
    <tableColumn id="1" xr3:uid="{A2441A08-F007-4441-9273-EC90A3FB17B7}" name="Lang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D3FCC-62AB-448E-9317-F7CFF6A451BE}">
  <sheetPr codeName="ShGuide">
    <tabColor theme="4"/>
  </sheetPr>
  <dimension ref="A1:Q20"/>
  <sheetViews>
    <sheetView showGridLines="0" workbookViewId="0">
      <selection activeCell="L15" sqref="L15"/>
    </sheetView>
  </sheetViews>
  <sheetFormatPr defaultColWidth="0" defaultRowHeight="14.4" x14ac:dyDescent="0.3"/>
  <cols>
    <col min="1" max="1" width="3.109375" customWidth="1"/>
    <col min="2" max="2" width="5.6640625" customWidth="1"/>
    <col min="3" max="3" width="12.88671875" customWidth="1"/>
    <col min="4" max="4" width="31.109375" customWidth="1"/>
    <col min="5" max="5" width="18.6640625" customWidth="1"/>
    <col min="6" max="6" width="19.109375" customWidth="1"/>
    <col min="7" max="7" width="15.44140625" customWidth="1"/>
    <col min="8" max="8" width="4.44140625" customWidth="1"/>
    <col min="9" max="9" width="18.109375" bestFit="1" customWidth="1"/>
    <col min="10" max="10" width="21.6640625" customWidth="1"/>
    <col min="11" max="11" width="6" customWidth="1"/>
    <col min="12" max="12" width="23.5546875" customWidth="1"/>
    <col min="13" max="13" width="17" customWidth="1"/>
    <col min="14" max="16" width="8.88671875" customWidth="1"/>
    <col min="17" max="17" width="0" hidden="1" customWidth="1"/>
    <col min="18" max="16384" width="8.88671875" hidden="1"/>
  </cols>
  <sheetData>
    <row r="1" spans="2:13" ht="19.95" customHeight="1" x14ac:dyDescent="0.3">
      <c r="E1" s="9" t="s">
        <v>4</v>
      </c>
      <c r="F1" s="48" t="s">
        <v>10</v>
      </c>
      <c r="G1" s="48"/>
      <c r="I1" s="9" t="s">
        <v>13</v>
      </c>
      <c r="J1" s="10" t="s">
        <v>12</v>
      </c>
      <c r="L1" s="1" t="s">
        <v>0</v>
      </c>
      <c r="M1" s="2">
        <v>44893</v>
      </c>
    </row>
    <row r="2" spans="2:13" ht="14.4" hidden="1" customHeight="1" x14ac:dyDescent="0.3">
      <c r="E2" s="11" t="s">
        <v>28</v>
      </c>
      <c r="F2" s="21" t="s">
        <v>28</v>
      </c>
      <c r="G2" s="21" t="s">
        <v>28</v>
      </c>
      <c r="I2" s="11" t="s">
        <v>28</v>
      </c>
      <c r="J2" s="12" t="s">
        <v>28</v>
      </c>
      <c r="L2" s="3" t="s">
        <v>28</v>
      </c>
      <c r="M2" s="4" t="s">
        <v>28</v>
      </c>
    </row>
    <row r="3" spans="2:13" ht="19.95" customHeight="1" x14ac:dyDescent="0.3">
      <c r="E3" s="9" t="s">
        <v>5</v>
      </c>
      <c r="F3" s="48" t="s">
        <v>11</v>
      </c>
      <c r="G3" s="48"/>
      <c r="I3" s="9" t="s">
        <v>14</v>
      </c>
      <c r="J3" s="10" t="s">
        <v>15</v>
      </c>
      <c r="L3" s="1" t="s">
        <v>1</v>
      </c>
      <c r="M3" s="2">
        <v>45132</v>
      </c>
    </row>
    <row r="4" spans="2:13" ht="14.4" hidden="1" customHeight="1" x14ac:dyDescent="0.3">
      <c r="E4" t="s">
        <v>28</v>
      </c>
      <c r="F4" t="s">
        <v>28</v>
      </c>
      <c r="G4" t="s">
        <v>28</v>
      </c>
      <c r="I4" t="s">
        <v>28</v>
      </c>
      <c r="J4" t="s">
        <v>28</v>
      </c>
      <c r="L4" s="3" t="s">
        <v>28</v>
      </c>
      <c r="M4" s="4" t="s">
        <v>28</v>
      </c>
    </row>
    <row r="5" spans="2:13" ht="19.95" customHeight="1" thickBot="1" x14ac:dyDescent="0.35">
      <c r="L5" s="5" t="s">
        <v>2</v>
      </c>
      <c r="M5" s="6" t="s">
        <v>3</v>
      </c>
    </row>
    <row r="6" spans="2:13" ht="28.2" customHeight="1" thickTop="1" thickBot="1" x14ac:dyDescent="0.35">
      <c r="B6" s="7"/>
      <c r="C6" s="8" t="s">
        <v>8</v>
      </c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ht="10.199999999999999" customHeight="1" thickTop="1" x14ac:dyDescent="0.3"/>
    <row r="11" spans="2:13" ht="21" customHeight="1" x14ac:dyDescent="0.3"/>
    <row r="12" spans="2:13" ht="21" customHeight="1" x14ac:dyDescent="0.3"/>
    <row r="13" spans="2:13" ht="21" customHeight="1" x14ac:dyDescent="0.3"/>
    <row r="14" spans="2:13" ht="21" customHeight="1" x14ac:dyDescent="0.3"/>
    <row r="15" spans="2:13" ht="21" customHeight="1" x14ac:dyDescent="0.3"/>
    <row r="16" spans="2:13" ht="21" customHeight="1" x14ac:dyDescent="0.3"/>
    <row r="17" ht="21" customHeight="1" x14ac:dyDescent="0.3"/>
    <row r="18" ht="21" customHeight="1" x14ac:dyDescent="0.3"/>
    <row r="19" ht="21" customHeight="1" x14ac:dyDescent="0.3"/>
    <row r="20" ht="21" customHeight="1" x14ac:dyDescent="0.3"/>
  </sheetData>
  <mergeCells count="2">
    <mergeCell ref="F1:G1"/>
    <mergeCell ref="F3:G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A947-56B9-402E-A5E0-3D721A741B85}">
  <sheetPr codeName="ShDemandes">
    <tabColor rgb="FFFFC000"/>
  </sheetPr>
  <dimension ref="B1:L90"/>
  <sheetViews>
    <sheetView showGridLines="0" tabSelected="1" topLeftCell="A5" workbookViewId="0">
      <selection activeCell="F14" sqref="F14"/>
    </sheetView>
  </sheetViews>
  <sheetFormatPr defaultColWidth="8.88671875" defaultRowHeight="14.4" x14ac:dyDescent="0.3"/>
  <cols>
    <col min="1" max="1" width="3.109375" customWidth="1"/>
    <col min="2" max="2" width="5" customWidth="1"/>
    <col min="3" max="3" width="14.6640625" customWidth="1"/>
    <col min="4" max="4" width="19.6640625" customWidth="1"/>
    <col min="5" max="5" width="20.6640625" customWidth="1"/>
    <col min="6" max="6" width="35.6640625" customWidth="1"/>
    <col min="7" max="7" width="28.44140625" customWidth="1"/>
    <col min="8" max="8" width="19.88671875" customWidth="1"/>
    <col min="9" max="9" width="14.5546875" customWidth="1"/>
    <col min="10" max="10" width="18.109375" customWidth="1"/>
    <col min="11" max="11" width="19.33203125" customWidth="1"/>
    <col min="12" max="12" width="50.33203125" customWidth="1"/>
    <col min="13" max="13" width="15.33203125" customWidth="1"/>
    <col min="14" max="16" width="8.88671875" customWidth="1"/>
  </cols>
  <sheetData>
    <row r="1" spans="2:12" ht="19.95" customHeight="1" x14ac:dyDescent="0.3">
      <c r="E1" s="9" t="s">
        <v>4</v>
      </c>
      <c r="F1" s="10" t="s">
        <v>10</v>
      </c>
      <c r="G1" s="22" t="s">
        <v>13</v>
      </c>
      <c r="H1" s="10" t="s">
        <v>12</v>
      </c>
      <c r="J1" s="1" t="s">
        <v>0</v>
      </c>
      <c r="K1" s="2">
        <v>44893</v>
      </c>
    </row>
    <row r="2" spans="2:12" ht="14.4" hidden="1" customHeight="1" x14ac:dyDescent="0.3">
      <c r="E2" s="11" t="s">
        <v>28</v>
      </c>
      <c r="F2" s="21" t="s">
        <v>28</v>
      </c>
      <c r="G2" s="23" t="s">
        <v>28</v>
      </c>
      <c r="H2" s="12" t="s">
        <v>28</v>
      </c>
      <c r="J2" s="3" t="s">
        <v>28</v>
      </c>
      <c r="K2" s="4" t="s">
        <v>28</v>
      </c>
    </row>
    <row r="3" spans="2:12" ht="19.95" customHeight="1" x14ac:dyDescent="0.3">
      <c r="E3" s="9" t="s">
        <v>5</v>
      </c>
      <c r="F3" s="10" t="s">
        <v>11</v>
      </c>
      <c r="G3" s="22" t="s">
        <v>14</v>
      </c>
      <c r="H3" s="10" t="s">
        <v>15</v>
      </c>
      <c r="J3" s="1" t="s">
        <v>1</v>
      </c>
      <c r="K3" s="2">
        <v>45132</v>
      </c>
    </row>
    <row r="4" spans="2:12" ht="14.4" hidden="1" customHeight="1" x14ac:dyDescent="0.3">
      <c r="E4" t="s">
        <v>28</v>
      </c>
      <c r="F4" t="s">
        <v>28</v>
      </c>
      <c r="G4" t="s">
        <v>28</v>
      </c>
      <c r="H4" t="s">
        <v>28</v>
      </c>
      <c r="J4" s="3" t="s">
        <v>28</v>
      </c>
      <c r="K4" s="4" t="s">
        <v>28</v>
      </c>
    </row>
    <row r="5" spans="2:12" ht="19.95" customHeight="1" thickBot="1" x14ac:dyDescent="0.35">
      <c r="J5" s="5" t="s">
        <v>2</v>
      </c>
      <c r="K5" s="6" t="s">
        <v>3</v>
      </c>
    </row>
    <row r="6" spans="2:12" ht="28.2" customHeight="1" thickTop="1" thickBot="1" x14ac:dyDescent="0.35">
      <c r="B6" s="7"/>
      <c r="C6" s="8" t="s">
        <v>76</v>
      </c>
      <c r="D6" s="7"/>
      <c r="E6" s="7"/>
      <c r="F6" s="7"/>
      <c r="G6" s="7"/>
      <c r="H6" s="7"/>
      <c r="I6" s="7"/>
      <c r="J6" s="7"/>
      <c r="K6" s="7"/>
    </row>
    <row r="7" spans="2:12" ht="10.199999999999999" customHeight="1" thickTop="1" x14ac:dyDescent="0.3"/>
    <row r="8" spans="2:12" ht="20.399999999999999" hidden="1" customHeight="1" thickTop="1" x14ac:dyDescent="0.3">
      <c r="D8" s="26"/>
      <c r="E8" s="25"/>
    </row>
    <row r="9" spans="2:12" ht="37.200000000000003" customHeight="1" x14ac:dyDescent="0.3"/>
    <row r="10" spans="2:12" ht="36.6" customHeight="1" x14ac:dyDescent="0.3">
      <c r="B10" s="27" t="s">
        <v>6</v>
      </c>
      <c r="C10" s="27" t="s">
        <v>21</v>
      </c>
      <c r="D10" s="27" t="s">
        <v>22</v>
      </c>
      <c r="E10" s="27" t="s">
        <v>77</v>
      </c>
      <c r="F10" s="27" t="s">
        <v>23</v>
      </c>
      <c r="G10" s="27" t="s">
        <v>24</v>
      </c>
      <c r="H10" s="27" t="s">
        <v>25</v>
      </c>
      <c r="I10" s="27" t="s">
        <v>26</v>
      </c>
      <c r="J10" s="27" t="s">
        <v>7</v>
      </c>
      <c r="K10" s="27" t="s">
        <v>27</v>
      </c>
      <c r="L10" s="27" t="s">
        <v>28</v>
      </c>
    </row>
    <row r="11" spans="2:12" s="15" customFormat="1" ht="28.8" hidden="1" x14ac:dyDescent="0.3">
      <c r="B11" s="47" t="s">
        <v>6</v>
      </c>
      <c r="C11" s="47" t="s">
        <v>21</v>
      </c>
      <c r="D11" s="47" t="s">
        <v>22</v>
      </c>
      <c r="E11" s="47" t="s">
        <v>77</v>
      </c>
      <c r="F11" s="47" t="s">
        <v>23</v>
      </c>
      <c r="G11" s="47" t="s">
        <v>24</v>
      </c>
      <c r="H11" s="47" t="s">
        <v>25</v>
      </c>
      <c r="I11" s="47" t="s">
        <v>26</v>
      </c>
      <c r="J11" s="47" t="s">
        <v>7</v>
      </c>
      <c r="K11" s="47" t="s">
        <v>27</v>
      </c>
      <c r="L11" s="47" t="s">
        <v>28</v>
      </c>
    </row>
    <row r="12" spans="2:12" ht="32.4" customHeight="1" x14ac:dyDescent="0.3">
      <c r="B12" s="14">
        <f>ROW()-ROW(TabDemandes[[#Headers],[ID]])</f>
        <v>1</v>
      </c>
      <c r="C12" s="29">
        <v>44657</v>
      </c>
      <c r="D12" s="13" t="s">
        <v>29</v>
      </c>
      <c r="E12" s="13"/>
      <c r="F12" s="13" t="s">
        <v>30</v>
      </c>
      <c r="G12" s="31" t="s">
        <v>31</v>
      </c>
      <c r="H12" s="30" t="s">
        <v>32</v>
      </c>
      <c r="I12" s="14" t="s">
        <v>49</v>
      </c>
      <c r="J12" s="14" t="s">
        <v>17</v>
      </c>
      <c r="K12" s="29" t="s">
        <v>16</v>
      </c>
      <c r="L12" s="13" t="s">
        <v>33</v>
      </c>
    </row>
    <row r="13" spans="2:12" ht="42.6" customHeight="1" x14ac:dyDescent="0.3">
      <c r="B13" s="14">
        <f>ROW()-ROW(TabDemandes[[#Headers],[ID]])</f>
        <v>2</v>
      </c>
      <c r="C13" s="29">
        <v>44659</v>
      </c>
      <c r="D13" s="13" t="s">
        <v>29</v>
      </c>
      <c r="E13" s="13"/>
      <c r="F13" s="13" t="s">
        <v>34</v>
      </c>
      <c r="G13" s="31" t="s">
        <v>35</v>
      </c>
      <c r="H13" s="30" t="s">
        <v>36</v>
      </c>
      <c r="I13" s="14" t="s">
        <v>73</v>
      </c>
      <c r="J13" s="14" t="s">
        <v>17</v>
      </c>
      <c r="K13" s="29" t="s">
        <v>37</v>
      </c>
      <c r="L13" s="13" t="s">
        <v>38</v>
      </c>
    </row>
    <row r="14" spans="2:12" ht="49.2" customHeight="1" x14ac:dyDescent="0.3">
      <c r="B14" s="14">
        <f>ROW()-ROW(TabDemandes[[#Headers],[ID]])</f>
        <v>3</v>
      </c>
      <c r="C14" s="29">
        <v>44659</v>
      </c>
      <c r="D14" s="13" t="s">
        <v>39</v>
      </c>
      <c r="E14" s="13"/>
      <c r="F14" s="13" t="s">
        <v>40</v>
      </c>
      <c r="G14" s="31" t="s">
        <v>41</v>
      </c>
      <c r="H14" s="30" t="s">
        <v>42</v>
      </c>
      <c r="I14" s="14" t="s">
        <v>175</v>
      </c>
      <c r="J14" s="14" t="s">
        <v>18</v>
      </c>
      <c r="K14" s="29" t="s">
        <v>155</v>
      </c>
      <c r="L14" s="13" t="s">
        <v>44</v>
      </c>
    </row>
    <row r="15" spans="2:12" ht="53.4" customHeight="1" x14ac:dyDescent="0.3">
      <c r="B15" s="14">
        <f>ROW()-ROW(TabDemandes[[#Headers],[ID]])</f>
        <v>4</v>
      </c>
      <c r="C15" s="29">
        <v>44660</v>
      </c>
      <c r="D15" s="13" t="s">
        <v>45</v>
      </c>
      <c r="E15" s="13"/>
      <c r="F15" s="13" t="s">
        <v>46</v>
      </c>
      <c r="G15" s="31" t="s">
        <v>47</v>
      </c>
      <c r="H15" s="30" t="s">
        <v>48</v>
      </c>
      <c r="I15" s="14" t="s">
        <v>49</v>
      </c>
      <c r="J15" s="14" t="s">
        <v>18</v>
      </c>
      <c r="K15" s="29" t="s">
        <v>37</v>
      </c>
      <c r="L15" s="13" t="s">
        <v>51</v>
      </c>
    </row>
    <row r="16" spans="2:12" ht="55.95" customHeight="1" x14ac:dyDescent="0.3">
      <c r="B16" s="14">
        <f>ROW()-ROW(TabDemandes[[#Headers],[ID]])</f>
        <v>5</v>
      </c>
      <c r="C16" s="29">
        <v>44663</v>
      </c>
      <c r="D16" s="13" t="s">
        <v>52</v>
      </c>
      <c r="E16" s="13"/>
      <c r="F16" s="13" t="s">
        <v>53</v>
      </c>
      <c r="G16" s="31" t="s">
        <v>54</v>
      </c>
      <c r="H16" s="30" t="s">
        <v>55</v>
      </c>
      <c r="I16" s="14" t="s">
        <v>56</v>
      </c>
      <c r="J16" s="14" t="s">
        <v>17</v>
      </c>
      <c r="K16" s="29" t="s">
        <v>16</v>
      </c>
      <c r="L16" s="13" t="s">
        <v>57</v>
      </c>
    </row>
    <row r="17" spans="2:12" ht="54.6" customHeight="1" x14ac:dyDescent="0.3">
      <c r="B17" s="14">
        <f>ROW()-ROW(TabDemandes[[#Headers],[ID]])</f>
        <v>6</v>
      </c>
      <c r="C17" s="29">
        <v>44663</v>
      </c>
      <c r="D17" s="13" t="s">
        <v>58</v>
      </c>
      <c r="E17" s="13"/>
      <c r="F17" s="13" t="s">
        <v>53</v>
      </c>
      <c r="G17" s="31" t="s">
        <v>59</v>
      </c>
      <c r="H17" s="30" t="s">
        <v>60</v>
      </c>
      <c r="I17" s="14" t="s">
        <v>56</v>
      </c>
      <c r="J17" s="14" t="s">
        <v>17</v>
      </c>
      <c r="K17" s="29" t="s">
        <v>61</v>
      </c>
      <c r="L17" s="13" t="s">
        <v>57</v>
      </c>
    </row>
    <row r="18" spans="2:12" ht="48.6" customHeight="1" x14ac:dyDescent="0.3">
      <c r="B18" s="14">
        <f>ROW()-ROW(TabDemandes[[#Headers],[ID]])</f>
        <v>7</v>
      </c>
      <c r="C18" s="29">
        <v>44663</v>
      </c>
      <c r="D18" s="13" t="s">
        <v>62</v>
      </c>
      <c r="E18" s="13"/>
      <c r="F18" s="13" t="s">
        <v>63</v>
      </c>
      <c r="G18" s="31" t="s">
        <v>64</v>
      </c>
      <c r="H18" s="30" t="s">
        <v>65</v>
      </c>
      <c r="I18" s="14" t="s">
        <v>56</v>
      </c>
      <c r="J18" s="14" t="s">
        <v>18</v>
      </c>
      <c r="K18" s="29" t="s">
        <v>16</v>
      </c>
      <c r="L18" s="13" t="s">
        <v>66</v>
      </c>
    </row>
    <row r="19" spans="2:12" ht="32.4" customHeight="1" x14ac:dyDescent="0.3"/>
    <row r="20" spans="2:12" ht="32.4" customHeight="1" x14ac:dyDescent="0.3"/>
    <row r="21" spans="2:12" ht="32.4" customHeight="1" x14ac:dyDescent="0.3"/>
    <row r="22" spans="2:12" ht="32.4" customHeight="1" x14ac:dyDescent="0.3"/>
    <row r="23" spans="2:12" ht="32.4" customHeight="1" x14ac:dyDescent="0.3"/>
    <row r="24" spans="2:12" ht="32.4" customHeight="1" x14ac:dyDescent="0.3"/>
    <row r="25" spans="2:12" ht="32.4" customHeight="1" x14ac:dyDescent="0.3"/>
    <row r="26" spans="2:12" ht="32.4" customHeight="1" x14ac:dyDescent="0.3"/>
    <row r="27" spans="2:12" ht="32.4" customHeight="1" x14ac:dyDescent="0.3"/>
    <row r="28" spans="2:12" ht="32.4" customHeight="1" x14ac:dyDescent="0.3"/>
    <row r="29" spans="2:12" ht="32.4" customHeight="1" x14ac:dyDescent="0.3"/>
    <row r="30" spans="2:12" ht="32.4" customHeight="1" x14ac:dyDescent="0.3"/>
    <row r="31" spans="2:12" ht="32.4" customHeight="1" x14ac:dyDescent="0.3"/>
    <row r="32" spans="2:12" ht="32.4" customHeight="1" x14ac:dyDescent="0.3"/>
    <row r="33" ht="32.4" customHeight="1" x14ac:dyDescent="0.3"/>
    <row r="34" ht="32.4" customHeight="1" x14ac:dyDescent="0.3"/>
    <row r="35" ht="32.4" customHeight="1" x14ac:dyDescent="0.3"/>
    <row r="36" ht="32.4" customHeight="1" x14ac:dyDescent="0.3"/>
    <row r="37" ht="32.4" customHeight="1" x14ac:dyDescent="0.3"/>
    <row r="38" ht="32.4" customHeight="1" x14ac:dyDescent="0.3"/>
    <row r="39" ht="32.4" customHeight="1" x14ac:dyDescent="0.3"/>
    <row r="40" ht="32.4" customHeight="1" x14ac:dyDescent="0.3"/>
    <row r="41" ht="32.4" customHeight="1" x14ac:dyDescent="0.3"/>
    <row r="42" ht="32.4" customHeight="1" x14ac:dyDescent="0.3"/>
    <row r="43" ht="32.4" customHeight="1" x14ac:dyDescent="0.3"/>
    <row r="44" ht="32.4" customHeight="1" x14ac:dyDescent="0.3"/>
    <row r="45" ht="32.4" customHeight="1" x14ac:dyDescent="0.3"/>
    <row r="46" ht="32.4" customHeight="1" x14ac:dyDescent="0.3"/>
    <row r="47" ht="32.4" customHeight="1" x14ac:dyDescent="0.3"/>
    <row r="48" ht="32.4" customHeight="1" x14ac:dyDescent="0.3"/>
    <row r="49" ht="32.4" customHeight="1" x14ac:dyDescent="0.3"/>
    <row r="50" ht="32.4" customHeight="1" x14ac:dyDescent="0.3"/>
    <row r="51" ht="32.4" customHeight="1" x14ac:dyDescent="0.3"/>
    <row r="52" ht="32.4" customHeight="1" x14ac:dyDescent="0.3"/>
    <row r="53" ht="32.4" customHeight="1" x14ac:dyDescent="0.3"/>
    <row r="54" ht="32.4" customHeight="1" x14ac:dyDescent="0.3"/>
    <row r="55" ht="32.4" customHeight="1" x14ac:dyDescent="0.3"/>
    <row r="56" ht="32.4" customHeight="1" x14ac:dyDescent="0.3"/>
    <row r="57" ht="32.4" customHeight="1" x14ac:dyDescent="0.3"/>
    <row r="58" ht="32.4" customHeight="1" x14ac:dyDescent="0.3"/>
    <row r="59" ht="32.4" customHeight="1" x14ac:dyDescent="0.3"/>
    <row r="60" ht="32.4" customHeight="1" x14ac:dyDescent="0.3"/>
    <row r="61" ht="32.4" customHeight="1" x14ac:dyDescent="0.3"/>
    <row r="62" ht="32.4" customHeight="1" x14ac:dyDescent="0.3"/>
    <row r="63" ht="32.4" customHeight="1" x14ac:dyDescent="0.3"/>
    <row r="64" ht="32.4" customHeight="1" x14ac:dyDescent="0.3"/>
    <row r="65" ht="32.4" customHeight="1" x14ac:dyDescent="0.3"/>
    <row r="66" ht="32.4" customHeight="1" x14ac:dyDescent="0.3"/>
    <row r="67" ht="32.4" customHeight="1" x14ac:dyDescent="0.3"/>
    <row r="68" ht="32.4" customHeight="1" x14ac:dyDescent="0.3"/>
    <row r="69" ht="32.4" customHeight="1" x14ac:dyDescent="0.3"/>
    <row r="70" ht="32.4" customHeight="1" x14ac:dyDescent="0.3"/>
    <row r="71" ht="32.4" customHeight="1" x14ac:dyDescent="0.3"/>
    <row r="72" ht="32.4" customHeight="1" x14ac:dyDescent="0.3"/>
    <row r="73" ht="32.4" customHeight="1" x14ac:dyDescent="0.3"/>
    <row r="74" ht="32.4" customHeight="1" x14ac:dyDescent="0.3"/>
    <row r="75" ht="32.4" customHeight="1" x14ac:dyDescent="0.3"/>
    <row r="76" ht="32.4" customHeight="1" x14ac:dyDescent="0.3"/>
    <row r="77" ht="32.4" customHeight="1" x14ac:dyDescent="0.3"/>
    <row r="78" ht="32.4" customHeight="1" x14ac:dyDescent="0.3"/>
    <row r="79" ht="32.4" customHeight="1" x14ac:dyDescent="0.3"/>
    <row r="80" ht="32.4" customHeight="1" x14ac:dyDescent="0.3"/>
    <row r="81" ht="32.4" customHeight="1" x14ac:dyDescent="0.3"/>
    <row r="82" ht="32.4" customHeight="1" x14ac:dyDescent="0.3"/>
    <row r="83" ht="32.4" customHeight="1" x14ac:dyDescent="0.3"/>
    <row r="84" ht="32.4" customHeight="1" x14ac:dyDescent="0.3"/>
    <row r="87" ht="21" customHeight="1" x14ac:dyDescent="0.3"/>
    <row r="88" ht="21" customHeight="1" x14ac:dyDescent="0.3"/>
    <row r="89" ht="21" customHeight="1" x14ac:dyDescent="0.3"/>
    <row r="90" ht="21" customHeight="1" x14ac:dyDescent="0.3"/>
  </sheetData>
  <conditionalFormatting sqref="K12:K18">
    <cfRule type="expression" dxfId="3" priority="4">
      <formula>$K12="En attente"</formula>
    </cfRule>
    <cfRule type="expression" dxfId="2" priority="3">
      <formula>$K12="validée"</formula>
    </cfRule>
    <cfRule type="expression" dxfId="1" priority="2">
      <formula>$K12="Refusé"</formula>
    </cfRule>
    <cfRule type="expression" dxfId="0" priority="1">
      <formula>$K12="Différé"</formula>
    </cfRule>
  </conditionalFormatting>
  <dataValidations count="3">
    <dataValidation type="list" allowBlank="1" showInputMessage="1" showErrorMessage="1" sqref="J12:J18" xr:uid="{55111BC5-CEF1-43BE-A2F8-01DEFAD7F60B}">
      <formula1>INDIRECT("TabPriority[Indice]")</formula1>
    </dataValidation>
    <dataValidation type="list" allowBlank="1" showInputMessage="1" sqref="I12:I18" xr:uid="{A5A889CD-57A6-46D2-9885-A76BD9232021}">
      <formula1>INDIRECT("TabImpact[Impact]")</formula1>
    </dataValidation>
    <dataValidation type="list" allowBlank="1" showInputMessage="1" showErrorMessage="1" sqref="K12:K18" xr:uid="{8D4760CB-0B73-4746-82BB-5F1DA026852B}">
      <formula1>INDIRECT("TabStatut[Statut]")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93683-995A-4A4B-B428-99BB8342CD57}">
  <sheetPr codeName="ShSettings"/>
  <dimension ref="B1:O27"/>
  <sheetViews>
    <sheetView showGridLines="0" zoomScaleNormal="100" workbookViewId="0">
      <selection activeCell="E22" sqref="E22"/>
    </sheetView>
  </sheetViews>
  <sheetFormatPr defaultColWidth="9.109375" defaultRowHeight="14.4" x14ac:dyDescent="0.3"/>
  <cols>
    <col min="1" max="1" width="2.88671875" customWidth="1"/>
    <col min="3" max="3" width="18" customWidth="1"/>
    <col min="4" max="4" width="13.44140625" customWidth="1"/>
    <col min="5" max="5" width="18.5546875" customWidth="1"/>
    <col min="6" max="6" width="18.6640625" customWidth="1"/>
    <col min="7" max="7" width="12" customWidth="1"/>
    <col min="8" max="8" width="19.33203125" customWidth="1"/>
    <col min="9" max="9" width="20.109375" customWidth="1"/>
    <col min="10" max="10" width="18.88671875" customWidth="1"/>
    <col min="11" max="11" width="5.6640625" customWidth="1"/>
    <col min="12" max="12" width="18" customWidth="1"/>
    <col min="13" max="13" width="13.44140625" customWidth="1"/>
  </cols>
  <sheetData>
    <row r="1" spans="2:13" ht="19.95" customHeight="1" x14ac:dyDescent="0.3">
      <c r="E1" s="9" t="s">
        <v>4</v>
      </c>
      <c r="F1" s="49" t="s">
        <v>10</v>
      </c>
      <c r="G1" s="49"/>
      <c r="I1" s="9" t="s">
        <v>13</v>
      </c>
      <c r="J1" s="10" t="s">
        <v>12</v>
      </c>
      <c r="L1" s="1" t="s">
        <v>0</v>
      </c>
      <c r="M1" s="2">
        <v>44893</v>
      </c>
    </row>
    <row r="2" spans="2:13" ht="14.4" hidden="1" customHeight="1" x14ac:dyDescent="0.3">
      <c r="E2" s="11" t="s">
        <v>28</v>
      </c>
      <c r="F2" s="12" t="s">
        <v>28</v>
      </c>
      <c r="G2" s="12" t="s">
        <v>28</v>
      </c>
      <c r="I2" s="11" t="s">
        <v>28</v>
      </c>
      <c r="J2" s="12" t="s">
        <v>28</v>
      </c>
      <c r="L2" s="3" t="s">
        <v>28</v>
      </c>
      <c r="M2" s="4" t="s">
        <v>28</v>
      </c>
    </row>
    <row r="3" spans="2:13" ht="19.95" customHeight="1" x14ac:dyDescent="0.3">
      <c r="E3" s="9" t="s">
        <v>5</v>
      </c>
      <c r="F3" s="49" t="s">
        <v>11</v>
      </c>
      <c r="G3" s="49"/>
      <c r="I3" s="9" t="s">
        <v>14</v>
      </c>
      <c r="J3" s="10" t="s">
        <v>15</v>
      </c>
      <c r="L3" s="1" t="s">
        <v>1</v>
      </c>
      <c r="M3" s="2">
        <v>45132</v>
      </c>
    </row>
    <row r="4" spans="2:13" ht="14.4" hidden="1" customHeight="1" x14ac:dyDescent="0.3">
      <c r="E4" t="s">
        <v>28</v>
      </c>
      <c r="F4" t="s">
        <v>28</v>
      </c>
      <c r="G4" t="s">
        <v>28</v>
      </c>
      <c r="I4" t="s">
        <v>28</v>
      </c>
      <c r="J4" t="s">
        <v>28</v>
      </c>
      <c r="L4" s="3" t="s">
        <v>28</v>
      </c>
      <c r="M4" s="4" t="s">
        <v>28</v>
      </c>
    </row>
    <row r="5" spans="2:13" ht="19.95" customHeight="1" thickBot="1" x14ac:dyDescent="0.35">
      <c r="L5" s="5" t="s">
        <v>2</v>
      </c>
      <c r="M5" s="6" t="s">
        <v>3</v>
      </c>
    </row>
    <row r="6" spans="2:13" ht="28.2" customHeight="1" thickTop="1" thickBot="1" x14ac:dyDescent="0.35">
      <c r="B6" s="7"/>
      <c r="C6" s="8" t="s">
        <v>9</v>
      </c>
      <c r="D6" s="7"/>
      <c r="E6" s="7"/>
      <c r="F6" s="7"/>
      <c r="G6" s="7"/>
      <c r="H6" s="7"/>
      <c r="I6" s="7"/>
      <c r="J6" s="44" t="s">
        <v>80</v>
      </c>
      <c r="K6" s="7"/>
      <c r="L6" s="7">
        <v>2</v>
      </c>
      <c r="M6" s="7"/>
    </row>
    <row r="7" spans="2:13" ht="15" thickTop="1" x14ac:dyDescent="0.3"/>
    <row r="9" spans="2:13" x14ac:dyDescent="0.3">
      <c r="C9" s="24" t="s">
        <v>67</v>
      </c>
      <c r="E9" s="16" t="s">
        <v>68</v>
      </c>
      <c r="F9" s="36" t="s">
        <v>69</v>
      </c>
      <c r="H9" s="16" t="s">
        <v>26</v>
      </c>
    </row>
    <row r="10" spans="2:13" ht="10.95" hidden="1" customHeight="1" x14ac:dyDescent="0.3">
      <c r="C10" s="35" t="s">
        <v>67</v>
      </c>
      <c r="E10" t="s">
        <v>68</v>
      </c>
      <c r="F10" t="s">
        <v>69</v>
      </c>
      <c r="H10" t="s">
        <v>26</v>
      </c>
    </row>
    <row r="11" spans="2:13" x14ac:dyDescent="0.3">
      <c r="C11" s="38" t="s">
        <v>16</v>
      </c>
      <c r="E11" s="34" t="s">
        <v>70</v>
      </c>
      <c r="F11" s="28" t="s">
        <v>17</v>
      </c>
      <c r="H11" s="28" t="s">
        <v>49</v>
      </c>
    </row>
    <row r="12" spans="2:13" x14ac:dyDescent="0.3">
      <c r="C12" s="37" t="s">
        <v>155</v>
      </c>
      <c r="E12" s="34" t="s">
        <v>71</v>
      </c>
      <c r="F12" s="28" t="s">
        <v>18</v>
      </c>
      <c r="H12" s="28" t="s">
        <v>43</v>
      </c>
    </row>
    <row r="13" spans="2:13" x14ac:dyDescent="0.3">
      <c r="C13" s="39" t="s">
        <v>37</v>
      </c>
      <c r="E13" s="34" t="s">
        <v>72</v>
      </c>
      <c r="F13" s="28" t="s">
        <v>19</v>
      </c>
      <c r="H13" s="28" t="s">
        <v>73</v>
      </c>
    </row>
    <row r="14" spans="2:13" x14ac:dyDescent="0.3">
      <c r="C14" s="40" t="s">
        <v>61</v>
      </c>
      <c r="E14" s="34" t="s">
        <v>74</v>
      </c>
      <c r="F14" s="28" t="s">
        <v>20</v>
      </c>
      <c r="H14" s="28" t="s">
        <v>48</v>
      </c>
    </row>
    <row r="15" spans="2:13" x14ac:dyDescent="0.3">
      <c r="H15" s="28" t="s">
        <v>56</v>
      </c>
      <c r="J15" s="17"/>
      <c r="K15" s="18"/>
      <c r="L15" s="19"/>
    </row>
    <row r="16" spans="2:13" x14ac:dyDescent="0.3">
      <c r="H16" s="28" t="s">
        <v>75</v>
      </c>
      <c r="J16" s="17"/>
      <c r="K16" s="18"/>
      <c r="L16" s="17"/>
    </row>
    <row r="17" spans="2:15" x14ac:dyDescent="0.3">
      <c r="J17" s="17"/>
      <c r="K17" s="20"/>
      <c r="L17" s="17"/>
    </row>
    <row r="18" spans="2:15" x14ac:dyDescent="0.3">
      <c r="C18" s="32"/>
    </row>
    <row r="19" spans="2:15" s="32" customFormat="1" x14ac:dyDescent="0.3">
      <c r="B19" s="33"/>
      <c r="D19" s="33"/>
      <c r="E19" s="33"/>
    </row>
    <row r="20" spans="2:15" s="32" customFormat="1" x14ac:dyDescent="0.3">
      <c r="B20" s="33"/>
      <c r="D20" s="33"/>
      <c r="E20" s="33"/>
      <c r="G20" s="33"/>
    </row>
    <row r="21" spans="2:15" s="32" customFormat="1" x14ac:dyDescent="0.3">
      <c r="B21" s="33"/>
      <c r="D21" s="33"/>
      <c r="E21" s="33"/>
      <c r="G21" s="33"/>
    </row>
    <row r="22" spans="2:15" s="32" customFormat="1" x14ac:dyDescent="0.3">
      <c r="B22" s="33"/>
      <c r="D22" s="33"/>
      <c r="E22" s="33"/>
      <c r="G22" s="33"/>
    </row>
    <row r="23" spans="2:15" s="32" customFormat="1" x14ac:dyDescent="0.3">
      <c r="B23" s="33"/>
      <c r="D23" s="33"/>
      <c r="E23" s="33"/>
      <c r="G23" s="33"/>
    </row>
    <row r="24" spans="2:15" s="32" customFormat="1" x14ac:dyDescent="0.3">
      <c r="B24" s="33"/>
      <c r="D24" s="33"/>
      <c r="E24" s="33"/>
      <c r="G24" s="33"/>
    </row>
    <row r="25" spans="2:15" s="32" customFormat="1" x14ac:dyDescent="0.3">
      <c r="B25" s="33"/>
      <c r="C25" s="15"/>
      <c r="D25" s="33"/>
      <c r="E25" s="33"/>
      <c r="G25" s="33"/>
    </row>
    <row r="26" spans="2:15" x14ac:dyDescent="0.3">
      <c r="B26" s="15"/>
      <c r="D26" s="15"/>
      <c r="F26" s="15"/>
      <c r="I26" s="15"/>
      <c r="J26" s="15"/>
      <c r="N26" s="15"/>
      <c r="O26" s="15"/>
    </row>
    <row r="27" spans="2:15" x14ac:dyDescent="0.3">
      <c r="B27" s="15"/>
      <c r="D27" s="15"/>
      <c r="F27" s="15"/>
      <c r="G27" s="15"/>
      <c r="H27" s="15"/>
      <c r="I27" s="15"/>
      <c r="J27" s="15"/>
      <c r="N27" s="15"/>
      <c r="O27" s="15"/>
    </row>
  </sheetData>
  <mergeCells count="2">
    <mergeCell ref="F3:G3"/>
    <mergeCell ref="F1:G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 macro="[0]!change_langue">
                <anchor moveWithCells="1">
                  <from>
                    <xdr:col>10</xdr:col>
                    <xdr:colOff>137160</xdr:colOff>
                    <xdr:row>5</xdr:row>
                    <xdr:rowOff>83820</xdr:rowOff>
                  </from>
                  <to>
                    <xdr:col>12</xdr:col>
                    <xdr:colOff>99060</xdr:colOff>
                    <xdr:row>5</xdr:row>
                    <xdr:rowOff>297180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C24A5-2824-446D-B8C1-ED81F944611B}">
  <sheetPr codeName="ShLangue"/>
  <dimension ref="A1:F78"/>
  <sheetViews>
    <sheetView showGridLines="0" topLeftCell="A51" workbookViewId="0">
      <selection activeCell="B72" sqref="B72"/>
    </sheetView>
  </sheetViews>
  <sheetFormatPr defaultColWidth="9.109375" defaultRowHeight="14.4" x14ac:dyDescent="0.3"/>
  <cols>
    <col min="1" max="1" width="38.33203125" customWidth="1"/>
    <col min="2" max="2" width="32.6640625" customWidth="1"/>
    <col min="6" max="6" width="15" customWidth="1"/>
  </cols>
  <sheetData>
    <row r="1" spans="1:6" x14ac:dyDescent="0.3">
      <c r="A1" s="41" t="s">
        <v>78</v>
      </c>
      <c r="B1" s="41" t="s">
        <v>79</v>
      </c>
      <c r="F1" t="s">
        <v>80</v>
      </c>
    </row>
    <row r="2" spans="1:6" x14ac:dyDescent="0.3">
      <c r="A2" s="42" t="s">
        <v>81</v>
      </c>
      <c r="B2" s="41" t="s">
        <v>82</v>
      </c>
      <c r="F2" t="s">
        <v>79</v>
      </c>
    </row>
    <row r="3" spans="1:6" x14ac:dyDescent="0.3">
      <c r="A3" s="42" t="s">
        <v>77</v>
      </c>
      <c r="B3" s="41" t="s">
        <v>177</v>
      </c>
      <c r="F3" t="s">
        <v>78</v>
      </c>
    </row>
    <row r="4" spans="1:6" x14ac:dyDescent="0.3">
      <c r="A4" s="43" t="s">
        <v>83</v>
      </c>
      <c r="B4" s="41" t="s">
        <v>83</v>
      </c>
    </row>
    <row r="5" spans="1:6" x14ac:dyDescent="0.3">
      <c r="A5" s="42" t="s">
        <v>84</v>
      </c>
      <c r="B5" s="41" t="s">
        <v>84</v>
      </c>
    </row>
    <row r="6" spans="1:6" x14ac:dyDescent="0.3">
      <c r="A6" s="42" t="s">
        <v>182</v>
      </c>
      <c r="B6" s="41" t="s">
        <v>183</v>
      </c>
    </row>
    <row r="7" spans="1:6" x14ac:dyDescent="0.3">
      <c r="A7" s="42" t="s">
        <v>85</v>
      </c>
      <c r="B7" s="41" t="s">
        <v>86</v>
      </c>
    </row>
    <row r="8" spans="1:6" x14ac:dyDescent="0.3">
      <c r="A8" s="42" t="s">
        <v>87</v>
      </c>
      <c r="B8" s="41" t="s">
        <v>88</v>
      </c>
    </row>
    <row r="9" spans="1:6" x14ac:dyDescent="0.3">
      <c r="A9" s="42" t="s">
        <v>72</v>
      </c>
      <c r="B9" s="41" t="s">
        <v>165</v>
      </c>
    </row>
    <row r="10" spans="1:6" x14ac:dyDescent="0.3">
      <c r="A10" s="42" t="s">
        <v>50</v>
      </c>
      <c r="B10" s="41" t="s">
        <v>156</v>
      </c>
    </row>
    <row r="11" spans="1:6" x14ac:dyDescent="0.3">
      <c r="A11" s="42" t="s">
        <v>25</v>
      </c>
      <c r="B11" s="41" t="s">
        <v>181</v>
      </c>
    </row>
    <row r="12" spans="1:6" x14ac:dyDescent="0.3">
      <c r="A12" s="42" t="s">
        <v>43</v>
      </c>
      <c r="B12" s="41" t="s">
        <v>43</v>
      </c>
    </row>
    <row r="13" spans="1:6" x14ac:dyDescent="0.3">
      <c r="A13" s="42" t="s">
        <v>89</v>
      </c>
      <c r="B13" s="41" t="s">
        <v>90</v>
      </c>
    </row>
    <row r="14" spans="1:6" x14ac:dyDescent="0.3">
      <c r="A14" s="42" t="s">
        <v>13</v>
      </c>
      <c r="B14" s="41" t="s">
        <v>91</v>
      </c>
    </row>
    <row r="15" spans="1:6" x14ac:dyDescent="0.3">
      <c r="A15" s="42" t="s">
        <v>92</v>
      </c>
      <c r="B15" s="41" t="s">
        <v>93</v>
      </c>
    </row>
    <row r="16" spans="1:6" x14ac:dyDescent="0.3">
      <c r="A16" s="42" t="s">
        <v>28</v>
      </c>
      <c r="B16" s="41" t="s">
        <v>179</v>
      </c>
    </row>
    <row r="17" spans="1:2" x14ac:dyDescent="0.3">
      <c r="A17" s="43" t="s">
        <v>94</v>
      </c>
      <c r="B17" s="41" t="s">
        <v>95</v>
      </c>
    </row>
    <row r="18" spans="1:2" x14ac:dyDescent="0.3">
      <c r="A18" s="42" t="s">
        <v>56</v>
      </c>
      <c r="B18" s="41" t="s">
        <v>56</v>
      </c>
    </row>
    <row r="19" spans="1:2" x14ac:dyDescent="0.3">
      <c r="A19" s="42" t="s">
        <v>21</v>
      </c>
      <c r="B19" s="41" t="s">
        <v>21</v>
      </c>
    </row>
    <row r="20" spans="1:2" x14ac:dyDescent="0.3">
      <c r="A20" s="42" t="s">
        <v>0</v>
      </c>
      <c r="B20" s="41" t="s">
        <v>96</v>
      </c>
    </row>
    <row r="21" spans="1:2" x14ac:dyDescent="0.3">
      <c r="A21" s="43" t="s">
        <v>97</v>
      </c>
      <c r="B21" s="41" t="s">
        <v>98</v>
      </c>
    </row>
    <row r="22" spans="1:2" x14ac:dyDescent="0.3">
      <c r="A22" s="42" t="s">
        <v>1</v>
      </c>
      <c r="B22" s="41" t="s">
        <v>99</v>
      </c>
    </row>
    <row r="23" spans="1:2" x14ac:dyDescent="0.3">
      <c r="A23" s="42" t="s">
        <v>100</v>
      </c>
      <c r="B23" s="41" t="s">
        <v>101</v>
      </c>
    </row>
    <row r="24" spans="1:2" x14ac:dyDescent="0.3">
      <c r="A24" s="42" t="s">
        <v>102</v>
      </c>
      <c r="B24" s="41" t="s">
        <v>103</v>
      </c>
    </row>
    <row r="25" spans="1:2" x14ac:dyDescent="0.3">
      <c r="A25" s="42" t="s">
        <v>104</v>
      </c>
      <c r="B25" s="41" t="s">
        <v>105</v>
      </c>
    </row>
    <row r="26" spans="1:2" x14ac:dyDescent="0.3">
      <c r="A26" s="42" t="s">
        <v>106</v>
      </c>
      <c r="B26" s="41" t="s">
        <v>107</v>
      </c>
    </row>
    <row r="27" spans="1:2" x14ac:dyDescent="0.3">
      <c r="A27" s="45" t="s">
        <v>172</v>
      </c>
      <c r="B27" s="41" t="s">
        <v>171</v>
      </c>
    </row>
    <row r="28" spans="1:2" x14ac:dyDescent="0.3">
      <c r="A28" s="42" t="s">
        <v>22</v>
      </c>
      <c r="B28" s="41" t="s">
        <v>176</v>
      </c>
    </row>
    <row r="29" spans="1:2" x14ac:dyDescent="0.3">
      <c r="A29" s="42" t="s">
        <v>108</v>
      </c>
      <c r="B29" s="41" t="s">
        <v>108</v>
      </c>
    </row>
    <row r="30" spans="1:2" x14ac:dyDescent="0.3">
      <c r="A30" s="42" t="s">
        <v>23</v>
      </c>
      <c r="B30" s="41" t="s">
        <v>180</v>
      </c>
    </row>
    <row r="31" spans="1:2" x14ac:dyDescent="0.3">
      <c r="A31" s="42" t="s">
        <v>61</v>
      </c>
      <c r="B31" s="41" t="s">
        <v>161</v>
      </c>
    </row>
    <row r="32" spans="1:2" x14ac:dyDescent="0.3">
      <c r="A32" s="43" t="s">
        <v>109</v>
      </c>
      <c r="B32" s="41" t="s">
        <v>110</v>
      </c>
    </row>
    <row r="33" spans="1:2" x14ac:dyDescent="0.3">
      <c r="A33" s="42" t="s">
        <v>73</v>
      </c>
      <c r="B33" s="41" t="s">
        <v>168</v>
      </c>
    </row>
    <row r="34" spans="1:2" x14ac:dyDescent="0.3">
      <c r="A34" s="42" t="s">
        <v>16</v>
      </c>
      <c r="B34" s="41" t="s">
        <v>111</v>
      </c>
    </row>
    <row r="35" spans="1:2" x14ac:dyDescent="0.3">
      <c r="A35" s="42" t="s">
        <v>112</v>
      </c>
      <c r="B35" s="41" t="s">
        <v>113</v>
      </c>
    </row>
    <row r="36" spans="1:2" x14ac:dyDescent="0.3">
      <c r="A36" s="42" t="s">
        <v>70</v>
      </c>
      <c r="B36" s="41" t="s">
        <v>163</v>
      </c>
    </row>
    <row r="37" spans="1:2" x14ac:dyDescent="0.3">
      <c r="A37" s="43" t="s">
        <v>114</v>
      </c>
      <c r="B37" s="41" t="s">
        <v>27</v>
      </c>
    </row>
    <row r="38" spans="1:2" x14ac:dyDescent="0.3">
      <c r="A38" s="42" t="s">
        <v>8</v>
      </c>
      <c r="B38" s="41" t="s">
        <v>115</v>
      </c>
    </row>
    <row r="39" spans="1:2" x14ac:dyDescent="0.3">
      <c r="A39" s="43" t="s">
        <v>6</v>
      </c>
      <c r="B39" s="41" t="s">
        <v>6</v>
      </c>
    </row>
    <row r="40" spans="1:2" x14ac:dyDescent="0.3">
      <c r="A40" s="42" t="s">
        <v>26</v>
      </c>
      <c r="B40" s="41" t="s">
        <v>26</v>
      </c>
    </row>
    <row r="41" spans="1:2" x14ac:dyDescent="0.3">
      <c r="A41" s="42" t="s">
        <v>69</v>
      </c>
      <c r="B41" s="41" t="s">
        <v>173</v>
      </c>
    </row>
    <row r="42" spans="1:2" x14ac:dyDescent="0.3">
      <c r="A42" s="42" t="s">
        <v>80</v>
      </c>
      <c r="B42" s="41" t="s">
        <v>116</v>
      </c>
    </row>
    <row r="43" spans="1:2" x14ac:dyDescent="0.3">
      <c r="A43" s="42" t="s">
        <v>117</v>
      </c>
      <c r="B43" s="41" t="s">
        <v>118</v>
      </c>
    </row>
    <row r="44" spans="1:2" x14ac:dyDescent="0.3">
      <c r="A44" s="42" t="s">
        <v>119</v>
      </c>
      <c r="B44" s="41" t="s">
        <v>120</v>
      </c>
    </row>
    <row r="45" spans="1:2" x14ac:dyDescent="0.3">
      <c r="A45" s="42" t="s">
        <v>121</v>
      </c>
      <c r="B45" s="41" t="s">
        <v>122</v>
      </c>
    </row>
    <row r="46" spans="1:2" x14ac:dyDescent="0.3">
      <c r="A46" s="42" t="s">
        <v>123</v>
      </c>
      <c r="B46" s="41" t="s">
        <v>124</v>
      </c>
    </row>
    <row r="47" spans="1:2" x14ac:dyDescent="0.3">
      <c r="A47" s="42" t="s">
        <v>68</v>
      </c>
      <c r="B47" s="41" t="s">
        <v>162</v>
      </c>
    </row>
    <row r="48" spans="1:2" x14ac:dyDescent="0.3">
      <c r="A48" s="42" t="s">
        <v>4</v>
      </c>
      <c r="B48" s="41" t="s">
        <v>125</v>
      </c>
    </row>
    <row r="49" spans="1:2" x14ac:dyDescent="0.3">
      <c r="A49" s="42" t="s">
        <v>126</v>
      </c>
      <c r="B49" s="41" t="s">
        <v>127</v>
      </c>
    </row>
    <row r="50" spans="1:2" x14ac:dyDescent="0.3">
      <c r="A50" s="42" t="s">
        <v>2</v>
      </c>
      <c r="B50" s="41" t="s">
        <v>128</v>
      </c>
    </row>
    <row r="51" spans="1:2" x14ac:dyDescent="0.3">
      <c r="A51" s="43" t="s">
        <v>129</v>
      </c>
      <c r="B51" s="41" t="s">
        <v>130</v>
      </c>
    </row>
    <row r="52" spans="1:2" x14ac:dyDescent="0.3">
      <c r="A52" s="42" t="s">
        <v>9</v>
      </c>
      <c r="B52" s="41" t="s">
        <v>131</v>
      </c>
    </row>
    <row r="53" spans="1:2" x14ac:dyDescent="0.3">
      <c r="A53" s="42" t="s">
        <v>49</v>
      </c>
      <c r="B53" s="41" t="s">
        <v>167</v>
      </c>
    </row>
    <row r="54" spans="1:2" x14ac:dyDescent="0.3">
      <c r="A54" s="42" t="s">
        <v>24</v>
      </c>
      <c r="B54" s="41" t="s">
        <v>178</v>
      </c>
    </row>
    <row r="55" spans="1:2" x14ac:dyDescent="0.3">
      <c r="A55" s="43" t="s">
        <v>7</v>
      </c>
      <c r="B55" s="41" t="s">
        <v>132</v>
      </c>
    </row>
    <row r="56" spans="1:2" x14ac:dyDescent="0.3">
      <c r="A56" s="42" t="s">
        <v>48</v>
      </c>
      <c r="B56" s="41" t="s">
        <v>169</v>
      </c>
    </row>
    <row r="57" spans="1:2" x14ac:dyDescent="0.3">
      <c r="A57" s="42" t="s">
        <v>133</v>
      </c>
      <c r="B57" s="41" t="s">
        <v>134</v>
      </c>
    </row>
    <row r="58" spans="1:2" x14ac:dyDescent="0.3">
      <c r="A58" s="42" t="s">
        <v>135</v>
      </c>
      <c r="B58" s="41" t="s">
        <v>136</v>
      </c>
    </row>
    <row r="59" spans="1:2" x14ac:dyDescent="0.3">
      <c r="A59" s="42" t="s">
        <v>5</v>
      </c>
      <c r="B59" s="41" t="s">
        <v>137</v>
      </c>
    </row>
    <row r="60" spans="1:2" x14ac:dyDescent="0.3">
      <c r="A60" s="42" t="s">
        <v>37</v>
      </c>
      <c r="B60" s="41" t="s">
        <v>160</v>
      </c>
    </row>
    <row r="61" spans="1:2" x14ac:dyDescent="0.3">
      <c r="A61" s="42" t="s">
        <v>76</v>
      </c>
      <c r="B61" s="46" t="s">
        <v>174</v>
      </c>
    </row>
    <row r="62" spans="1:2" x14ac:dyDescent="0.3">
      <c r="A62" s="42" t="s">
        <v>138</v>
      </c>
      <c r="B62" s="41" t="s">
        <v>139</v>
      </c>
    </row>
    <row r="63" spans="1:2" x14ac:dyDescent="0.3">
      <c r="A63" s="42" t="s">
        <v>75</v>
      </c>
      <c r="B63" s="41" t="s">
        <v>170</v>
      </c>
    </row>
    <row r="64" spans="1:2" x14ac:dyDescent="0.3">
      <c r="A64" s="42" t="s">
        <v>140</v>
      </c>
      <c r="B64" s="41" t="s">
        <v>141</v>
      </c>
    </row>
    <row r="65" spans="1:2" x14ac:dyDescent="0.3">
      <c r="A65" s="42" t="s">
        <v>74</v>
      </c>
      <c r="B65" s="41" t="s">
        <v>166</v>
      </c>
    </row>
    <row r="66" spans="1:2" x14ac:dyDescent="0.3">
      <c r="A66" s="42" t="s">
        <v>14</v>
      </c>
      <c r="B66" s="41" t="s">
        <v>142</v>
      </c>
    </row>
    <row r="67" spans="1:2" x14ac:dyDescent="0.3">
      <c r="A67" s="42" t="s">
        <v>143</v>
      </c>
      <c r="B67" s="41" t="s">
        <v>144</v>
      </c>
    </row>
    <row r="68" spans="1:2" x14ac:dyDescent="0.3">
      <c r="A68" s="42" t="s">
        <v>27</v>
      </c>
      <c r="B68" s="41" t="s">
        <v>27</v>
      </c>
    </row>
    <row r="69" spans="1:2" x14ac:dyDescent="0.3">
      <c r="A69" s="42" t="s">
        <v>145</v>
      </c>
      <c r="B69" s="41" t="s">
        <v>146</v>
      </c>
    </row>
    <row r="70" spans="1:2" x14ac:dyDescent="0.3">
      <c r="A70" s="42" t="s">
        <v>147</v>
      </c>
      <c r="B70" s="41" t="s">
        <v>148</v>
      </c>
    </row>
    <row r="71" spans="1:2" x14ac:dyDescent="0.3">
      <c r="A71" s="42" t="s">
        <v>184</v>
      </c>
      <c r="B71" s="41" t="s">
        <v>185</v>
      </c>
    </row>
    <row r="72" spans="1:2" x14ac:dyDescent="0.3">
      <c r="A72" s="42" t="s">
        <v>149</v>
      </c>
      <c r="B72" s="41" t="s">
        <v>150</v>
      </c>
    </row>
    <row r="73" spans="1:2" x14ac:dyDescent="0.3">
      <c r="A73" s="42" t="s">
        <v>151</v>
      </c>
      <c r="B73" s="41" t="s">
        <v>152</v>
      </c>
    </row>
    <row r="74" spans="1:2" x14ac:dyDescent="0.3">
      <c r="A74" s="42" t="s">
        <v>71</v>
      </c>
      <c r="B74" s="41" t="s">
        <v>164</v>
      </c>
    </row>
    <row r="75" spans="1:2" x14ac:dyDescent="0.3">
      <c r="A75" s="42" t="s">
        <v>153</v>
      </c>
      <c r="B75" s="41" t="s">
        <v>154</v>
      </c>
    </row>
    <row r="76" spans="1:2" x14ac:dyDescent="0.3">
      <c r="A76" s="42" t="s">
        <v>155</v>
      </c>
      <c r="B76" s="41" t="s">
        <v>156</v>
      </c>
    </row>
    <row r="77" spans="1:2" x14ac:dyDescent="0.3">
      <c r="A77" s="42" t="s">
        <v>157</v>
      </c>
      <c r="B77" s="41" t="s">
        <v>158</v>
      </c>
    </row>
    <row r="78" spans="1:2" x14ac:dyDescent="0.3">
      <c r="A78" s="42" t="s">
        <v>159</v>
      </c>
      <c r="B78" s="41" t="s">
        <v>159</v>
      </c>
    </row>
  </sheetData>
  <conditionalFormatting sqref="B67">
    <cfRule type="duplicateValues" dxfId="10" priority="1"/>
  </conditionalFormatting>
  <conditionalFormatting sqref="B2:B66">
    <cfRule type="duplicateValues" dxfId="9" priority="12"/>
  </conditionalFormatting>
  <conditionalFormatting sqref="A2:A78">
    <cfRule type="duplicateValues" dxfId="8" priority="14"/>
  </conditionalFormatting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Demandes de changement</vt:lpstr>
      <vt:lpstr>Paramétrages</vt:lpstr>
      <vt:lpstr>HeaderRange</vt:lpstr>
      <vt:lpstr>Langue</vt:lpstr>
      <vt:lpstr>RedFlag</vt:lpstr>
      <vt:lpstr>SeuilAvertissement</vt:lpstr>
      <vt:lpstr>StatutFilter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Sara AIT TALEB</cp:lastModifiedBy>
  <dcterms:created xsi:type="dcterms:W3CDTF">2023-03-25T11:35:34Z</dcterms:created>
  <dcterms:modified xsi:type="dcterms:W3CDTF">2023-09-05T17:53:25Z</dcterms:modified>
</cp:coreProperties>
</file>